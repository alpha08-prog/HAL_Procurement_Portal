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106388\Desktop\HAL PURCHASE FORMATS\"/>
    </mc:Choice>
  </mc:AlternateContent>
  <bookViews>
    <workbookView xWindow="0" yWindow="0" windowWidth="28800" windowHeight="12315" tabRatio="851" activeTab="10"/>
  </bookViews>
  <sheets>
    <sheet name="Annexure-I" sheetId="15" r:id="rId1"/>
    <sheet name="Form" sheetId="17" r:id="rId2"/>
    <sheet name="CST-Calculation" sheetId="16" r:id="rId3"/>
    <sheet name="CST-Final" sheetId="18" r:id="rId4"/>
    <sheet name="SUMMARY" sheetId="19" r:id="rId5"/>
    <sheet name="Negociation" sheetId="20" r:id="rId6"/>
    <sheet name="NOTE Sheet" sheetId="21" state="hidden" r:id="rId7"/>
    <sheet name="Comm Eval" sheetId="22" r:id="rId8"/>
    <sheet name="PNC" sheetId="23" r:id="rId9"/>
    <sheet name="PP" sheetId="24" r:id="rId10"/>
    <sheet name="Annexure for PP" sheetId="25" r:id="rId11"/>
    <sheet name="Encl-4" sheetId="26" r:id="rId12"/>
    <sheet name="A-1" sheetId="27" r:id="rId13"/>
    <sheet name="Budget" sheetId="31" r:id="rId14"/>
  </sheets>
  <definedNames>
    <definedName name="_xlnm._FilterDatabase" localSheetId="0" hidden="1">'Annexure-I'!$A$1:$T$86</definedName>
    <definedName name="_xlnm._FilterDatabase" localSheetId="7" hidden="1">'Comm Eval'!$A$2:$H$2</definedName>
    <definedName name="_xlnm._FilterDatabase" localSheetId="2" hidden="1">'CST-Calculation'!$A$4:$BQ$99</definedName>
    <definedName name="_xlnm._FilterDatabase" localSheetId="3" hidden="1">'CST-Final'!$A$4:$CX$101</definedName>
    <definedName name="_xlnm._FilterDatabase" localSheetId="11" hidden="1">'Encl-4'!$B$5:$R$76</definedName>
    <definedName name="_xlnm._FilterDatabase" localSheetId="5" hidden="1">Negociation!$B$1:$O$41</definedName>
    <definedName name="ASD" localSheetId="12">#REF!</definedName>
    <definedName name="ASD" localSheetId="11">#REF!</definedName>
    <definedName name="ASD" localSheetId="1">#REF!</definedName>
    <definedName name="ASD">#REF!</definedName>
    <definedName name="asdfsdf" localSheetId="12">#REF!</definedName>
    <definedName name="asdfsdf" localSheetId="0">#REF!</definedName>
    <definedName name="asdfsdf" localSheetId="2">#REF!</definedName>
    <definedName name="asdfsdf" localSheetId="3">#REF!</definedName>
    <definedName name="asdfsdf" localSheetId="11">#REF!</definedName>
    <definedName name="asdfsdf" localSheetId="1">#REF!</definedName>
    <definedName name="asdfsdf">#REF!</definedName>
    <definedName name="_xlnm.Database" localSheetId="12">#REF!</definedName>
    <definedName name="_xlnm.Database" localSheetId="0">#REF!</definedName>
    <definedName name="_xlnm.Database" localSheetId="2">#REF!</definedName>
    <definedName name="_xlnm.Database" localSheetId="3">#REF!</definedName>
    <definedName name="_xlnm.Database" localSheetId="11">#REF!</definedName>
    <definedName name="_xlnm.Database" localSheetId="1">#REF!</definedName>
    <definedName name="_xlnm.Database" localSheetId="4">#REF!</definedName>
    <definedName name="_xlnm.Database">#REF!</definedName>
    <definedName name="_xlnm.Print_Area" localSheetId="12">'A-1'!$B$1:$G$37</definedName>
    <definedName name="_xlnm.Print_Area" localSheetId="10">'Annexure for PP'!$B$1:$G$59</definedName>
    <definedName name="_xlnm.Print_Area" localSheetId="7">'Comm Eval'!$A$1:$M$39</definedName>
    <definedName name="_xlnm.Print_Area" localSheetId="2">'CST-Calculation'!$A$1:$BP$128</definedName>
    <definedName name="_xlnm.Print_Area" localSheetId="3">'CST-Final'!$A$1:$BZ$107</definedName>
    <definedName name="_xlnm.Print_Area" localSheetId="11">'Encl-4'!$B$1:$N$76</definedName>
    <definedName name="_xlnm.Print_Area" localSheetId="8">PNC!$B$1:$J$48</definedName>
    <definedName name="_xlnm.Print_Area" localSheetId="9">PP!$D$1:$L$53</definedName>
    <definedName name="_xlnm.Print_Area" localSheetId="4">SUMMARY!$B$1:$H$124</definedName>
    <definedName name="_xlnm.Print_Titles" localSheetId="0">'Annexure-I'!$1:$1</definedName>
    <definedName name="_xlnm.Print_Titles" localSheetId="7">'Comm Eval'!$A:$B,'Comm Eval'!$2:$4</definedName>
    <definedName name="_xlnm.Print_Titles" localSheetId="2">'CST-Calculation'!$2:$4</definedName>
    <definedName name="_xlnm.Print_Titles" localSheetId="3">'CST-Final'!$A:$F,'CST-Final'!$2:$4</definedName>
    <definedName name="_xlnm.Print_Titles" localSheetId="11">'Encl-4'!$4:$5</definedName>
    <definedName name="sdfsdf" localSheetId="12">#REF!</definedName>
    <definedName name="sdfsdf" localSheetId="0">#REF!</definedName>
    <definedName name="sdfsdf" localSheetId="2">#REF!</definedName>
    <definedName name="sdfsdf" localSheetId="3">#REF!</definedName>
    <definedName name="sdfsdf" localSheetId="11">#REF!</definedName>
    <definedName name="sdfsdf" localSheetId="1">#REF!</definedName>
    <definedName name="sdfsdf">#REF!</definedName>
  </definedNames>
  <calcPr calcId="152511"/>
</workbook>
</file>

<file path=xl/calcChain.xml><?xml version="1.0" encoding="utf-8"?>
<calcChain xmlns="http://schemas.openxmlformats.org/spreadsheetml/2006/main">
  <c r="BG5" i="18" l="1"/>
  <c r="C14" i="17" l="1"/>
  <c r="F87" i="18" l="1"/>
  <c r="F88" i="18"/>
  <c r="H89" i="18" l="1"/>
  <c r="G89" i="18"/>
  <c r="H88" i="18"/>
  <c r="G88" i="18"/>
  <c r="H87" i="18"/>
  <c r="G87" i="18"/>
  <c r="H86" i="18"/>
  <c r="G86" i="18"/>
  <c r="H85" i="18"/>
  <c r="G85" i="18"/>
  <c r="H84" i="18"/>
  <c r="G84" i="18"/>
  <c r="H83" i="18"/>
  <c r="G83" i="18"/>
  <c r="H82" i="18"/>
  <c r="G82" i="18"/>
  <c r="H81" i="18"/>
  <c r="G81" i="18"/>
  <c r="H80" i="18"/>
  <c r="G80" i="18"/>
  <c r="H79" i="18"/>
  <c r="G79" i="18"/>
  <c r="H78" i="18"/>
  <c r="G78" i="18"/>
  <c r="H77" i="18"/>
  <c r="G77" i="18"/>
  <c r="H76" i="18"/>
  <c r="G76" i="18"/>
  <c r="H75" i="18"/>
  <c r="G75" i="18"/>
  <c r="H74" i="18"/>
  <c r="G74" i="18"/>
  <c r="H73" i="18"/>
  <c r="G73" i="18"/>
  <c r="H72" i="18"/>
  <c r="G72" i="18"/>
  <c r="H71" i="18"/>
  <c r="G71" i="18"/>
  <c r="H70" i="18"/>
  <c r="G70" i="18"/>
  <c r="H69" i="18"/>
  <c r="G69" i="18"/>
  <c r="H68" i="18"/>
  <c r="G68" i="18"/>
  <c r="H67" i="18"/>
  <c r="G67" i="18"/>
  <c r="H66" i="18"/>
  <c r="G66" i="18"/>
  <c r="H65" i="18"/>
  <c r="G65" i="18"/>
  <c r="H64" i="18"/>
  <c r="G64" i="18"/>
  <c r="H63" i="18"/>
  <c r="G63" i="18"/>
  <c r="H62" i="18"/>
  <c r="G62" i="18"/>
  <c r="H61" i="18"/>
  <c r="G61" i="18"/>
  <c r="H60" i="18"/>
  <c r="G60" i="18"/>
  <c r="H59" i="18"/>
  <c r="G59" i="18"/>
  <c r="H58" i="18"/>
  <c r="G58" i="18"/>
  <c r="H57" i="18"/>
  <c r="G57" i="18"/>
  <c r="H56" i="18"/>
  <c r="G56" i="18"/>
  <c r="H55" i="18"/>
  <c r="G55" i="18"/>
  <c r="H54" i="18"/>
  <c r="G54" i="18"/>
  <c r="H53" i="18"/>
  <c r="G53" i="18"/>
  <c r="H52" i="18"/>
  <c r="G52" i="18"/>
  <c r="H51" i="18"/>
  <c r="G51" i="18"/>
  <c r="H50" i="18"/>
  <c r="G50" i="18"/>
  <c r="H49" i="18"/>
  <c r="G49" i="18"/>
  <c r="H48" i="18"/>
  <c r="G48" i="18"/>
  <c r="H47" i="18"/>
  <c r="G47" i="18"/>
  <c r="H46" i="18"/>
  <c r="G46" i="18"/>
  <c r="H45" i="18"/>
  <c r="G45" i="18"/>
  <c r="H44" i="18"/>
  <c r="G44" i="18"/>
  <c r="H43" i="18"/>
  <c r="G43" i="18"/>
  <c r="H42" i="18"/>
  <c r="G42" i="18"/>
  <c r="H41" i="18"/>
  <c r="G41" i="18"/>
  <c r="H40" i="18"/>
  <c r="G40" i="18"/>
  <c r="H39" i="18"/>
  <c r="G39" i="18"/>
  <c r="H38" i="18"/>
  <c r="G38" i="18"/>
  <c r="H37" i="18"/>
  <c r="G37" i="18"/>
  <c r="H36" i="18"/>
  <c r="G36" i="18"/>
  <c r="H35" i="18"/>
  <c r="G35" i="18"/>
  <c r="H34" i="18"/>
  <c r="G34" i="18"/>
  <c r="H33" i="18"/>
  <c r="G33" i="18"/>
  <c r="H32" i="18"/>
  <c r="G32" i="18"/>
  <c r="H31" i="18"/>
  <c r="G31" i="18"/>
  <c r="H30" i="18"/>
  <c r="G30" i="18"/>
  <c r="H29" i="18"/>
  <c r="G29" i="18"/>
  <c r="H28" i="18"/>
  <c r="G28" i="18"/>
  <c r="H27" i="18"/>
  <c r="G27" i="18"/>
  <c r="H26" i="18"/>
  <c r="G26" i="18"/>
  <c r="H25" i="18"/>
  <c r="G25" i="18"/>
  <c r="H24" i="18"/>
  <c r="G24" i="18"/>
  <c r="H23" i="18"/>
  <c r="G23" i="18"/>
  <c r="H22" i="18"/>
  <c r="G22" i="18"/>
  <c r="H21" i="18"/>
  <c r="G21" i="18"/>
  <c r="H20" i="18"/>
  <c r="G20" i="18"/>
  <c r="H19" i="18"/>
  <c r="G19" i="18"/>
  <c r="H18" i="18"/>
  <c r="G18" i="18"/>
  <c r="H17" i="18"/>
  <c r="G17" i="18"/>
  <c r="H16" i="18"/>
  <c r="G16" i="18"/>
  <c r="H15" i="18"/>
  <c r="G15" i="18"/>
  <c r="H14" i="18"/>
  <c r="G14" i="18"/>
  <c r="H13" i="18"/>
  <c r="G13" i="18"/>
  <c r="H12" i="18"/>
  <c r="G12" i="18"/>
  <c r="H11" i="18"/>
  <c r="G11" i="18"/>
  <c r="H10" i="18"/>
  <c r="G10" i="18"/>
  <c r="H9" i="18"/>
  <c r="G9" i="18"/>
  <c r="H8" i="18"/>
  <c r="G8" i="18"/>
  <c r="H7" i="18"/>
  <c r="G7" i="18"/>
  <c r="H6" i="18"/>
  <c r="G6" i="18"/>
  <c r="G5" i="18"/>
  <c r="P25" i="17" l="1"/>
  <c r="O25" i="17"/>
  <c r="O26" i="17"/>
  <c r="BF89" i="16"/>
  <c r="BF88" i="16"/>
  <c r="BF87" i="16"/>
  <c r="BF86" i="16"/>
  <c r="BF85" i="16"/>
  <c r="BF84" i="16"/>
  <c r="BF83" i="16"/>
  <c r="BF82" i="16"/>
  <c r="BF81" i="16"/>
  <c r="BF80" i="16"/>
  <c r="BF79" i="16"/>
  <c r="BF78" i="16"/>
  <c r="BF77" i="16"/>
  <c r="BF76" i="16"/>
  <c r="BF75" i="16"/>
  <c r="BF74" i="16"/>
  <c r="BF73" i="16"/>
  <c r="BF72" i="16"/>
  <c r="BF71" i="16"/>
  <c r="BF70" i="16"/>
  <c r="BF69" i="16"/>
  <c r="BF68" i="16"/>
  <c r="BF67" i="16"/>
  <c r="BF66" i="16"/>
  <c r="BF65" i="16"/>
  <c r="BF64" i="16"/>
  <c r="BF63" i="16"/>
  <c r="BF62" i="16"/>
  <c r="BF61" i="16"/>
  <c r="BF60" i="16"/>
  <c r="BF59" i="16"/>
  <c r="BF58" i="16"/>
  <c r="BF57" i="16"/>
  <c r="BF56" i="16"/>
  <c r="BF55" i="16"/>
  <c r="BF54" i="16"/>
  <c r="BF53" i="16"/>
  <c r="BF52" i="16"/>
  <c r="BF51" i="16"/>
  <c r="BF50" i="16"/>
  <c r="BF49" i="16"/>
  <c r="BF48" i="16"/>
  <c r="BF47" i="16"/>
  <c r="BF46" i="16"/>
  <c r="BF45" i="16"/>
  <c r="BF44" i="16"/>
  <c r="BF43" i="16"/>
  <c r="BF42" i="16"/>
  <c r="BF41" i="16"/>
  <c r="BF40" i="16"/>
  <c r="BF39" i="16"/>
  <c r="BF38" i="16"/>
  <c r="BF37" i="16"/>
  <c r="BF36" i="16"/>
  <c r="BF35" i="16"/>
  <c r="BF34" i="16"/>
  <c r="BF33" i="16"/>
  <c r="BF32" i="16"/>
  <c r="BF31" i="16"/>
  <c r="BF30" i="16"/>
  <c r="BF29" i="16"/>
  <c r="BF28" i="16"/>
  <c r="BF27" i="16"/>
  <c r="BF26" i="16"/>
  <c r="BF25" i="16"/>
  <c r="BF24" i="16"/>
  <c r="BF23" i="16"/>
  <c r="BF22" i="16"/>
  <c r="BF21" i="16"/>
  <c r="BF20" i="16"/>
  <c r="BF19" i="16"/>
  <c r="BF18" i="16"/>
  <c r="BF17" i="16"/>
  <c r="BF16" i="16"/>
  <c r="BF15" i="16"/>
  <c r="BF14" i="16"/>
  <c r="BF13" i="16"/>
  <c r="BF12" i="16"/>
  <c r="BF11" i="16"/>
  <c r="BF10" i="16"/>
  <c r="BF9" i="16"/>
  <c r="BF8" i="16"/>
  <c r="BF7" i="16"/>
  <c r="BF6" i="16"/>
  <c r="BF5" i="16"/>
  <c r="BB89" i="16"/>
  <c r="BB88" i="16"/>
  <c r="BB87" i="16"/>
  <c r="BB86" i="16"/>
  <c r="BB85" i="16"/>
  <c r="BB84" i="16"/>
  <c r="BB83" i="16"/>
  <c r="BB82" i="16"/>
  <c r="BB81" i="16"/>
  <c r="BB80" i="16"/>
  <c r="BB79" i="16"/>
  <c r="BB78" i="16"/>
  <c r="BB77" i="16"/>
  <c r="BB76" i="16"/>
  <c r="BB75" i="16"/>
  <c r="BB74" i="16"/>
  <c r="BB73" i="16"/>
  <c r="BB72" i="16"/>
  <c r="BB71" i="16"/>
  <c r="BB70" i="16"/>
  <c r="BB69" i="16"/>
  <c r="BB68" i="16"/>
  <c r="BB67" i="16"/>
  <c r="BB66" i="16"/>
  <c r="BB65" i="16"/>
  <c r="BB64" i="16"/>
  <c r="BB63" i="16"/>
  <c r="BB62" i="16"/>
  <c r="BB61" i="16"/>
  <c r="BB60" i="16"/>
  <c r="BB59" i="16"/>
  <c r="BB58" i="16"/>
  <c r="BB57" i="16"/>
  <c r="BB56" i="16"/>
  <c r="BB55" i="16"/>
  <c r="BB54" i="16"/>
  <c r="BB53" i="16"/>
  <c r="BB52" i="16"/>
  <c r="BB51" i="16"/>
  <c r="BB50" i="16"/>
  <c r="BB49" i="16"/>
  <c r="BB48" i="16"/>
  <c r="BB47" i="16"/>
  <c r="BB46" i="16"/>
  <c r="BB45" i="16"/>
  <c r="BB44" i="16"/>
  <c r="BB43" i="16"/>
  <c r="BB42" i="16"/>
  <c r="BB41" i="16"/>
  <c r="BB40" i="16"/>
  <c r="BB39" i="16"/>
  <c r="BB38" i="16"/>
  <c r="BB37" i="16"/>
  <c r="BB36" i="16"/>
  <c r="BB35" i="16"/>
  <c r="BB34" i="16"/>
  <c r="BB33" i="16"/>
  <c r="BB32" i="16"/>
  <c r="BB31" i="16"/>
  <c r="BB30" i="16"/>
  <c r="BB29" i="16"/>
  <c r="BB28" i="16"/>
  <c r="BB27" i="16"/>
  <c r="BB26" i="16"/>
  <c r="BB25" i="16"/>
  <c r="BB24" i="16"/>
  <c r="BB23" i="16"/>
  <c r="BB22" i="16"/>
  <c r="BB21" i="16"/>
  <c r="BB20" i="16"/>
  <c r="BB19" i="16"/>
  <c r="BB18" i="16"/>
  <c r="BB17" i="16"/>
  <c r="BB16" i="16"/>
  <c r="BB15" i="16"/>
  <c r="BB14" i="16"/>
  <c r="BB13" i="16"/>
  <c r="BB12" i="16"/>
  <c r="BB11" i="16"/>
  <c r="BB10" i="16"/>
  <c r="BB9" i="16"/>
  <c r="BB8" i="16"/>
  <c r="BB7" i="16"/>
  <c r="BB6" i="16"/>
  <c r="BB5" i="16"/>
  <c r="BB90" i="16" l="1"/>
  <c r="BF90" i="16"/>
  <c r="F6" i="18" l="1"/>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9" i="18"/>
  <c r="F5" i="18"/>
  <c r="AX89" i="16" l="1"/>
  <c r="AX88" i="16"/>
  <c r="AX87" i="16"/>
  <c r="AX86" i="16"/>
  <c r="AX85" i="16"/>
  <c r="AX84" i="16"/>
  <c r="AX83" i="16"/>
  <c r="AX82" i="16"/>
  <c r="AX81" i="16"/>
  <c r="AX80" i="16"/>
  <c r="AX79" i="16"/>
  <c r="AX78" i="16"/>
  <c r="AX77" i="16"/>
  <c r="AX76" i="16"/>
  <c r="AX75" i="16"/>
  <c r="AX74" i="16"/>
  <c r="AX73" i="16"/>
  <c r="AX72" i="16"/>
  <c r="AX71" i="16"/>
  <c r="AX70" i="16"/>
  <c r="AX69" i="16"/>
  <c r="AX68" i="16"/>
  <c r="AX67" i="16"/>
  <c r="AX66" i="16"/>
  <c r="AX65" i="16"/>
  <c r="AX64" i="16"/>
  <c r="AX63" i="16"/>
  <c r="AX62" i="16"/>
  <c r="AX61" i="16"/>
  <c r="AX60" i="16"/>
  <c r="AX59" i="16"/>
  <c r="AX58" i="16"/>
  <c r="AX57" i="16"/>
  <c r="AX56" i="16"/>
  <c r="AX55" i="16"/>
  <c r="AX54" i="16"/>
  <c r="AX53" i="16"/>
  <c r="AX52" i="16"/>
  <c r="AX51" i="16"/>
  <c r="AX50" i="16"/>
  <c r="AX49" i="16"/>
  <c r="AX48" i="16"/>
  <c r="AX47" i="16"/>
  <c r="AX46" i="16"/>
  <c r="AX45" i="16"/>
  <c r="AX44" i="16"/>
  <c r="AX43" i="16"/>
  <c r="AX42" i="16"/>
  <c r="AX41" i="16"/>
  <c r="AX40" i="16"/>
  <c r="AX39" i="16"/>
  <c r="AX38" i="16"/>
  <c r="AX37" i="16"/>
  <c r="AX36" i="16"/>
  <c r="AX35" i="16"/>
  <c r="AX34" i="16"/>
  <c r="AX33" i="16"/>
  <c r="AX32" i="16"/>
  <c r="AX31" i="16"/>
  <c r="AX30" i="16"/>
  <c r="AX29" i="16"/>
  <c r="AX28" i="16"/>
  <c r="AX27" i="16"/>
  <c r="AX26" i="16"/>
  <c r="AX25" i="16"/>
  <c r="AX24" i="16"/>
  <c r="AX23" i="16"/>
  <c r="AX22" i="16"/>
  <c r="AX21" i="16"/>
  <c r="AX20" i="16"/>
  <c r="AX19" i="16"/>
  <c r="AX18" i="16"/>
  <c r="AX17" i="16"/>
  <c r="AX16" i="16"/>
  <c r="AX15" i="16"/>
  <c r="AX14" i="16"/>
  <c r="AX13" i="16"/>
  <c r="AX12" i="16"/>
  <c r="AX11" i="16"/>
  <c r="AX10" i="16"/>
  <c r="AX9" i="16"/>
  <c r="AX8" i="16"/>
  <c r="AX7" i="16"/>
  <c r="AX6" i="16"/>
  <c r="AT89" i="16"/>
  <c r="AT88" i="16"/>
  <c r="AT87" i="16"/>
  <c r="AT86" i="16"/>
  <c r="AT85" i="16"/>
  <c r="AT84" i="16"/>
  <c r="AT83" i="16"/>
  <c r="AT82" i="16"/>
  <c r="AT81" i="16"/>
  <c r="AT80" i="16"/>
  <c r="AT79" i="16"/>
  <c r="AT78" i="16"/>
  <c r="AT77" i="16"/>
  <c r="AT76" i="16"/>
  <c r="AT75" i="16"/>
  <c r="AT74" i="16"/>
  <c r="AT73" i="16"/>
  <c r="AT72" i="16"/>
  <c r="AT71" i="16"/>
  <c r="AT70" i="16"/>
  <c r="AT69" i="16"/>
  <c r="AT68" i="16"/>
  <c r="AT67" i="16"/>
  <c r="AT66" i="16"/>
  <c r="AT65" i="16"/>
  <c r="AT64" i="16"/>
  <c r="AT63" i="16"/>
  <c r="AT62" i="16"/>
  <c r="AT61" i="16"/>
  <c r="AT60" i="16"/>
  <c r="AT59" i="16"/>
  <c r="AT58" i="16"/>
  <c r="AT57" i="16"/>
  <c r="AT56" i="16"/>
  <c r="AT55" i="16"/>
  <c r="AT54" i="16"/>
  <c r="AT53" i="16"/>
  <c r="AT52" i="16"/>
  <c r="AT51" i="16"/>
  <c r="AT50" i="16"/>
  <c r="AT49" i="16"/>
  <c r="AT48" i="16"/>
  <c r="AT47" i="16"/>
  <c r="AT46" i="16"/>
  <c r="AT45" i="16"/>
  <c r="AT44" i="16"/>
  <c r="AT43" i="16"/>
  <c r="AT42" i="16"/>
  <c r="AT41" i="16"/>
  <c r="AT40" i="16"/>
  <c r="AT39" i="16"/>
  <c r="AT38" i="16"/>
  <c r="AT37" i="16"/>
  <c r="AT36" i="16"/>
  <c r="AT35" i="16"/>
  <c r="AT34" i="16"/>
  <c r="AT33" i="16"/>
  <c r="AT32" i="16"/>
  <c r="AT31" i="16"/>
  <c r="AT30" i="16"/>
  <c r="AT29" i="16"/>
  <c r="AT28" i="16"/>
  <c r="AT27" i="16"/>
  <c r="AT26" i="16"/>
  <c r="AT25" i="16"/>
  <c r="AT24" i="16"/>
  <c r="AT23" i="16"/>
  <c r="AT22" i="16"/>
  <c r="AT21" i="16"/>
  <c r="AT20" i="16"/>
  <c r="AT19" i="16"/>
  <c r="AT18" i="16"/>
  <c r="AT17" i="16"/>
  <c r="AT16" i="16"/>
  <c r="AT15" i="16"/>
  <c r="AT14" i="16"/>
  <c r="AT13" i="16"/>
  <c r="AT12" i="16"/>
  <c r="AT11" i="16"/>
  <c r="AT10" i="16"/>
  <c r="AT9" i="16"/>
  <c r="AT8" i="16"/>
  <c r="AT7" i="16"/>
  <c r="AT6" i="16"/>
  <c r="AT5"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Z89" i="16"/>
  <c r="Z88" i="16"/>
  <c r="Z87" i="16"/>
  <c r="Z86" i="16"/>
  <c r="Z85" i="16"/>
  <c r="Z84" i="16"/>
  <c r="Z83" i="16"/>
  <c r="Z82" i="16"/>
  <c r="Z81" i="16"/>
  <c r="Z80" i="16"/>
  <c r="Z79" i="16"/>
  <c r="Z78" i="16"/>
  <c r="Z77" i="16"/>
  <c r="Z76" i="16"/>
  <c r="Z75" i="16"/>
  <c r="Z74" i="16"/>
  <c r="Z73" i="16"/>
  <c r="Z72" i="16"/>
  <c r="Z71" i="16"/>
  <c r="Z70" i="16"/>
  <c r="Z69" i="16"/>
  <c r="Z68" i="16"/>
  <c r="Z67" i="16"/>
  <c r="Z66" i="16"/>
  <c r="Z65" i="16"/>
  <c r="Z64" i="16"/>
  <c r="Z63" i="16"/>
  <c r="Z62" i="16"/>
  <c r="Z61" i="16"/>
  <c r="Z60" i="16"/>
  <c r="Z59" i="16"/>
  <c r="Z58" i="16"/>
  <c r="Z57" i="16"/>
  <c r="Z56" i="16"/>
  <c r="Z55" i="16"/>
  <c r="Z54" i="16"/>
  <c r="Z53" i="16"/>
  <c r="Z52" i="16"/>
  <c r="Z51" i="16"/>
  <c r="Z50" i="16"/>
  <c r="Z49" i="16"/>
  <c r="Z48" i="16"/>
  <c r="Z47" i="16"/>
  <c r="Z46" i="16"/>
  <c r="Z45" i="16"/>
  <c r="Z44" i="16"/>
  <c r="Z43" i="16"/>
  <c r="Z42" i="16"/>
  <c r="Z41" i="16"/>
  <c r="Z40" i="16"/>
  <c r="Z39" i="16"/>
  <c r="Z38" i="16"/>
  <c r="Z37" i="16"/>
  <c r="Z36" i="16"/>
  <c r="Z35"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AT90" i="16" l="1"/>
  <c r="A5" i="18" l="1"/>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H7" i="31" l="1"/>
  <c r="H71" i="26" l="1"/>
  <c r="H70" i="26"/>
  <c r="H69" i="26"/>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H9" i="26"/>
  <c r="H8" i="26"/>
  <c r="H7" i="26"/>
  <c r="H6" i="26"/>
  <c r="G8" i="31" l="1"/>
  <c r="F8" i="31"/>
  <c r="E8" i="31"/>
  <c r="C8" i="31"/>
  <c r="D8" i="31"/>
  <c r="R89" i="16" l="1"/>
  <c r="R88" i="16"/>
  <c r="R87" i="16"/>
  <c r="R86" i="16"/>
  <c r="R85" i="16"/>
  <c r="R84" i="16"/>
  <c r="R83" i="16"/>
  <c r="R82" i="16"/>
  <c r="R81" i="16"/>
  <c r="R80" i="16"/>
  <c r="R79" i="16"/>
  <c r="R78" i="16"/>
  <c r="R77" i="16"/>
  <c r="R76" i="16"/>
  <c r="R75" i="16"/>
  <c r="R74" i="16"/>
  <c r="R73" i="16"/>
  <c r="R72" i="16"/>
  <c r="R71" i="16"/>
  <c r="R70" i="16"/>
  <c r="R69" i="16"/>
  <c r="R68" i="16"/>
  <c r="R67" i="16"/>
  <c r="R66" i="16"/>
  <c r="R65" i="16"/>
  <c r="R64" i="16"/>
  <c r="R63" i="16"/>
  <c r="R62" i="16"/>
  <c r="R61" i="16"/>
  <c r="R60" i="16"/>
  <c r="R59" i="16"/>
  <c r="R58" i="16"/>
  <c r="R57" i="16"/>
  <c r="R56" i="16"/>
  <c r="R55" i="16"/>
  <c r="R54" i="16"/>
  <c r="R53" i="16"/>
  <c r="R52" i="16"/>
  <c r="R51" i="16"/>
  <c r="R50" i="16"/>
  <c r="R49" i="16"/>
  <c r="R48" i="16"/>
  <c r="R47" i="16"/>
  <c r="R46" i="16"/>
  <c r="R45" i="16"/>
  <c r="R44" i="16"/>
  <c r="R43" i="16"/>
  <c r="R42" i="16"/>
  <c r="R41" i="16"/>
  <c r="R40" i="16"/>
  <c r="R39" i="16"/>
  <c r="R38" i="16"/>
  <c r="R37" i="16"/>
  <c r="R36" i="16"/>
  <c r="R35" i="16"/>
  <c r="R34" i="16"/>
  <c r="R33" i="16"/>
  <c r="R32" i="16"/>
  <c r="R31" i="16"/>
  <c r="R30" i="16"/>
  <c r="R29" i="16"/>
  <c r="R28" i="16"/>
  <c r="R27" i="16"/>
  <c r="R26" i="16"/>
  <c r="R25" i="16"/>
  <c r="R24" i="16"/>
  <c r="R23" i="16"/>
  <c r="R22" i="16"/>
  <c r="R21" i="16"/>
  <c r="R20" i="16"/>
  <c r="R19" i="16"/>
  <c r="R18" i="16"/>
  <c r="R17" i="16"/>
  <c r="R16" i="16"/>
  <c r="R15" i="16"/>
  <c r="R14" i="16"/>
  <c r="R13" i="16"/>
  <c r="R12" i="16"/>
  <c r="R11" i="16"/>
  <c r="R10" i="16"/>
  <c r="R9" i="16"/>
  <c r="R8" i="16"/>
  <c r="R7" i="16"/>
  <c r="R6" i="16"/>
  <c r="V89" i="16"/>
  <c r="V88" i="16"/>
  <c r="V87" i="16"/>
  <c r="V86" i="16"/>
  <c r="V85" i="16"/>
  <c r="V84" i="16"/>
  <c r="V83" i="16"/>
  <c r="V82" i="16"/>
  <c r="V81" i="16"/>
  <c r="V80" i="16"/>
  <c r="V79" i="16"/>
  <c r="V78" i="16"/>
  <c r="V77" i="16"/>
  <c r="V76" i="16"/>
  <c r="V75" i="16"/>
  <c r="V74" i="16"/>
  <c r="V73" i="16"/>
  <c r="V72" i="16"/>
  <c r="V71" i="16"/>
  <c r="V70" i="16"/>
  <c r="V69" i="16"/>
  <c r="V68" i="16"/>
  <c r="V67" i="16"/>
  <c r="V66" i="16"/>
  <c r="V65" i="16"/>
  <c r="V64" i="16"/>
  <c r="V63" i="16"/>
  <c r="V62" i="16"/>
  <c r="V61" i="16"/>
  <c r="V60" i="16"/>
  <c r="V59" i="16"/>
  <c r="V58" i="16"/>
  <c r="V57" i="16"/>
  <c r="V56" i="16"/>
  <c r="V55" i="16"/>
  <c r="V54" i="16"/>
  <c r="V53" i="16"/>
  <c r="V52" i="16"/>
  <c r="V51" i="16"/>
  <c r="V50" i="16"/>
  <c r="V49" i="16"/>
  <c r="V48" i="16"/>
  <c r="V47" i="16"/>
  <c r="V46" i="16"/>
  <c r="V45" i="16"/>
  <c r="V44" i="16"/>
  <c r="V43" i="16"/>
  <c r="V42" i="16"/>
  <c r="V41" i="16"/>
  <c r="V40" i="16"/>
  <c r="V39" i="16"/>
  <c r="V38" i="16"/>
  <c r="V37" i="16"/>
  <c r="V36" i="16"/>
  <c r="V35" i="16"/>
  <c r="V34" i="16"/>
  <c r="V33" i="16"/>
  <c r="V32" i="16"/>
  <c r="V31" i="16"/>
  <c r="V30" i="16"/>
  <c r="V29" i="16"/>
  <c r="V28" i="16"/>
  <c r="V27" i="16"/>
  <c r="V26" i="16"/>
  <c r="V25" i="16"/>
  <c r="V24" i="16"/>
  <c r="V23" i="16"/>
  <c r="V22" i="16"/>
  <c r="V21" i="16"/>
  <c r="V20" i="16"/>
  <c r="V19" i="16"/>
  <c r="V18" i="16"/>
  <c r="V17" i="16"/>
  <c r="V16" i="16"/>
  <c r="V15" i="16"/>
  <c r="V14" i="16"/>
  <c r="V13" i="16"/>
  <c r="V12" i="16"/>
  <c r="V11" i="16"/>
  <c r="V10" i="16"/>
  <c r="V9" i="16"/>
  <c r="V8" i="16"/>
  <c r="V7" i="16"/>
  <c r="V6" i="16"/>
  <c r="AD89" i="16"/>
  <c r="AD88" i="16"/>
  <c r="AD87" i="16"/>
  <c r="AD86" i="16"/>
  <c r="AD85" i="16"/>
  <c r="AD84" i="16"/>
  <c r="AD83" i="16"/>
  <c r="AD82" i="16"/>
  <c r="AD81" i="16"/>
  <c r="AD80" i="16"/>
  <c r="AD79" i="16"/>
  <c r="AD78" i="16"/>
  <c r="AD77" i="16"/>
  <c r="AD76" i="16"/>
  <c r="AD75" i="16"/>
  <c r="AD74" i="16"/>
  <c r="AD73" i="16"/>
  <c r="AD72" i="16"/>
  <c r="AD71" i="16"/>
  <c r="AD70" i="16"/>
  <c r="AD69" i="16"/>
  <c r="AD68" i="16"/>
  <c r="AD67" i="16"/>
  <c r="AD66" i="16"/>
  <c r="AD65" i="16"/>
  <c r="AD64" i="16"/>
  <c r="AD63" i="16"/>
  <c r="AD62" i="16"/>
  <c r="AD61" i="16"/>
  <c r="AD60" i="16"/>
  <c r="AD59" i="16"/>
  <c r="AD58" i="16"/>
  <c r="AD57" i="16"/>
  <c r="AD56" i="16"/>
  <c r="AD55" i="16"/>
  <c r="AD54" i="16"/>
  <c r="AD53" i="16"/>
  <c r="AD52" i="16"/>
  <c r="AD51" i="16"/>
  <c r="AD50" i="16"/>
  <c r="AD49" i="16"/>
  <c r="AD48" i="16"/>
  <c r="AD47" i="16"/>
  <c r="AD46" i="16"/>
  <c r="AD45" i="16"/>
  <c r="AD44" i="16"/>
  <c r="AD43" i="16"/>
  <c r="AD42" i="16"/>
  <c r="AD41" i="16"/>
  <c r="AD40" i="16"/>
  <c r="AD39" i="16"/>
  <c r="AD38" i="16"/>
  <c r="AD37" i="16"/>
  <c r="AD36" i="16"/>
  <c r="AD35" i="16"/>
  <c r="AD34" i="16"/>
  <c r="AD33" i="16"/>
  <c r="AD32" i="16"/>
  <c r="AD31" i="16"/>
  <c r="AD30" i="16"/>
  <c r="AD29" i="16"/>
  <c r="AD28" i="16"/>
  <c r="AD27" i="16"/>
  <c r="AD26" i="16"/>
  <c r="AD25" i="16"/>
  <c r="AD24" i="16"/>
  <c r="AD23" i="16"/>
  <c r="AD22" i="16"/>
  <c r="AD21" i="16"/>
  <c r="AD20" i="16"/>
  <c r="AD19" i="16"/>
  <c r="AD18" i="16"/>
  <c r="AD17" i="16"/>
  <c r="AD16" i="16"/>
  <c r="AD15" i="16"/>
  <c r="AD14" i="16"/>
  <c r="AD13" i="16"/>
  <c r="AD12" i="16"/>
  <c r="AD11" i="16"/>
  <c r="AD10" i="16"/>
  <c r="AD9" i="16"/>
  <c r="AD8" i="16"/>
  <c r="AD7" i="16"/>
  <c r="AD6" i="16"/>
  <c r="AH89" i="16"/>
  <c r="AH88" i="16"/>
  <c r="AH87" i="16"/>
  <c r="AH86" i="16"/>
  <c r="AH85" i="16"/>
  <c r="AH84" i="16"/>
  <c r="AH83" i="16"/>
  <c r="AH82" i="16"/>
  <c r="AH81" i="16"/>
  <c r="AH80" i="16"/>
  <c r="AH79" i="16"/>
  <c r="AH78" i="16"/>
  <c r="AH77" i="16"/>
  <c r="AH76" i="16"/>
  <c r="AH75" i="16"/>
  <c r="AH74" i="16"/>
  <c r="AH73" i="16"/>
  <c r="AH72" i="16"/>
  <c r="AH71" i="16"/>
  <c r="AH70" i="16"/>
  <c r="AH69" i="16"/>
  <c r="AH68" i="16"/>
  <c r="AH67" i="16"/>
  <c r="AH66" i="16"/>
  <c r="AH65" i="16"/>
  <c r="AH64" i="16"/>
  <c r="AH63" i="16"/>
  <c r="AH62" i="16"/>
  <c r="AH61" i="16"/>
  <c r="AH60" i="16"/>
  <c r="AH59" i="16"/>
  <c r="AH58" i="16"/>
  <c r="AH57" i="16"/>
  <c r="AH56" i="16"/>
  <c r="AH55" i="16"/>
  <c r="AH54" i="16"/>
  <c r="AH53" i="16"/>
  <c r="AH52" i="16"/>
  <c r="AH51" i="16"/>
  <c r="AH50" i="16"/>
  <c r="AH49" i="16"/>
  <c r="AH48" i="16"/>
  <c r="AH47" i="16"/>
  <c r="AH46" i="16"/>
  <c r="AH45" i="16"/>
  <c r="AH44" i="16"/>
  <c r="AH43" i="16"/>
  <c r="AH42" i="16"/>
  <c r="AH41" i="16"/>
  <c r="AH40" i="16"/>
  <c r="AH39" i="16"/>
  <c r="AH38" i="16"/>
  <c r="AH37" i="16"/>
  <c r="AH36" i="16"/>
  <c r="AH35" i="16"/>
  <c r="AH34" i="16"/>
  <c r="AH33" i="16"/>
  <c r="AH32" i="16"/>
  <c r="AH31" i="16"/>
  <c r="AH30" i="16"/>
  <c r="AH29" i="16"/>
  <c r="AH28" i="16"/>
  <c r="AH27" i="16"/>
  <c r="AH26" i="16"/>
  <c r="AH25" i="16"/>
  <c r="AH24" i="16"/>
  <c r="AH23" i="16"/>
  <c r="AH22" i="16"/>
  <c r="AH21" i="16"/>
  <c r="AH20" i="16"/>
  <c r="AH19" i="16"/>
  <c r="AH18" i="16"/>
  <c r="AH17" i="16"/>
  <c r="AH16" i="16"/>
  <c r="AH15" i="16"/>
  <c r="AH14" i="16"/>
  <c r="AH13" i="16"/>
  <c r="AH12" i="16"/>
  <c r="AH11" i="16"/>
  <c r="AH10" i="16"/>
  <c r="AH9" i="16"/>
  <c r="AH8" i="16"/>
  <c r="AH7" i="16"/>
  <c r="AH6" i="16"/>
  <c r="AL89" i="16"/>
  <c r="AL88" i="16"/>
  <c r="AL87" i="16"/>
  <c r="AL86" i="16"/>
  <c r="AL85" i="16"/>
  <c r="AL84" i="16"/>
  <c r="AL83" i="16"/>
  <c r="AL82" i="16"/>
  <c r="AL81" i="16"/>
  <c r="AL80" i="16"/>
  <c r="AL79" i="16"/>
  <c r="AL78" i="16"/>
  <c r="AL77" i="16"/>
  <c r="AL76" i="16"/>
  <c r="AL75" i="16"/>
  <c r="AL74" i="16"/>
  <c r="AL73" i="16"/>
  <c r="AL72" i="16"/>
  <c r="AL71" i="16"/>
  <c r="AL70" i="16"/>
  <c r="AL69" i="16"/>
  <c r="AL68" i="16"/>
  <c r="AL67" i="16"/>
  <c r="AL66" i="16"/>
  <c r="AL65" i="16"/>
  <c r="AL64" i="16"/>
  <c r="AL63" i="16"/>
  <c r="AL62" i="16"/>
  <c r="AL61" i="16"/>
  <c r="AL60" i="16"/>
  <c r="AL59" i="16"/>
  <c r="AL58" i="16"/>
  <c r="AL57" i="16"/>
  <c r="AL56" i="16"/>
  <c r="AL55" i="16"/>
  <c r="AL54" i="16"/>
  <c r="AL53" i="16"/>
  <c r="AL52" i="16"/>
  <c r="AL51" i="16"/>
  <c r="AL50" i="16"/>
  <c r="AL49" i="16"/>
  <c r="AL48" i="16"/>
  <c r="AL47" i="16"/>
  <c r="AL46" i="16"/>
  <c r="AL45" i="16"/>
  <c r="AL44" i="16"/>
  <c r="AL43" i="16"/>
  <c r="AL42" i="16"/>
  <c r="AL41" i="16"/>
  <c r="AL40" i="16"/>
  <c r="AL39" i="16"/>
  <c r="AL38" i="16"/>
  <c r="AL37" i="16"/>
  <c r="AL36" i="16"/>
  <c r="AL35" i="16"/>
  <c r="AL34" i="16"/>
  <c r="AL33" i="16"/>
  <c r="AL32" i="16"/>
  <c r="AL31" i="16"/>
  <c r="AL30" i="16"/>
  <c r="AL29" i="16"/>
  <c r="AL28" i="16"/>
  <c r="AL27" i="16"/>
  <c r="AL26" i="16"/>
  <c r="AL25" i="16"/>
  <c r="AL24" i="16"/>
  <c r="AL23" i="16"/>
  <c r="AL22" i="16"/>
  <c r="AL21" i="16"/>
  <c r="AL20" i="16"/>
  <c r="AL19" i="16"/>
  <c r="AL18" i="16"/>
  <c r="AL17" i="16"/>
  <c r="AL16" i="16"/>
  <c r="AL15" i="16"/>
  <c r="AL14" i="16"/>
  <c r="AL13" i="16"/>
  <c r="AL12" i="16"/>
  <c r="AL11" i="16"/>
  <c r="AL10" i="16"/>
  <c r="AL9" i="16"/>
  <c r="AL8" i="16"/>
  <c r="AL7" i="16"/>
  <c r="AL6" i="16"/>
  <c r="AX5" i="16"/>
  <c r="AL5" i="16"/>
  <c r="AH5" i="16"/>
  <c r="AD5" i="16"/>
  <c r="Z5" i="16"/>
  <c r="V5" i="16"/>
  <c r="R5" i="16"/>
  <c r="BV36" i="18" l="1"/>
  <c r="BV89" i="18" l="1"/>
  <c r="BV85" i="18"/>
  <c r="BV81" i="18"/>
  <c r="BV73" i="18"/>
  <c r="BV69" i="18"/>
  <c r="BV65" i="18"/>
  <c r="BV61" i="18"/>
  <c r="BV57" i="18"/>
  <c r="BV53" i="18"/>
  <c r="BV49" i="18"/>
  <c r="BV45" i="18"/>
  <c r="BV41" i="18"/>
  <c r="BV33" i="18"/>
  <c r="BV29" i="18"/>
  <c r="BV25" i="18"/>
  <c r="BV21" i="18"/>
  <c r="BV17" i="18"/>
  <c r="BV13" i="18"/>
  <c r="BV9" i="18"/>
  <c r="BV88" i="18"/>
  <c r="BV84" i="18"/>
  <c r="BV80" i="18"/>
  <c r="BV76" i="18"/>
  <c r="BV72" i="18"/>
  <c r="BV68" i="18"/>
  <c r="BV64" i="18"/>
  <c r="BV60" i="18"/>
  <c r="BV56" i="18"/>
  <c r="BV52" i="18"/>
  <c r="BV48" i="18"/>
  <c r="BV44" i="18"/>
  <c r="BV40" i="18"/>
  <c r="BV32" i="18"/>
  <c r="BV28" i="18"/>
  <c r="BV24" i="18"/>
  <c r="BV20" i="18"/>
  <c r="BV16" i="18"/>
  <c r="BV12" i="18"/>
  <c r="BV8" i="18"/>
  <c r="BV87" i="18"/>
  <c r="BV83" i="18"/>
  <c r="BV75" i="18"/>
  <c r="BV71" i="18"/>
  <c r="BV67" i="18"/>
  <c r="BV63" i="18"/>
  <c r="BV59" i="18"/>
  <c r="BV55" i="18"/>
  <c r="BV51" i="18"/>
  <c r="BV47" i="18"/>
  <c r="BV43" i="18"/>
  <c r="BV35" i="18"/>
  <c r="BV31" i="18"/>
  <c r="BV27" i="18"/>
  <c r="BV23" i="18"/>
  <c r="BV19" i="18"/>
  <c r="BV15" i="18"/>
  <c r="BV86" i="18"/>
  <c r="BV82" i="18"/>
  <c r="BV78" i="18"/>
  <c r="BV70" i="18"/>
  <c r="BV66" i="18"/>
  <c r="BV62" i="18"/>
  <c r="BV58" i="18"/>
  <c r="BV54" i="18"/>
  <c r="BV50" i="18"/>
  <c r="BV46" i="18"/>
  <c r="BV42" i="18"/>
  <c r="BV38" i="18"/>
  <c r="BV34" i="18"/>
  <c r="BV30" i="18"/>
  <c r="BV26" i="18"/>
  <c r="BV22" i="18"/>
  <c r="BV18" i="18"/>
  <c r="BV14" i="18"/>
  <c r="BV10" i="18"/>
  <c r="BV6" i="18"/>
  <c r="BV5" i="18"/>
  <c r="H5" i="18"/>
  <c r="L5" i="18"/>
  <c r="P5" i="18"/>
  <c r="O5" i="18" s="1"/>
  <c r="T5" i="18"/>
  <c r="S5" i="18" s="1"/>
  <c r="X5" i="18"/>
  <c r="AB5" i="18"/>
  <c r="AA5" i="18" s="1"/>
  <c r="AF5" i="18"/>
  <c r="AJ5" i="18"/>
  <c r="AN5" i="18"/>
  <c r="AR5" i="18"/>
  <c r="AQ5" i="18" s="1"/>
  <c r="AV5" i="18"/>
  <c r="BF5" i="18"/>
  <c r="BH5" i="18"/>
  <c r="BI5" i="18"/>
  <c r="BK5" i="18"/>
  <c r="BL5" i="18"/>
  <c r="BM5" i="18"/>
  <c r="BN5" i="18"/>
  <c r="L6" i="18"/>
  <c r="K6" i="18" s="1"/>
  <c r="M6" i="18" s="1"/>
  <c r="P6" i="18"/>
  <c r="O6" i="18" s="1"/>
  <c r="Q6" i="18" s="1"/>
  <c r="T6" i="18"/>
  <c r="S6" i="18" s="1"/>
  <c r="U6" i="18" s="1"/>
  <c r="X6" i="18"/>
  <c r="W6" i="18" s="1"/>
  <c r="Y6" i="18" s="1"/>
  <c r="AB6" i="18"/>
  <c r="AA6" i="18" s="1"/>
  <c r="AC6" i="18" s="1"/>
  <c r="AF6" i="18"/>
  <c r="AE6" i="18" s="1"/>
  <c r="AG6" i="18" s="1"/>
  <c r="AJ6" i="18"/>
  <c r="AI6" i="18" s="1"/>
  <c r="AK6" i="18" s="1"/>
  <c r="AN6" i="18"/>
  <c r="AM6" i="18" s="1"/>
  <c r="AO6" i="18" s="1"/>
  <c r="AR6" i="18"/>
  <c r="AQ6" i="18" s="1"/>
  <c r="AS6" i="18" s="1"/>
  <c r="AV6" i="18"/>
  <c r="AU6" i="18" s="1"/>
  <c r="AW6" i="18" s="1"/>
  <c r="BF6" i="18"/>
  <c r="BG6" i="18"/>
  <c r="BH6" i="18"/>
  <c r="BI6" i="18"/>
  <c r="BK6" i="18"/>
  <c r="BL6" i="18"/>
  <c r="BM6" i="18"/>
  <c r="BN6" i="18"/>
  <c r="AZ6" i="18" l="1"/>
  <c r="BA6" i="18"/>
  <c r="I6" i="18"/>
  <c r="AU5" i="18"/>
  <c r="AX5" i="18" s="1"/>
  <c r="AE5" i="18"/>
  <c r="K5" i="18"/>
  <c r="N5" i="18" s="1"/>
  <c r="AM5" i="18"/>
  <c r="AP5" i="18" s="1"/>
  <c r="W5" i="18"/>
  <c r="Z5" i="18" s="1"/>
  <c r="AI5" i="18"/>
  <c r="AZ5" i="18"/>
  <c r="N6" i="18"/>
  <c r="J6" i="18"/>
  <c r="AX6" i="18"/>
  <c r="AT6" i="18"/>
  <c r="AP6" i="18"/>
  <c r="AL6" i="18"/>
  <c r="AH6" i="18"/>
  <c r="AD6" i="18"/>
  <c r="Z6" i="18"/>
  <c r="V6" i="18"/>
  <c r="R6" i="18"/>
  <c r="AS5" i="18"/>
  <c r="AT5" i="18" s="1"/>
  <c r="AC5" i="18"/>
  <c r="AD5" i="18" s="1"/>
  <c r="U5" i="18"/>
  <c r="V5" i="18" s="1"/>
  <c r="Q5" i="18"/>
  <c r="R5" i="18" s="1"/>
  <c r="J5" i="18" l="1"/>
  <c r="Y5" i="18"/>
  <c r="AW5" i="18"/>
  <c r="M5" i="18"/>
  <c r="I5" i="18"/>
  <c r="AG5" i="18"/>
  <c r="AH5" i="18" s="1"/>
  <c r="AK5" i="18"/>
  <c r="AL5" i="18" s="1"/>
  <c r="BA5" i="18"/>
  <c r="AO5" i="18"/>
  <c r="G26" i="17"/>
  <c r="N26" i="17" l="1"/>
  <c r="M26" i="17"/>
  <c r="L26" i="17"/>
  <c r="J26" i="17"/>
  <c r="I26" i="17"/>
  <c r="H26" i="17"/>
  <c r="F26" i="17"/>
  <c r="E26" i="17"/>
  <c r="D26" i="17"/>
  <c r="J90" i="16" l="1"/>
  <c r="BJ5" i="18" l="1"/>
  <c r="BO5" i="18"/>
  <c r="BZ5" i="18" s="1"/>
  <c r="BJ6" i="18"/>
  <c r="BO6" i="18"/>
  <c r="BZ6" i="18" s="1"/>
  <c r="AV9" i="18"/>
  <c r="AU9" i="18" s="1"/>
  <c r="AV10" i="18"/>
  <c r="AU10" i="18" s="1"/>
  <c r="AV11" i="18"/>
  <c r="AU11" i="18" s="1"/>
  <c r="AV12" i="18"/>
  <c r="AU12" i="18" s="1"/>
  <c r="AV13" i="18"/>
  <c r="AU13" i="18" s="1"/>
  <c r="AV14" i="18"/>
  <c r="AU14" i="18" s="1"/>
  <c r="AV15" i="18"/>
  <c r="AU15" i="18" s="1"/>
  <c r="AV16" i="18"/>
  <c r="AU16" i="18" s="1"/>
  <c r="AV17" i="18"/>
  <c r="AU17" i="18" s="1"/>
  <c r="AV18" i="18"/>
  <c r="AU18" i="18" s="1"/>
  <c r="AV19" i="18"/>
  <c r="AU19" i="18" s="1"/>
  <c r="AV20" i="18"/>
  <c r="AU20" i="18" s="1"/>
  <c r="AV21" i="18"/>
  <c r="AU21" i="18" s="1"/>
  <c r="AV22" i="18"/>
  <c r="AU22" i="18" s="1"/>
  <c r="AV23" i="18"/>
  <c r="AU23" i="18" s="1"/>
  <c r="AV24" i="18"/>
  <c r="AU24" i="18" s="1"/>
  <c r="AV25" i="18"/>
  <c r="AU25" i="18" s="1"/>
  <c r="AV26" i="18"/>
  <c r="AU26" i="18" s="1"/>
  <c r="AV27" i="18"/>
  <c r="AU27" i="18" s="1"/>
  <c r="AV28" i="18"/>
  <c r="AU28" i="18" s="1"/>
  <c r="AV29" i="18"/>
  <c r="AU29" i="18" s="1"/>
  <c r="AV30" i="18"/>
  <c r="AU30" i="18" s="1"/>
  <c r="AV31" i="18"/>
  <c r="AU31" i="18" s="1"/>
  <c r="AV32" i="18"/>
  <c r="AU32" i="18" s="1"/>
  <c r="AV33" i="18"/>
  <c r="AU33" i="18" s="1"/>
  <c r="AV34" i="18"/>
  <c r="AU34" i="18" s="1"/>
  <c r="AV35" i="18"/>
  <c r="AU35" i="18" s="1"/>
  <c r="AV36" i="18"/>
  <c r="AU36" i="18" s="1"/>
  <c r="AV37" i="18"/>
  <c r="AU37" i="18" s="1"/>
  <c r="AV38" i="18"/>
  <c r="AU38" i="18" s="1"/>
  <c r="AV39" i="18"/>
  <c r="AU39" i="18" s="1"/>
  <c r="AV40" i="18"/>
  <c r="AU40" i="18" s="1"/>
  <c r="AV41" i="18"/>
  <c r="AU41" i="18" s="1"/>
  <c r="AV42" i="18"/>
  <c r="AU42" i="18" s="1"/>
  <c r="AV43" i="18"/>
  <c r="AU43" i="18" s="1"/>
  <c r="AV44" i="18"/>
  <c r="AU44" i="18" s="1"/>
  <c r="AV45" i="18"/>
  <c r="AU45" i="18" s="1"/>
  <c r="AV46" i="18"/>
  <c r="AU46" i="18" s="1"/>
  <c r="AV47" i="18"/>
  <c r="AU47" i="18" s="1"/>
  <c r="AV48" i="18"/>
  <c r="AU48" i="18" s="1"/>
  <c r="AV49" i="18"/>
  <c r="AU49" i="18" s="1"/>
  <c r="AV50" i="18"/>
  <c r="AU50" i="18" s="1"/>
  <c r="AV51" i="18"/>
  <c r="AU51" i="18" s="1"/>
  <c r="AV52" i="18"/>
  <c r="AU52" i="18" s="1"/>
  <c r="AV53" i="18"/>
  <c r="AU53" i="18" s="1"/>
  <c r="AV54" i="18"/>
  <c r="AU54" i="18" s="1"/>
  <c r="AV55" i="18"/>
  <c r="AU55" i="18" s="1"/>
  <c r="AV56" i="18"/>
  <c r="AU56" i="18" s="1"/>
  <c r="AV57" i="18"/>
  <c r="AU57" i="18" s="1"/>
  <c r="AV58" i="18"/>
  <c r="AU58" i="18" s="1"/>
  <c r="AV59" i="18"/>
  <c r="AU59" i="18" s="1"/>
  <c r="AV60" i="18"/>
  <c r="AU60" i="18" s="1"/>
  <c r="AV61" i="18"/>
  <c r="AU61" i="18" s="1"/>
  <c r="AV62" i="18"/>
  <c r="AU62" i="18" s="1"/>
  <c r="AV63" i="18"/>
  <c r="AU63" i="18" s="1"/>
  <c r="AV64" i="18"/>
  <c r="AU64" i="18" s="1"/>
  <c r="AV65" i="18"/>
  <c r="AU65" i="18" s="1"/>
  <c r="AV66" i="18"/>
  <c r="AU66" i="18" s="1"/>
  <c r="AV67" i="18"/>
  <c r="AU67" i="18" s="1"/>
  <c r="AV68" i="18"/>
  <c r="AU68" i="18" s="1"/>
  <c r="AV69" i="18"/>
  <c r="AU69" i="18" s="1"/>
  <c r="AV70" i="18"/>
  <c r="AU70" i="18" s="1"/>
  <c r="AV71" i="18"/>
  <c r="AU71" i="18" s="1"/>
  <c r="AV72" i="18"/>
  <c r="AU72" i="18" s="1"/>
  <c r="AV73" i="18"/>
  <c r="AU73" i="18" s="1"/>
  <c r="AV74" i="18"/>
  <c r="AU74" i="18" s="1"/>
  <c r="AV75" i="18"/>
  <c r="AU75" i="18" s="1"/>
  <c r="AV76" i="18"/>
  <c r="AU76" i="18" s="1"/>
  <c r="AV77" i="18"/>
  <c r="AU77" i="18" s="1"/>
  <c r="AV78" i="18"/>
  <c r="AU78" i="18" s="1"/>
  <c r="AV79" i="18"/>
  <c r="AU79" i="18" s="1"/>
  <c r="AV80" i="18"/>
  <c r="AU80" i="18" s="1"/>
  <c r="AV81" i="18"/>
  <c r="AU81" i="18" s="1"/>
  <c r="AV82" i="18"/>
  <c r="AU82" i="18" s="1"/>
  <c r="AV83" i="18"/>
  <c r="AU83" i="18" s="1"/>
  <c r="AV84" i="18"/>
  <c r="AU84" i="18" s="1"/>
  <c r="AV85" i="18"/>
  <c r="AU85" i="18" s="1"/>
  <c r="AV86" i="18"/>
  <c r="AU86" i="18" s="1"/>
  <c r="AV87" i="18"/>
  <c r="AU87" i="18" s="1"/>
  <c r="AV88" i="18"/>
  <c r="AU88" i="18" s="1"/>
  <c r="AV89" i="18"/>
  <c r="AU89" i="18" s="1"/>
  <c r="AJ9" i="18"/>
  <c r="AI9" i="18" s="1"/>
  <c r="AJ10" i="18"/>
  <c r="AI10" i="18" s="1"/>
  <c r="AJ11" i="18"/>
  <c r="AI11" i="18" s="1"/>
  <c r="AJ12" i="18"/>
  <c r="AI12" i="18" s="1"/>
  <c r="AJ13" i="18"/>
  <c r="AI13" i="18" s="1"/>
  <c r="AJ14" i="18"/>
  <c r="AI14" i="18" s="1"/>
  <c r="AJ15" i="18"/>
  <c r="AI15" i="18" s="1"/>
  <c r="AJ16" i="18"/>
  <c r="AI16" i="18" s="1"/>
  <c r="AJ17" i="18"/>
  <c r="AI17" i="18" s="1"/>
  <c r="AJ18" i="18"/>
  <c r="AI18" i="18" s="1"/>
  <c r="AJ19" i="18"/>
  <c r="AI19" i="18" s="1"/>
  <c r="AJ20" i="18"/>
  <c r="AI20" i="18" s="1"/>
  <c r="AJ21" i="18"/>
  <c r="AI21" i="18" s="1"/>
  <c r="AJ22" i="18"/>
  <c r="AI22" i="18" s="1"/>
  <c r="AJ23" i="18"/>
  <c r="AI23" i="18" s="1"/>
  <c r="AJ24" i="18"/>
  <c r="AI24" i="18" s="1"/>
  <c r="AJ25" i="18"/>
  <c r="AI25" i="18" s="1"/>
  <c r="AJ26" i="18"/>
  <c r="AI26" i="18" s="1"/>
  <c r="AJ27" i="18"/>
  <c r="AI27" i="18" s="1"/>
  <c r="AJ28" i="18"/>
  <c r="AI28" i="18" s="1"/>
  <c r="AJ29" i="18"/>
  <c r="AI29" i="18" s="1"/>
  <c r="AJ30" i="18"/>
  <c r="AI30" i="18" s="1"/>
  <c r="AJ31" i="18"/>
  <c r="AI31" i="18" s="1"/>
  <c r="AJ32" i="18"/>
  <c r="AI32" i="18" s="1"/>
  <c r="AJ33" i="18"/>
  <c r="AI33" i="18" s="1"/>
  <c r="AJ34" i="18"/>
  <c r="AI34" i="18" s="1"/>
  <c r="AJ35" i="18"/>
  <c r="AI35" i="18" s="1"/>
  <c r="AJ36" i="18"/>
  <c r="AI36" i="18" s="1"/>
  <c r="AJ37" i="18"/>
  <c r="AI37" i="18" s="1"/>
  <c r="AJ38" i="18"/>
  <c r="AI38" i="18" s="1"/>
  <c r="AJ39" i="18"/>
  <c r="AI39" i="18" s="1"/>
  <c r="AJ40" i="18"/>
  <c r="AI40" i="18" s="1"/>
  <c r="AJ41" i="18"/>
  <c r="AI41" i="18" s="1"/>
  <c r="AJ42" i="18"/>
  <c r="AI42" i="18" s="1"/>
  <c r="AJ43" i="18"/>
  <c r="AI43" i="18" s="1"/>
  <c r="AJ44" i="18"/>
  <c r="AI44" i="18" s="1"/>
  <c r="AJ45" i="18"/>
  <c r="AI45" i="18" s="1"/>
  <c r="AJ46" i="18"/>
  <c r="AI46" i="18" s="1"/>
  <c r="AJ47" i="18"/>
  <c r="AI47" i="18" s="1"/>
  <c r="AJ48" i="18"/>
  <c r="AI48" i="18" s="1"/>
  <c r="AJ49" i="18"/>
  <c r="AI49" i="18" s="1"/>
  <c r="AJ50" i="18"/>
  <c r="AI50" i="18" s="1"/>
  <c r="AJ51" i="18"/>
  <c r="AI51" i="18" s="1"/>
  <c r="AJ52" i="18"/>
  <c r="AI52" i="18" s="1"/>
  <c r="AJ53" i="18"/>
  <c r="AI53" i="18" s="1"/>
  <c r="AJ54" i="18"/>
  <c r="AI54" i="18" s="1"/>
  <c r="AJ55" i="18"/>
  <c r="AI55" i="18" s="1"/>
  <c r="AJ56" i="18"/>
  <c r="AI56" i="18" s="1"/>
  <c r="AJ57" i="18"/>
  <c r="AI57" i="18" s="1"/>
  <c r="AJ58" i="18"/>
  <c r="AI58" i="18" s="1"/>
  <c r="AJ59" i="18"/>
  <c r="AI59" i="18" s="1"/>
  <c r="AJ60" i="18"/>
  <c r="AI60" i="18" s="1"/>
  <c r="AJ61" i="18"/>
  <c r="AI61" i="18" s="1"/>
  <c r="AJ62" i="18"/>
  <c r="AI62" i="18" s="1"/>
  <c r="AJ63" i="18"/>
  <c r="AI63" i="18" s="1"/>
  <c r="AJ64" i="18"/>
  <c r="AI64" i="18" s="1"/>
  <c r="AJ65" i="18"/>
  <c r="AI65" i="18" s="1"/>
  <c r="AJ66" i="18"/>
  <c r="AI66" i="18" s="1"/>
  <c r="AJ67" i="18"/>
  <c r="AI67" i="18" s="1"/>
  <c r="AJ68" i="18"/>
  <c r="AI68" i="18" s="1"/>
  <c r="AJ69" i="18"/>
  <c r="AI69" i="18" s="1"/>
  <c r="AJ70" i="18"/>
  <c r="AI70" i="18" s="1"/>
  <c r="AJ71" i="18"/>
  <c r="AI71" i="18" s="1"/>
  <c r="AJ72" i="18"/>
  <c r="AI72" i="18" s="1"/>
  <c r="AJ73" i="18"/>
  <c r="AI73" i="18" s="1"/>
  <c r="AJ74" i="18"/>
  <c r="AI74" i="18" s="1"/>
  <c r="AJ75" i="18"/>
  <c r="AI75" i="18" s="1"/>
  <c r="AJ76" i="18"/>
  <c r="AI76" i="18" s="1"/>
  <c r="AJ77" i="18"/>
  <c r="AI77" i="18" s="1"/>
  <c r="AJ78" i="18"/>
  <c r="AI78" i="18" s="1"/>
  <c r="AJ79" i="18"/>
  <c r="AI79" i="18" s="1"/>
  <c r="AJ80" i="18"/>
  <c r="AI80" i="18" s="1"/>
  <c r="AJ81" i="18"/>
  <c r="AI81" i="18" s="1"/>
  <c r="AJ82" i="18"/>
  <c r="AI82" i="18" s="1"/>
  <c r="AJ83" i="18"/>
  <c r="AI83" i="18" s="1"/>
  <c r="AJ84" i="18"/>
  <c r="AI84" i="18" s="1"/>
  <c r="AJ85" i="18"/>
  <c r="AI85" i="18" s="1"/>
  <c r="AJ86" i="18"/>
  <c r="AI86" i="18" s="1"/>
  <c r="AJ87" i="18"/>
  <c r="AI87" i="18" s="1"/>
  <c r="AJ88" i="18"/>
  <c r="AI88" i="18" s="1"/>
  <c r="AJ89" i="18"/>
  <c r="AI89" i="18" s="1"/>
  <c r="AF7" i="18"/>
  <c r="AE7" i="18" s="1"/>
  <c r="AF8" i="18"/>
  <c r="AE8" i="18" s="1"/>
  <c r="AF9" i="18"/>
  <c r="AE9" i="18" s="1"/>
  <c r="AF10" i="18"/>
  <c r="AE10" i="18" s="1"/>
  <c r="AF11" i="18"/>
  <c r="AE11" i="18" s="1"/>
  <c r="AF12" i="18"/>
  <c r="AE12" i="18" s="1"/>
  <c r="AF13" i="18"/>
  <c r="AE13" i="18" s="1"/>
  <c r="AF14" i="18"/>
  <c r="AE14" i="18" s="1"/>
  <c r="AF15" i="18"/>
  <c r="AE15" i="18" s="1"/>
  <c r="AF16" i="18"/>
  <c r="AE16" i="18" s="1"/>
  <c r="AF17" i="18"/>
  <c r="AE17" i="18" s="1"/>
  <c r="AF18" i="18"/>
  <c r="AE18" i="18" s="1"/>
  <c r="AF19" i="18"/>
  <c r="AE19" i="18" s="1"/>
  <c r="AF20" i="18"/>
  <c r="AE20" i="18" s="1"/>
  <c r="AF21" i="18"/>
  <c r="AE21" i="18" s="1"/>
  <c r="AF22" i="18"/>
  <c r="AE22" i="18" s="1"/>
  <c r="AF23" i="18"/>
  <c r="AE23" i="18" s="1"/>
  <c r="AF24" i="18"/>
  <c r="AE24" i="18" s="1"/>
  <c r="AF25" i="18"/>
  <c r="AE25" i="18" s="1"/>
  <c r="AF26" i="18"/>
  <c r="AE26" i="18" s="1"/>
  <c r="AF27" i="18"/>
  <c r="AE27" i="18" s="1"/>
  <c r="AF28" i="18"/>
  <c r="AE28" i="18" s="1"/>
  <c r="AF29" i="18"/>
  <c r="AE29" i="18" s="1"/>
  <c r="AF30" i="18"/>
  <c r="AE30" i="18" s="1"/>
  <c r="AF31" i="18"/>
  <c r="AE31" i="18" s="1"/>
  <c r="AF32" i="18"/>
  <c r="AE32" i="18" s="1"/>
  <c r="AF33" i="18"/>
  <c r="AE33" i="18" s="1"/>
  <c r="AF34" i="18"/>
  <c r="AE34" i="18" s="1"/>
  <c r="AF35" i="18"/>
  <c r="AE35" i="18" s="1"/>
  <c r="AF36" i="18"/>
  <c r="AE36" i="18" s="1"/>
  <c r="AF37" i="18"/>
  <c r="AE37" i="18" s="1"/>
  <c r="AF38" i="18"/>
  <c r="AE38" i="18" s="1"/>
  <c r="AF39" i="18"/>
  <c r="AE39" i="18" s="1"/>
  <c r="AF40" i="18"/>
  <c r="AE40" i="18" s="1"/>
  <c r="AF41" i="18"/>
  <c r="AE41" i="18" s="1"/>
  <c r="AF42" i="18"/>
  <c r="AE42" i="18" s="1"/>
  <c r="AF43" i="18"/>
  <c r="AE43" i="18" s="1"/>
  <c r="AF44" i="18"/>
  <c r="AE44" i="18" s="1"/>
  <c r="AF45" i="18"/>
  <c r="AE45" i="18" s="1"/>
  <c r="AF46" i="18"/>
  <c r="AE46" i="18" s="1"/>
  <c r="AF47" i="18"/>
  <c r="AE47" i="18" s="1"/>
  <c r="AF48" i="18"/>
  <c r="AE48" i="18" s="1"/>
  <c r="AF49" i="18"/>
  <c r="AE49" i="18" s="1"/>
  <c r="AF50" i="18"/>
  <c r="AE50" i="18" s="1"/>
  <c r="AF51" i="18"/>
  <c r="AE51" i="18" s="1"/>
  <c r="AF52" i="18"/>
  <c r="AE52" i="18" s="1"/>
  <c r="AF53" i="18"/>
  <c r="AE53" i="18" s="1"/>
  <c r="AF54" i="18"/>
  <c r="AE54" i="18" s="1"/>
  <c r="AF55" i="18"/>
  <c r="AE55" i="18" s="1"/>
  <c r="AF56" i="18"/>
  <c r="AE56" i="18" s="1"/>
  <c r="AF57" i="18"/>
  <c r="AE57" i="18" s="1"/>
  <c r="AF58" i="18"/>
  <c r="AE58" i="18" s="1"/>
  <c r="AF59" i="18"/>
  <c r="AE59" i="18" s="1"/>
  <c r="AF60" i="18"/>
  <c r="AE60" i="18" s="1"/>
  <c r="AF61" i="18"/>
  <c r="AE61" i="18" s="1"/>
  <c r="AF62" i="18"/>
  <c r="AE62" i="18" s="1"/>
  <c r="AF63" i="18"/>
  <c r="AE63" i="18" s="1"/>
  <c r="AF64" i="18"/>
  <c r="AE64" i="18" s="1"/>
  <c r="AF65" i="18"/>
  <c r="AE65" i="18" s="1"/>
  <c r="AF66" i="18"/>
  <c r="AE66" i="18" s="1"/>
  <c r="AF67" i="18"/>
  <c r="AE67" i="18" s="1"/>
  <c r="AF68" i="18"/>
  <c r="AE68" i="18" s="1"/>
  <c r="AF69" i="18"/>
  <c r="AE69" i="18" s="1"/>
  <c r="AF70" i="18"/>
  <c r="AE70" i="18" s="1"/>
  <c r="AF71" i="18"/>
  <c r="AE71" i="18" s="1"/>
  <c r="AF72" i="18"/>
  <c r="AE72" i="18" s="1"/>
  <c r="AF73" i="18"/>
  <c r="AE73" i="18" s="1"/>
  <c r="AF74" i="18"/>
  <c r="AE74" i="18" s="1"/>
  <c r="AF75" i="18"/>
  <c r="AE75" i="18" s="1"/>
  <c r="AF76" i="18"/>
  <c r="AE76" i="18" s="1"/>
  <c r="AF77" i="18"/>
  <c r="AE77" i="18" s="1"/>
  <c r="AF78" i="18"/>
  <c r="AE78" i="18" s="1"/>
  <c r="AF79" i="18"/>
  <c r="AE79" i="18" s="1"/>
  <c r="AF80" i="18"/>
  <c r="AE80" i="18" s="1"/>
  <c r="AF81" i="18"/>
  <c r="AE81" i="18" s="1"/>
  <c r="AF82" i="18"/>
  <c r="AE82" i="18" s="1"/>
  <c r="AF83" i="18"/>
  <c r="AE83" i="18" s="1"/>
  <c r="AF84" i="18"/>
  <c r="AE84" i="18" s="1"/>
  <c r="AF85" i="18"/>
  <c r="AE85" i="18" s="1"/>
  <c r="AF86" i="18"/>
  <c r="AE86" i="18" s="1"/>
  <c r="AF87" i="18"/>
  <c r="AE87" i="18" s="1"/>
  <c r="AF88" i="18"/>
  <c r="AE88" i="18" s="1"/>
  <c r="AF89" i="18"/>
  <c r="AE89" i="18" s="1"/>
  <c r="AB7" i="18"/>
  <c r="AA7" i="18" s="1"/>
  <c r="AB8" i="18"/>
  <c r="AA8" i="18" s="1"/>
  <c r="AB9" i="18"/>
  <c r="AA9" i="18" s="1"/>
  <c r="AB10" i="18"/>
  <c r="AA10" i="18" s="1"/>
  <c r="AB11" i="18"/>
  <c r="AA11" i="18" s="1"/>
  <c r="AB12" i="18"/>
  <c r="AA12" i="18" s="1"/>
  <c r="AB13" i="18"/>
  <c r="AA13" i="18" s="1"/>
  <c r="AB14" i="18"/>
  <c r="AA14" i="18" s="1"/>
  <c r="AB15" i="18"/>
  <c r="AA15" i="18" s="1"/>
  <c r="AB16" i="18"/>
  <c r="AA16" i="18" s="1"/>
  <c r="AB17" i="18"/>
  <c r="AA17" i="18" s="1"/>
  <c r="AB18" i="18"/>
  <c r="AA18" i="18" s="1"/>
  <c r="AB19" i="18"/>
  <c r="AA19" i="18" s="1"/>
  <c r="AB20" i="18"/>
  <c r="AA20" i="18" s="1"/>
  <c r="AB21" i="18"/>
  <c r="AA21" i="18" s="1"/>
  <c r="AB22" i="18"/>
  <c r="AA22" i="18" s="1"/>
  <c r="AB23" i="18"/>
  <c r="AA23" i="18" s="1"/>
  <c r="AB24" i="18"/>
  <c r="AA24" i="18" s="1"/>
  <c r="AB25" i="18"/>
  <c r="AA25" i="18" s="1"/>
  <c r="AB26" i="18"/>
  <c r="AA26" i="18" s="1"/>
  <c r="AB27" i="18"/>
  <c r="AA27" i="18" s="1"/>
  <c r="AB28" i="18"/>
  <c r="AA28" i="18" s="1"/>
  <c r="AB29" i="18"/>
  <c r="AA29" i="18" s="1"/>
  <c r="AB30" i="18"/>
  <c r="AA30" i="18" s="1"/>
  <c r="AB31" i="18"/>
  <c r="AA31" i="18" s="1"/>
  <c r="AB32" i="18"/>
  <c r="AA32" i="18" s="1"/>
  <c r="AB33" i="18"/>
  <c r="AA33" i="18" s="1"/>
  <c r="AB34" i="18"/>
  <c r="AA34" i="18" s="1"/>
  <c r="AB35" i="18"/>
  <c r="AA35" i="18" s="1"/>
  <c r="AB36" i="18"/>
  <c r="AA36" i="18" s="1"/>
  <c r="AB37" i="18"/>
  <c r="AA37" i="18" s="1"/>
  <c r="AB38" i="18"/>
  <c r="AA38" i="18" s="1"/>
  <c r="AB39" i="18"/>
  <c r="AA39" i="18" s="1"/>
  <c r="AB40" i="18"/>
  <c r="AA40" i="18" s="1"/>
  <c r="AB41" i="18"/>
  <c r="AA41" i="18" s="1"/>
  <c r="AB42" i="18"/>
  <c r="AA42" i="18" s="1"/>
  <c r="AB43" i="18"/>
  <c r="AA43" i="18" s="1"/>
  <c r="AB44" i="18"/>
  <c r="AA44" i="18" s="1"/>
  <c r="AB45" i="18"/>
  <c r="AA45" i="18" s="1"/>
  <c r="AB46" i="18"/>
  <c r="AA46" i="18" s="1"/>
  <c r="AB47" i="18"/>
  <c r="AA47" i="18" s="1"/>
  <c r="AB48" i="18"/>
  <c r="AA48" i="18" s="1"/>
  <c r="AB49" i="18"/>
  <c r="AA49" i="18" s="1"/>
  <c r="AB50" i="18"/>
  <c r="AA50" i="18" s="1"/>
  <c r="AB51" i="18"/>
  <c r="AA51" i="18" s="1"/>
  <c r="AB52" i="18"/>
  <c r="AA52" i="18" s="1"/>
  <c r="AB53" i="18"/>
  <c r="AA53" i="18" s="1"/>
  <c r="AB54" i="18"/>
  <c r="AA54" i="18" s="1"/>
  <c r="AB55" i="18"/>
  <c r="AA55" i="18" s="1"/>
  <c r="AB56" i="18"/>
  <c r="AA56" i="18" s="1"/>
  <c r="AB57" i="18"/>
  <c r="AA57" i="18" s="1"/>
  <c r="AB58" i="18"/>
  <c r="AA58" i="18" s="1"/>
  <c r="AB59" i="18"/>
  <c r="AA59" i="18" s="1"/>
  <c r="AB60" i="18"/>
  <c r="AA60" i="18" s="1"/>
  <c r="AB61" i="18"/>
  <c r="AA61" i="18" s="1"/>
  <c r="AB62" i="18"/>
  <c r="AA62" i="18" s="1"/>
  <c r="AB63" i="18"/>
  <c r="AA63" i="18" s="1"/>
  <c r="AB64" i="18"/>
  <c r="AA64" i="18" s="1"/>
  <c r="AB65" i="18"/>
  <c r="AA65" i="18" s="1"/>
  <c r="AB66" i="18"/>
  <c r="AA66" i="18" s="1"/>
  <c r="AB67" i="18"/>
  <c r="AA67" i="18" s="1"/>
  <c r="AB68" i="18"/>
  <c r="AA68" i="18" s="1"/>
  <c r="AB69" i="18"/>
  <c r="AA69" i="18" s="1"/>
  <c r="AB70" i="18"/>
  <c r="AA70" i="18" s="1"/>
  <c r="AB71" i="18"/>
  <c r="AA71" i="18" s="1"/>
  <c r="AB72" i="18"/>
  <c r="AA72" i="18" s="1"/>
  <c r="AB73" i="18"/>
  <c r="AA73" i="18" s="1"/>
  <c r="AB74" i="18"/>
  <c r="AA74" i="18" s="1"/>
  <c r="AB75" i="18"/>
  <c r="AA75" i="18" s="1"/>
  <c r="AB76" i="18"/>
  <c r="AA76" i="18" s="1"/>
  <c r="AB77" i="18"/>
  <c r="AA77" i="18" s="1"/>
  <c r="AB78" i="18"/>
  <c r="AA78" i="18" s="1"/>
  <c r="AB79" i="18"/>
  <c r="AA79" i="18" s="1"/>
  <c r="AB80" i="18"/>
  <c r="AA80" i="18" s="1"/>
  <c r="AB81" i="18"/>
  <c r="AA81" i="18" s="1"/>
  <c r="AB82" i="18"/>
  <c r="AA82" i="18" s="1"/>
  <c r="AB83" i="18"/>
  <c r="AA83" i="18" s="1"/>
  <c r="AB84" i="18"/>
  <c r="AA84" i="18" s="1"/>
  <c r="AB85" i="18"/>
  <c r="AA85" i="18" s="1"/>
  <c r="AB86" i="18"/>
  <c r="AA86" i="18" s="1"/>
  <c r="AB87" i="18"/>
  <c r="AA87" i="18" s="1"/>
  <c r="AB88" i="18"/>
  <c r="AA88" i="18" s="1"/>
  <c r="AB89" i="18"/>
  <c r="AA89" i="18" s="1"/>
  <c r="X7" i="18"/>
  <c r="W7" i="18" s="1"/>
  <c r="X8" i="18"/>
  <c r="W8" i="18" s="1"/>
  <c r="X9" i="18"/>
  <c r="W9" i="18" s="1"/>
  <c r="X10" i="18"/>
  <c r="W10" i="18" s="1"/>
  <c r="X11" i="18"/>
  <c r="W11" i="18" s="1"/>
  <c r="X12" i="18"/>
  <c r="W12" i="18" s="1"/>
  <c r="X13" i="18"/>
  <c r="W13" i="18" s="1"/>
  <c r="X14" i="18"/>
  <c r="W14" i="18" s="1"/>
  <c r="X15" i="18"/>
  <c r="W15" i="18" s="1"/>
  <c r="X16" i="18"/>
  <c r="W16" i="18" s="1"/>
  <c r="X17" i="18"/>
  <c r="W17" i="18" s="1"/>
  <c r="X18" i="18"/>
  <c r="W18" i="18" s="1"/>
  <c r="X19" i="18"/>
  <c r="W19" i="18" s="1"/>
  <c r="X20" i="18"/>
  <c r="W20" i="18" s="1"/>
  <c r="X21" i="18"/>
  <c r="W21" i="18" s="1"/>
  <c r="X22" i="18"/>
  <c r="W22" i="18" s="1"/>
  <c r="X23" i="18"/>
  <c r="W23" i="18" s="1"/>
  <c r="X24" i="18"/>
  <c r="W24" i="18" s="1"/>
  <c r="X25" i="18"/>
  <c r="W25" i="18" s="1"/>
  <c r="X26" i="18"/>
  <c r="W26" i="18" s="1"/>
  <c r="X27" i="18"/>
  <c r="W27" i="18" s="1"/>
  <c r="X28" i="18"/>
  <c r="W28" i="18" s="1"/>
  <c r="X29" i="18"/>
  <c r="W29" i="18" s="1"/>
  <c r="X30" i="18"/>
  <c r="W30" i="18" s="1"/>
  <c r="X31" i="18"/>
  <c r="W31" i="18" s="1"/>
  <c r="X32" i="18"/>
  <c r="W32" i="18" s="1"/>
  <c r="X33" i="18"/>
  <c r="W33" i="18" s="1"/>
  <c r="X34" i="18"/>
  <c r="W34" i="18" s="1"/>
  <c r="X35" i="18"/>
  <c r="W35" i="18" s="1"/>
  <c r="X36" i="18"/>
  <c r="W36" i="18" s="1"/>
  <c r="X37" i="18"/>
  <c r="W37" i="18" s="1"/>
  <c r="X38" i="18"/>
  <c r="W38" i="18" s="1"/>
  <c r="X39" i="18"/>
  <c r="W39" i="18" s="1"/>
  <c r="X40" i="18"/>
  <c r="W40" i="18" s="1"/>
  <c r="X41" i="18"/>
  <c r="W41" i="18" s="1"/>
  <c r="X42" i="18"/>
  <c r="W42" i="18" s="1"/>
  <c r="X43" i="18"/>
  <c r="W43" i="18" s="1"/>
  <c r="X44" i="18"/>
  <c r="W44" i="18" s="1"/>
  <c r="X45" i="18"/>
  <c r="W45" i="18" s="1"/>
  <c r="X46" i="18"/>
  <c r="W46" i="18" s="1"/>
  <c r="X47" i="18"/>
  <c r="W47" i="18" s="1"/>
  <c r="X48" i="18"/>
  <c r="W48" i="18" s="1"/>
  <c r="X49" i="18"/>
  <c r="W49" i="18" s="1"/>
  <c r="X50" i="18"/>
  <c r="W50" i="18" s="1"/>
  <c r="X51" i="18"/>
  <c r="W51" i="18" s="1"/>
  <c r="X52" i="18"/>
  <c r="W52" i="18" s="1"/>
  <c r="X53" i="18"/>
  <c r="W53" i="18" s="1"/>
  <c r="X54" i="18"/>
  <c r="W54" i="18" s="1"/>
  <c r="X55" i="18"/>
  <c r="W55" i="18" s="1"/>
  <c r="X56" i="18"/>
  <c r="W56" i="18" s="1"/>
  <c r="X57" i="18"/>
  <c r="W57" i="18" s="1"/>
  <c r="X58" i="18"/>
  <c r="W58" i="18" s="1"/>
  <c r="X59" i="18"/>
  <c r="W59" i="18" s="1"/>
  <c r="X60" i="18"/>
  <c r="W60" i="18" s="1"/>
  <c r="X61" i="18"/>
  <c r="W61" i="18" s="1"/>
  <c r="X62" i="18"/>
  <c r="W62" i="18" s="1"/>
  <c r="X63" i="18"/>
  <c r="W63" i="18" s="1"/>
  <c r="X64" i="18"/>
  <c r="W64" i="18" s="1"/>
  <c r="X65" i="18"/>
  <c r="W65" i="18" s="1"/>
  <c r="X66" i="18"/>
  <c r="W66" i="18" s="1"/>
  <c r="X67" i="18"/>
  <c r="W67" i="18" s="1"/>
  <c r="X68" i="18"/>
  <c r="W68" i="18" s="1"/>
  <c r="X69" i="18"/>
  <c r="W69" i="18" s="1"/>
  <c r="X70" i="18"/>
  <c r="W70" i="18" s="1"/>
  <c r="X71" i="18"/>
  <c r="W71" i="18" s="1"/>
  <c r="X72" i="18"/>
  <c r="W72" i="18" s="1"/>
  <c r="X73" i="18"/>
  <c r="W73" i="18" s="1"/>
  <c r="X74" i="18"/>
  <c r="W74" i="18" s="1"/>
  <c r="X75" i="18"/>
  <c r="W75" i="18" s="1"/>
  <c r="X76" i="18"/>
  <c r="W76" i="18" s="1"/>
  <c r="X77" i="18"/>
  <c r="W77" i="18" s="1"/>
  <c r="X78" i="18"/>
  <c r="W78" i="18" s="1"/>
  <c r="X79" i="18"/>
  <c r="W79" i="18" s="1"/>
  <c r="X80" i="18"/>
  <c r="W80" i="18" s="1"/>
  <c r="X81" i="18"/>
  <c r="W81" i="18" s="1"/>
  <c r="X82" i="18"/>
  <c r="W82" i="18" s="1"/>
  <c r="X83" i="18"/>
  <c r="W83" i="18" s="1"/>
  <c r="X84" i="18"/>
  <c r="W84" i="18" s="1"/>
  <c r="X85" i="18"/>
  <c r="W85" i="18" s="1"/>
  <c r="X86" i="18"/>
  <c r="W86" i="18" s="1"/>
  <c r="X87" i="18"/>
  <c r="W87" i="18" s="1"/>
  <c r="X88" i="18"/>
  <c r="W88" i="18" s="1"/>
  <c r="X89" i="18"/>
  <c r="W89" i="18" s="1"/>
  <c r="T7" i="18"/>
  <c r="S7" i="18" s="1"/>
  <c r="T8" i="18"/>
  <c r="S8" i="18" s="1"/>
  <c r="T9" i="18"/>
  <c r="S9" i="18" s="1"/>
  <c r="T10" i="18"/>
  <c r="S10" i="18" s="1"/>
  <c r="T11" i="18"/>
  <c r="S11" i="18" s="1"/>
  <c r="T12" i="18"/>
  <c r="S12" i="18" s="1"/>
  <c r="T13" i="18"/>
  <c r="S13" i="18" s="1"/>
  <c r="T14" i="18"/>
  <c r="S14" i="18" s="1"/>
  <c r="T15" i="18"/>
  <c r="S15" i="18" s="1"/>
  <c r="T16" i="18"/>
  <c r="S16" i="18" s="1"/>
  <c r="T17" i="18"/>
  <c r="S17" i="18" s="1"/>
  <c r="T18" i="18"/>
  <c r="S18" i="18" s="1"/>
  <c r="T19" i="18"/>
  <c r="S19" i="18" s="1"/>
  <c r="T20" i="18"/>
  <c r="S20" i="18" s="1"/>
  <c r="T21" i="18"/>
  <c r="S21" i="18" s="1"/>
  <c r="T22" i="18"/>
  <c r="S22" i="18" s="1"/>
  <c r="T23" i="18"/>
  <c r="S23" i="18" s="1"/>
  <c r="T24" i="18"/>
  <c r="S24" i="18" s="1"/>
  <c r="T25" i="18"/>
  <c r="S25" i="18" s="1"/>
  <c r="T26" i="18"/>
  <c r="S26" i="18" s="1"/>
  <c r="T27" i="18"/>
  <c r="S27" i="18" s="1"/>
  <c r="T28" i="18"/>
  <c r="S28" i="18" s="1"/>
  <c r="T29" i="18"/>
  <c r="S29" i="18" s="1"/>
  <c r="T30" i="18"/>
  <c r="S30" i="18" s="1"/>
  <c r="T31" i="18"/>
  <c r="S31" i="18" s="1"/>
  <c r="T32" i="18"/>
  <c r="S32" i="18" s="1"/>
  <c r="T33" i="18"/>
  <c r="S33" i="18" s="1"/>
  <c r="T34" i="18"/>
  <c r="S34" i="18" s="1"/>
  <c r="T35" i="18"/>
  <c r="S35" i="18" s="1"/>
  <c r="T36" i="18"/>
  <c r="S36" i="18" s="1"/>
  <c r="T37" i="18"/>
  <c r="S37" i="18" s="1"/>
  <c r="T38" i="18"/>
  <c r="S38" i="18" s="1"/>
  <c r="T39" i="18"/>
  <c r="S39" i="18" s="1"/>
  <c r="T40" i="18"/>
  <c r="S40" i="18" s="1"/>
  <c r="T41" i="18"/>
  <c r="S41" i="18" s="1"/>
  <c r="T42" i="18"/>
  <c r="S42" i="18" s="1"/>
  <c r="T43" i="18"/>
  <c r="S43" i="18" s="1"/>
  <c r="T44" i="18"/>
  <c r="S44" i="18" s="1"/>
  <c r="T45" i="18"/>
  <c r="S45" i="18" s="1"/>
  <c r="T46" i="18"/>
  <c r="S46" i="18" s="1"/>
  <c r="T47" i="18"/>
  <c r="S47" i="18" s="1"/>
  <c r="T48" i="18"/>
  <c r="S48" i="18" s="1"/>
  <c r="T49" i="18"/>
  <c r="S49" i="18" s="1"/>
  <c r="T50" i="18"/>
  <c r="S50" i="18" s="1"/>
  <c r="T51" i="18"/>
  <c r="S51" i="18" s="1"/>
  <c r="T52" i="18"/>
  <c r="S52" i="18" s="1"/>
  <c r="T53" i="18"/>
  <c r="S53" i="18" s="1"/>
  <c r="T54" i="18"/>
  <c r="S54" i="18" s="1"/>
  <c r="T55" i="18"/>
  <c r="S55" i="18" s="1"/>
  <c r="T56" i="18"/>
  <c r="S56" i="18" s="1"/>
  <c r="T57" i="18"/>
  <c r="S57" i="18" s="1"/>
  <c r="T58" i="18"/>
  <c r="S58" i="18" s="1"/>
  <c r="T59" i="18"/>
  <c r="S59" i="18" s="1"/>
  <c r="T60" i="18"/>
  <c r="S60" i="18" s="1"/>
  <c r="T61" i="18"/>
  <c r="S61" i="18" s="1"/>
  <c r="T62" i="18"/>
  <c r="S62" i="18" s="1"/>
  <c r="T63" i="18"/>
  <c r="S63" i="18" s="1"/>
  <c r="T64" i="18"/>
  <c r="S64" i="18" s="1"/>
  <c r="T65" i="18"/>
  <c r="S65" i="18" s="1"/>
  <c r="T66" i="18"/>
  <c r="S66" i="18" s="1"/>
  <c r="T67" i="18"/>
  <c r="S67" i="18" s="1"/>
  <c r="T68" i="18"/>
  <c r="S68" i="18" s="1"/>
  <c r="T69" i="18"/>
  <c r="S69" i="18" s="1"/>
  <c r="T70" i="18"/>
  <c r="S70" i="18" s="1"/>
  <c r="T71" i="18"/>
  <c r="S71" i="18" s="1"/>
  <c r="T72" i="18"/>
  <c r="S72" i="18" s="1"/>
  <c r="T73" i="18"/>
  <c r="S73" i="18" s="1"/>
  <c r="T74" i="18"/>
  <c r="S74" i="18" s="1"/>
  <c r="T75" i="18"/>
  <c r="S75" i="18" s="1"/>
  <c r="T76" i="18"/>
  <c r="S76" i="18" s="1"/>
  <c r="T77" i="18"/>
  <c r="S77" i="18" s="1"/>
  <c r="T78" i="18"/>
  <c r="S78" i="18" s="1"/>
  <c r="T79" i="18"/>
  <c r="S79" i="18" s="1"/>
  <c r="T80" i="18"/>
  <c r="S80" i="18" s="1"/>
  <c r="T81" i="18"/>
  <c r="S81" i="18" s="1"/>
  <c r="T82" i="18"/>
  <c r="S82" i="18" s="1"/>
  <c r="T83" i="18"/>
  <c r="S83" i="18" s="1"/>
  <c r="T84" i="18"/>
  <c r="S84" i="18" s="1"/>
  <c r="T85" i="18"/>
  <c r="S85" i="18" s="1"/>
  <c r="T86" i="18"/>
  <c r="S86" i="18" s="1"/>
  <c r="T87" i="18"/>
  <c r="S87" i="18" s="1"/>
  <c r="T88" i="18"/>
  <c r="S88" i="18" s="1"/>
  <c r="T89" i="18"/>
  <c r="S89" i="18" s="1"/>
  <c r="P7" i="18"/>
  <c r="O7" i="18" s="1"/>
  <c r="P8" i="18"/>
  <c r="O8" i="18" s="1"/>
  <c r="P9" i="18"/>
  <c r="O9" i="18" s="1"/>
  <c r="P10" i="18"/>
  <c r="O10" i="18" s="1"/>
  <c r="P11" i="18"/>
  <c r="O11" i="18" s="1"/>
  <c r="P12" i="18"/>
  <c r="O12" i="18" s="1"/>
  <c r="P13" i="18"/>
  <c r="O13" i="18" s="1"/>
  <c r="P14" i="18"/>
  <c r="O14" i="18" s="1"/>
  <c r="P15" i="18"/>
  <c r="O15" i="18" s="1"/>
  <c r="P16" i="18"/>
  <c r="O16" i="18" s="1"/>
  <c r="P17" i="18"/>
  <c r="O17" i="18" s="1"/>
  <c r="P18" i="18"/>
  <c r="O18" i="18" s="1"/>
  <c r="P19" i="18"/>
  <c r="O19" i="18" s="1"/>
  <c r="P20" i="18"/>
  <c r="O20" i="18" s="1"/>
  <c r="P21" i="18"/>
  <c r="O21" i="18" s="1"/>
  <c r="P22" i="18"/>
  <c r="O22" i="18" s="1"/>
  <c r="P23" i="18"/>
  <c r="O23" i="18" s="1"/>
  <c r="P24" i="18"/>
  <c r="O24" i="18" s="1"/>
  <c r="P25" i="18"/>
  <c r="O25" i="18" s="1"/>
  <c r="P26" i="18"/>
  <c r="O26" i="18" s="1"/>
  <c r="P27" i="18"/>
  <c r="O27" i="18" s="1"/>
  <c r="P28" i="18"/>
  <c r="O28" i="18" s="1"/>
  <c r="P29" i="18"/>
  <c r="O29" i="18" s="1"/>
  <c r="P30" i="18"/>
  <c r="O30" i="18" s="1"/>
  <c r="P31" i="18"/>
  <c r="O31" i="18" s="1"/>
  <c r="P32" i="18"/>
  <c r="O32" i="18" s="1"/>
  <c r="P33" i="18"/>
  <c r="O33" i="18" s="1"/>
  <c r="P34" i="18"/>
  <c r="O34" i="18" s="1"/>
  <c r="P35" i="18"/>
  <c r="O35" i="18" s="1"/>
  <c r="P36" i="18"/>
  <c r="O36" i="18" s="1"/>
  <c r="P37" i="18"/>
  <c r="O37" i="18" s="1"/>
  <c r="P38" i="18"/>
  <c r="O38" i="18" s="1"/>
  <c r="P39" i="18"/>
  <c r="O39" i="18" s="1"/>
  <c r="P40" i="18"/>
  <c r="O40" i="18" s="1"/>
  <c r="P41" i="18"/>
  <c r="O41" i="18" s="1"/>
  <c r="P42" i="18"/>
  <c r="O42" i="18" s="1"/>
  <c r="P43" i="18"/>
  <c r="O43" i="18" s="1"/>
  <c r="P44" i="18"/>
  <c r="O44" i="18" s="1"/>
  <c r="P45" i="18"/>
  <c r="O45" i="18" s="1"/>
  <c r="P46" i="18"/>
  <c r="O46" i="18" s="1"/>
  <c r="P47" i="18"/>
  <c r="O47" i="18" s="1"/>
  <c r="P48" i="18"/>
  <c r="O48" i="18" s="1"/>
  <c r="P49" i="18"/>
  <c r="O49" i="18" s="1"/>
  <c r="P50" i="18"/>
  <c r="O50" i="18" s="1"/>
  <c r="P51" i="18"/>
  <c r="O51" i="18" s="1"/>
  <c r="P52" i="18"/>
  <c r="O52" i="18" s="1"/>
  <c r="P53" i="18"/>
  <c r="O53" i="18" s="1"/>
  <c r="P54" i="18"/>
  <c r="O54" i="18" s="1"/>
  <c r="P55" i="18"/>
  <c r="O55" i="18" s="1"/>
  <c r="P56" i="18"/>
  <c r="O56" i="18" s="1"/>
  <c r="P57" i="18"/>
  <c r="O57" i="18" s="1"/>
  <c r="P58" i="18"/>
  <c r="O58" i="18" s="1"/>
  <c r="P59" i="18"/>
  <c r="O59" i="18" s="1"/>
  <c r="P60" i="18"/>
  <c r="O60" i="18" s="1"/>
  <c r="P61" i="18"/>
  <c r="O61" i="18" s="1"/>
  <c r="P62" i="18"/>
  <c r="O62" i="18" s="1"/>
  <c r="P63" i="18"/>
  <c r="O63" i="18" s="1"/>
  <c r="P64" i="18"/>
  <c r="O64" i="18" s="1"/>
  <c r="P65" i="18"/>
  <c r="O65" i="18" s="1"/>
  <c r="P66" i="18"/>
  <c r="O66" i="18" s="1"/>
  <c r="P67" i="18"/>
  <c r="O67" i="18" s="1"/>
  <c r="P68" i="18"/>
  <c r="O68" i="18" s="1"/>
  <c r="P69" i="18"/>
  <c r="O69" i="18" s="1"/>
  <c r="P70" i="18"/>
  <c r="O70" i="18" s="1"/>
  <c r="P71" i="18"/>
  <c r="O71" i="18" s="1"/>
  <c r="P72" i="18"/>
  <c r="O72" i="18" s="1"/>
  <c r="P73" i="18"/>
  <c r="O73" i="18" s="1"/>
  <c r="P74" i="18"/>
  <c r="O74" i="18" s="1"/>
  <c r="P75" i="18"/>
  <c r="O75" i="18" s="1"/>
  <c r="P76" i="18"/>
  <c r="O76" i="18" s="1"/>
  <c r="P77" i="18"/>
  <c r="O77" i="18" s="1"/>
  <c r="P78" i="18"/>
  <c r="O78" i="18" s="1"/>
  <c r="P79" i="18"/>
  <c r="O79" i="18" s="1"/>
  <c r="P80" i="18"/>
  <c r="O80" i="18" s="1"/>
  <c r="P81" i="18"/>
  <c r="O81" i="18" s="1"/>
  <c r="P82" i="18"/>
  <c r="O82" i="18" s="1"/>
  <c r="P83" i="18"/>
  <c r="O83" i="18" s="1"/>
  <c r="P84" i="18"/>
  <c r="O84" i="18" s="1"/>
  <c r="P85" i="18"/>
  <c r="O85" i="18" s="1"/>
  <c r="P86" i="18"/>
  <c r="O86" i="18" s="1"/>
  <c r="P87" i="18"/>
  <c r="O87" i="18" s="1"/>
  <c r="P88" i="18"/>
  <c r="O88" i="18" s="1"/>
  <c r="P89" i="18"/>
  <c r="O89" i="18" s="1"/>
  <c r="L7" i="18"/>
  <c r="K7" i="18" s="1"/>
  <c r="L8" i="18"/>
  <c r="K8" i="18" s="1"/>
  <c r="L9" i="18"/>
  <c r="K9" i="18" s="1"/>
  <c r="L10" i="18"/>
  <c r="K10" i="18" s="1"/>
  <c r="L11" i="18"/>
  <c r="K11" i="18" s="1"/>
  <c r="L12" i="18"/>
  <c r="K12" i="18" s="1"/>
  <c r="L13" i="18"/>
  <c r="K13" i="18" s="1"/>
  <c r="L14" i="18"/>
  <c r="K14" i="18" s="1"/>
  <c r="L15" i="18"/>
  <c r="K15" i="18" s="1"/>
  <c r="L16" i="18"/>
  <c r="K16" i="18" s="1"/>
  <c r="L17" i="18"/>
  <c r="K17" i="18" s="1"/>
  <c r="L18" i="18"/>
  <c r="K18" i="18" s="1"/>
  <c r="L19" i="18"/>
  <c r="K19" i="18" s="1"/>
  <c r="L20" i="18"/>
  <c r="K20" i="18" s="1"/>
  <c r="L21" i="18"/>
  <c r="K21" i="18" s="1"/>
  <c r="L22" i="18"/>
  <c r="K22" i="18" s="1"/>
  <c r="L23" i="18"/>
  <c r="K23" i="18" s="1"/>
  <c r="L24" i="18"/>
  <c r="K24" i="18" s="1"/>
  <c r="L25" i="18"/>
  <c r="K25" i="18" s="1"/>
  <c r="L26" i="18"/>
  <c r="K26" i="18" s="1"/>
  <c r="L27" i="18"/>
  <c r="K27" i="18" s="1"/>
  <c r="L28" i="18"/>
  <c r="K28" i="18" s="1"/>
  <c r="L29" i="18"/>
  <c r="K29" i="18" s="1"/>
  <c r="L30" i="18"/>
  <c r="K30" i="18" s="1"/>
  <c r="L31" i="18"/>
  <c r="K31" i="18" s="1"/>
  <c r="L32" i="18"/>
  <c r="K32" i="18" s="1"/>
  <c r="L33" i="18"/>
  <c r="L34" i="18"/>
  <c r="K34" i="18" s="1"/>
  <c r="L35" i="18"/>
  <c r="K35" i="18" s="1"/>
  <c r="L36" i="18"/>
  <c r="K36" i="18" s="1"/>
  <c r="L37" i="18"/>
  <c r="K37" i="18" s="1"/>
  <c r="L38" i="18"/>
  <c r="K38" i="18" s="1"/>
  <c r="L39" i="18"/>
  <c r="K39" i="18" s="1"/>
  <c r="L40" i="18"/>
  <c r="K40" i="18" s="1"/>
  <c r="L41" i="18"/>
  <c r="K41" i="18" s="1"/>
  <c r="L42" i="18"/>
  <c r="K42" i="18" s="1"/>
  <c r="L43" i="18"/>
  <c r="K43" i="18" s="1"/>
  <c r="L44" i="18"/>
  <c r="K44" i="18" s="1"/>
  <c r="L45" i="18"/>
  <c r="K45" i="18" s="1"/>
  <c r="L46" i="18"/>
  <c r="K46" i="18" s="1"/>
  <c r="L47" i="18"/>
  <c r="K47" i="18" s="1"/>
  <c r="L48" i="18"/>
  <c r="K48" i="18" s="1"/>
  <c r="L49" i="18"/>
  <c r="K49" i="18" s="1"/>
  <c r="L50" i="18"/>
  <c r="K50" i="18" s="1"/>
  <c r="L51" i="18"/>
  <c r="K51" i="18" s="1"/>
  <c r="L52" i="18"/>
  <c r="K52" i="18" s="1"/>
  <c r="L53" i="18"/>
  <c r="K53" i="18" s="1"/>
  <c r="L54" i="18"/>
  <c r="K54" i="18" s="1"/>
  <c r="L55" i="18"/>
  <c r="K55" i="18" s="1"/>
  <c r="L56" i="18"/>
  <c r="K56" i="18" s="1"/>
  <c r="L57" i="18"/>
  <c r="K57" i="18" s="1"/>
  <c r="L58" i="18"/>
  <c r="K58" i="18" s="1"/>
  <c r="L59" i="18"/>
  <c r="K59" i="18" s="1"/>
  <c r="L60" i="18"/>
  <c r="K60" i="18" s="1"/>
  <c r="L61" i="18"/>
  <c r="K61" i="18" s="1"/>
  <c r="L62" i="18"/>
  <c r="K62" i="18" s="1"/>
  <c r="L63" i="18"/>
  <c r="K63" i="18" s="1"/>
  <c r="L64" i="18"/>
  <c r="K64" i="18" s="1"/>
  <c r="L65" i="18"/>
  <c r="K65" i="18" s="1"/>
  <c r="L66" i="18"/>
  <c r="K66" i="18" s="1"/>
  <c r="L67" i="18"/>
  <c r="K67" i="18" s="1"/>
  <c r="L68" i="18"/>
  <c r="L69" i="18"/>
  <c r="K69" i="18" s="1"/>
  <c r="L70" i="18"/>
  <c r="K70" i="18" s="1"/>
  <c r="L71" i="18"/>
  <c r="K71" i="18" s="1"/>
  <c r="L72" i="18"/>
  <c r="K72" i="18" s="1"/>
  <c r="L73" i="18"/>
  <c r="K73" i="18" s="1"/>
  <c r="L74" i="18"/>
  <c r="K74" i="18" s="1"/>
  <c r="L75" i="18"/>
  <c r="K75" i="18" s="1"/>
  <c r="L76" i="18"/>
  <c r="K76" i="18" s="1"/>
  <c r="L77" i="18"/>
  <c r="K77" i="18" s="1"/>
  <c r="L78" i="18"/>
  <c r="K78" i="18" s="1"/>
  <c r="L79" i="18"/>
  <c r="K79" i="18" s="1"/>
  <c r="L80" i="18"/>
  <c r="K80" i="18" s="1"/>
  <c r="L81" i="18"/>
  <c r="K81" i="18" s="1"/>
  <c r="L82" i="18"/>
  <c r="K82" i="18" s="1"/>
  <c r="L83" i="18"/>
  <c r="K83" i="18" s="1"/>
  <c r="L84" i="18"/>
  <c r="K84" i="18" s="1"/>
  <c r="L85" i="18"/>
  <c r="K85" i="18" s="1"/>
  <c r="L86" i="18"/>
  <c r="K86" i="18" s="1"/>
  <c r="L87" i="18"/>
  <c r="K87" i="18" s="1"/>
  <c r="L88" i="18"/>
  <c r="L89" i="18"/>
  <c r="K33" i="18" l="1"/>
  <c r="K89" i="18"/>
  <c r="K88" i="18"/>
  <c r="K68" i="18"/>
  <c r="AK88" i="18"/>
  <c r="AL88" i="18" s="1"/>
  <c r="AK84" i="18"/>
  <c r="AL84" i="18" s="1"/>
  <c r="AK80" i="18"/>
  <c r="AL80" i="18" s="1"/>
  <c r="AK76" i="18"/>
  <c r="AL76" i="18" s="1"/>
  <c r="AK72" i="18"/>
  <c r="AL72" i="18" s="1"/>
  <c r="AK68" i="18"/>
  <c r="AL68" i="18" s="1"/>
  <c r="AK64" i="18"/>
  <c r="AL64" i="18" s="1"/>
  <c r="AK60" i="18"/>
  <c r="AL60" i="18" s="1"/>
  <c r="AK56" i="18"/>
  <c r="AL56" i="18" s="1"/>
  <c r="AK52" i="18"/>
  <c r="AL52" i="18" s="1"/>
  <c r="AK48" i="18"/>
  <c r="AL48" i="18" s="1"/>
  <c r="AK44" i="18"/>
  <c r="AL44" i="18" s="1"/>
  <c r="AK40" i="18"/>
  <c r="AL40" i="18" s="1"/>
  <c r="AK36" i="18"/>
  <c r="AL36" i="18" s="1"/>
  <c r="AK32" i="18"/>
  <c r="AL32" i="18" s="1"/>
  <c r="AK28" i="18"/>
  <c r="AL28" i="18" s="1"/>
  <c r="AK24" i="18"/>
  <c r="AL24" i="18" s="1"/>
  <c r="AK20" i="18"/>
  <c r="AL20" i="18" s="1"/>
  <c r="AK16" i="18"/>
  <c r="AL16" i="18" s="1"/>
  <c r="AK12" i="18"/>
  <c r="AL12" i="18" s="1"/>
  <c r="AK87" i="18"/>
  <c r="AL87" i="18" s="1"/>
  <c r="AK83" i="18"/>
  <c r="AL83" i="18" s="1"/>
  <c r="AK79" i="18"/>
  <c r="AL79" i="18" s="1"/>
  <c r="AK75" i="18"/>
  <c r="AL75" i="18" s="1"/>
  <c r="AK71" i="18"/>
  <c r="AL71" i="18" s="1"/>
  <c r="AK67" i="18"/>
  <c r="AL67" i="18" s="1"/>
  <c r="AK63" i="18"/>
  <c r="AL63" i="18" s="1"/>
  <c r="AK59" i="18"/>
  <c r="AL59" i="18" s="1"/>
  <c r="AK55" i="18"/>
  <c r="AL55" i="18" s="1"/>
  <c r="AK51" i="18"/>
  <c r="AL51" i="18" s="1"/>
  <c r="AK47" i="18"/>
  <c r="AL47" i="18" s="1"/>
  <c r="AK43" i="18"/>
  <c r="AL43" i="18" s="1"/>
  <c r="AK39" i="18"/>
  <c r="AL39" i="18" s="1"/>
  <c r="AK35" i="18"/>
  <c r="AL35" i="18" s="1"/>
  <c r="AK31" i="18"/>
  <c r="AL31" i="18" s="1"/>
  <c r="AK27" i="18"/>
  <c r="AL27" i="18" s="1"/>
  <c r="AK23" i="18"/>
  <c r="AL23" i="18" s="1"/>
  <c r="AK19" i="18"/>
  <c r="AL19" i="18" s="1"/>
  <c r="AK15" i="18"/>
  <c r="AL15" i="18" s="1"/>
  <c r="AK11" i="18"/>
  <c r="AL11" i="18" s="1"/>
  <c r="AK86" i="18"/>
  <c r="AL86" i="18" s="1"/>
  <c r="AK82" i="18"/>
  <c r="AL82" i="18" s="1"/>
  <c r="AK78" i="18"/>
  <c r="AL78" i="18" s="1"/>
  <c r="AK74" i="18"/>
  <c r="AL74" i="18" s="1"/>
  <c r="AK70" i="18"/>
  <c r="AL70" i="18" s="1"/>
  <c r="AK66" i="18"/>
  <c r="AL66" i="18" s="1"/>
  <c r="AK62" i="18"/>
  <c r="AL62" i="18" s="1"/>
  <c r="AK58" i="18"/>
  <c r="AL58" i="18" s="1"/>
  <c r="AK54" i="18"/>
  <c r="AL54" i="18" s="1"/>
  <c r="AK50" i="18"/>
  <c r="AL50" i="18" s="1"/>
  <c r="AK46" i="18"/>
  <c r="AL46" i="18" s="1"/>
  <c r="AK42" i="18"/>
  <c r="AL42" i="18" s="1"/>
  <c r="AK38" i="18"/>
  <c r="AL38" i="18" s="1"/>
  <c r="AK34" i="18"/>
  <c r="AL34" i="18" s="1"/>
  <c r="AK30" i="18"/>
  <c r="AL30" i="18" s="1"/>
  <c r="AK26" i="18"/>
  <c r="AL26" i="18" s="1"/>
  <c r="AK22" i="18"/>
  <c r="AL22" i="18" s="1"/>
  <c r="AK18" i="18"/>
  <c r="AL18" i="18" s="1"/>
  <c r="AK14" i="18"/>
  <c r="AL14" i="18" s="1"/>
  <c r="AK10" i="18"/>
  <c r="AL10" i="18" s="1"/>
  <c r="AK89" i="18"/>
  <c r="AL89" i="18" s="1"/>
  <c r="AK85" i="18"/>
  <c r="AL85" i="18" s="1"/>
  <c r="AK81" i="18"/>
  <c r="AL81" i="18" s="1"/>
  <c r="AK77" i="18"/>
  <c r="AL77" i="18" s="1"/>
  <c r="AK73" i="18"/>
  <c r="AL73" i="18" s="1"/>
  <c r="AK69" i="18"/>
  <c r="AL69" i="18" s="1"/>
  <c r="AK65" i="18"/>
  <c r="AL65" i="18" s="1"/>
  <c r="AK61" i="18"/>
  <c r="AL61" i="18" s="1"/>
  <c r="AK57" i="18"/>
  <c r="AL57" i="18" s="1"/>
  <c r="AK53" i="18"/>
  <c r="AL53" i="18" s="1"/>
  <c r="AK49" i="18"/>
  <c r="AL49" i="18" s="1"/>
  <c r="AK45" i="18"/>
  <c r="AL45" i="18" s="1"/>
  <c r="AK41" i="18"/>
  <c r="AL41" i="18" s="1"/>
  <c r="AK37" i="18"/>
  <c r="AL37" i="18" s="1"/>
  <c r="AK33" i="18"/>
  <c r="AL33" i="18" s="1"/>
  <c r="AK29" i="18"/>
  <c r="AL29" i="18" s="1"/>
  <c r="AK25" i="18"/>
  <c r="AL25" i="18" s="1"/>
  <c r="AK21" i="18"/>
  <c r="AL21" i="18" s="1"/>
  <c r="AK17" i="18"/>
  <c r="AL17" i="18" s="1"/>
  <c r="AK13" i="18"/>
  <c r="AL13" i="18" s="1"/>
  <c r="AK9" i="18"/>
  <c r="AL9" i="18" s="1"/>
  <c r="AR7" i="18"/>
  <c r="AR8" i="18"/>
  <c r="AR9" i="18"/>
  <c r="AR10" i="18"/>
  <c r="AR11" i="18"/>
  <c r="AR12" i="18"/>
  <c r="AR13" i="18"/>
  <c r="AR14" i="18"/>
  <c r="AR15" i="18"/>
  <c r="AR16" i="18"/>
  <c r="AR17" i="18"/>
  <c r="AR18" i="18"/>
  <c r="AR19" i="18"/>
  <c r="AR20" i="18"/>
  <c r="AR21" i="18"/>
  <c r="AR22" i="18"/>
  <c r="AR23" i="18"/>
  <c r="AR24" i="18"/>
  <c r="AR25" i="18"/>
  <c r="AR26" i="18"/>
  <c r="AR27" i="18"/>
  <c r="AR28" i="18"/>
  <c r="AR29" i="18"/>
  <c r="AR30" i="18"/>
  <c r="AR31" i="18"/>
  <c r="AR32" i="18"/>
  <c r="AR33" i="18"/>
  <c r="AR34" i="18"/>
  <c r="AR35" i="18"/>
  <c r="AR36" i="18"/>
  <c r="AR37" i="18"/>
  <c r="AR38" i="18"/>
  <c r="AR39" i="18"/>
  <c r="AR40" i="18"/>
  <c r="AR41" i="18"/>
  <c r="AR42" i="18"/>
  <c r="AR43" i="18"/>
  <c r="AR44" i="18"/>
  <c r="AR45" i="18"/>
  <c r="AR46" i="18"/>
  <c r="AR47" i="18"/>
  <c r="AR48" i="18"/>
  <c r="AR49" i="18"/>
  <c r="AR50" i="18"/>
  <c r="AR51" i="18"/>
  <c r="AR52" i="18"/>
  <c r="AR53" i="18"/>
  <c r="AR54" i="18"/>
  <c r="AR55" i="18"/>
  <c r="AR56" i="18"/>
  <c r="AR57" i="18"/>
  <c r="AR58" i="18"/>
  <c r="AR59" i="18"/>
  <c r="AR60" i="18"/>
  <c r="AR61" i="18"/>
  <c r="AR62" i="18"/>
  <c r="AR63" i="18"/>
  <c r="AR64" i="18"/>
  <c r="AR65" i="18"/>
  <c r="AR66" i="18"/>
  <c r="AR67" i="18"/>
  <c r="AR68" i="18"/>
  <c r="AR69" i="18"/>
  <c r="AR70" i="18"/>
  <c r="AR71" i="18"/>
  <c r="AR72" i="18"/>
  <c r="AR73" i="18"/>
  <c r="AR74" i="18"/>
  <c r="AR75" i="18"/>
  <c r="AR76" i="18"/>
  <c r="AR77" i="18"/>
  <c r="AR78" i="18"/>
  <c r="AR79" i="18"/>
  <c r="AR80" i="18"/>
  <c r="AR81" i="18"/>
  <c r="AR82" i="18"/>
  <c r="AR83" i="18"/>
  <c r="AR84" i="18"/>
  <c r="AR85" i="18"/>
  <c r="AR86" i="18"/>
  <c r="AR87" i="18"/>
  <c r="AR88" i="18"/>
  <c r="AR89" i="18"/>
  <c r="AJ7" i="18"/>
  <c r="AJ8" i="18"/>
  <c r="BV79" i="18" l="1"/>
  <c r="BV39" i="18"/>
  <c r="BV11" i="18"/>
  <c r="BV7" i="18"/>
  <c r="BV74" i="18"/>
  <c r="BV77" i="18"/>
  <c r="BV37" i="18"/>
  <c r="BM73" i="18"/>
  <c r="BM54" i="18"/>
  <c r="BM53" i="18"/>
  <c r="BM50" i="18"/>
  <c r="BM43" i="18"/>
  <c r="BM38" i="18"/>
  <c r="BM37" i="18"/>
  <c r="BM30" i="18"/>
  <c r="BV90" i="18" l="1"/>
  <c r="BV93" i="18" s="1"/>
  <c r="BV94" i="18" s="1"/>
  <c r="BV95" i="18" s="1"/>
  <c r="M71" i="26"/>
  <c r="M51" i="26"/>
  <c r="M46" i="26"/>
  <c r="M29" i="26"/>
  <c r="M28" i="26"/>
  <c r="M27" i="26"/>
  <c r="BV99" i="18" l="1"/>
  <c r="BV96" i="18"/>
  <c r="BV97" i="18" s="1"/>
  <c r="M49" i="26"/>
  <c r="M50" i="26"/>
  <c r="M68" i="26"/>
  <c r="BV98" i="18" l="1"/>
  <c r="BV100" i="18" s="1"/>
  <c r="BV101" i="18" s="1"/>
  <c r="M25" i="26" l="1"/>
  <c r="M21" i="26"/>
  <c r="M20" i="26"/>
  <c r="M19" i="26"/>
  <c r="M14" i="26"/>
  <c r="O1" i="20" l="1"/>
  <c r="D67" i="26" l="1"/>
  <c r="D65" i="26"/>
  <c r="D59" i="26"/>
  <c r="D58" i="26"/>
  <c r="D55" i="26"/>
  <c r="D53" i="26"/>
  <c r="D51" i="26"/>
  <c r="D47" i="26"/>
  <c r="D45" i="26"/>
  <c r="D41" i="26"/>
  <c r="D40" i="26"/>
  <c r="D39" i="26"/>
  <c r="D37" i="26"/>
  <c r="D35" i="26"/>
  <c r="D32" i="26"/>
  <c r="D27" i="26"/>
  <c r="D68" i="26"/>
  <c r="D64" i="26"/>
  <c r="D62" i="26"/>
  <c r="D60" i="26"/>
  <c r="D57" i="26"/>
  <c r="D54" i="26"/>
  <c r="D52" i="26"/>
  <c r="D50" i="26"/>
  <c r="D49" i="26"/>
  <c r="D48" i="26"/>
  <c r="D46" i="26"/>
  <c r="D44" i="26"/>
  <c r="D43" i="26"/>
  <c r="D42" i="26"/>
  <c r="D38" i="26"/>
  <c r="D36" i="26"/>
  <c r="D34" i="26"/>
  <c r="D33" i="26"/>
  <c r="D31" i="26"/>
  <c r="D30" i="26"/>
  <c r="D29" i="26"/>
  <c r="D28" i="26"/>
  <c r="D66" i="26"/>
  <c r="D63" i="26"/>
  <c r="D61" i="26"/>
  <c r="D56" i="26"/>
  <c r="D70" i="26"/>
  <c r="D71" i="26"/>
  <c r="D69" i="26"/>
  <c r="D25" i="26"/>
  <c r="D22" i="26"/>
  <c r="D19" i="26"/>
  <c r="D18" i="26"/>
  <c r="D17" i="26"/>
  <c r="D26" i="26"/>
  <c r="D24" i="26"/>
  <c r="D23" i="26"/>
  <c r="D21" i="26"/>
  <c r="D20" i="26"/>
  <c r="D16" i="26"/>
  <c r="D14" i="26"/>
  <c r="D12" i="26"/>
  <c r="D10" i="26"/>
  <c r="D15" i="26"/>
  <c r="D13" i="26"/>
  <c r="D11" i="26"/>
  <c r="D9" i="26"/>
  <c r="D8" i="26"/>
  <c r="D7" i="26"/>
  <c r="D6" i="26"/>
  <c r="BO7" i="18"/>
  <c r="BZ7" i="18" s="1"/>
  <c r="BO10" i="18"/>
  <c r="BZ10" i="18" s="1"/>
  <c r="BO63" i="18"/>
  <c r="BZ63" i="18" s="1"/>
  <c r="BO79" i="18"/>
  <c r="BZ79" i="18" s="1"/>
  <c r="BJ8" i="18" l="1"/>
  <c r="BJ80" i="18"/>
  <c r="BJ76" i="18"/>
  <c r="BJ64" i="18"/>
  <c r="BJ52" i="18"/>
  <c r="BJ82" i="18"/>
  <c r="BJ78" i="18"/>
  <c r="BJ54" i="18"/>
  <c r="BJ85" i="18"/>
  <c r="BJ81" i="18"/>
  <c r="BJ77" i="18"/>
  <c r="BJ53" i="18"/>
  <c r="BJ83" i="18"/>
  <c r="BJ79" i="18"/>
  <c r="BJ63" i="18"/>
  <c r="BO83" i="18"/>
  <c r="BZ83" i="18" s="1"/>
  <c r="BJ10" i="18"/>
  <c r="BO54" i="18"/>
  <c r="BZ54" i="18" s="1"/>
  <c r="BO78" i="18"/>
  <c r="BZ78" i="18" s="1"/>
  <c r="BO82" i="18"/>
  <c r="BZ82" i="18" s="1"/>
  <c r="BO8" i="18"/>
  <c r="BZ8" i="18" s="1"/>
  <c r="BO52" i="18"/>
  <c r="BZ52" i="18" s="1"/>
  <c r="BO64" i="18"/>
  <c r="BZ64" i="18" s="1"/>
  <c r="BO76" i="18"/>
  <c r="BZ76" i="18" s="1"/>
  <c r="BO80" i="18"/>
  <c r="BZ80" i="18" s="1"/>
  <c r="BO53" i="18"/>
  <c r="BZ53" i="18" s="1"/>
  <c r="BO77" i="18"/>
  <c r="BZ77" i="18" s="1"/>
  <c r="BO81" i="18"/>
  <c r="BZ81" i="18" s="1"/>
  <c r="BO85" i="18"/>
  <c r="BZ85" i="18" s="1"/>
  <c r="E27" i="26" l="1"/>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AX89" i="18"/>
  <c r="AQ89" i="18"/>
  <c r="AS89" i="18" s="1"/>
  <c r="AT89" i="18" s="1"/>
  <c r="AN89" i="18"/>
  <c r="AC89" i="18"/>
  <c r="Y89" i="18"/>
  <c r="Z89" i="18" s="1"/>
  <c r="Q89" i="18"/>
  <c r="AX88" i="18"/>
  <c r="AQ88" i="18"/>
  <c r="AS88" i="18" s="1"/>
  <c r="AT88" i="18" s="1"/>
  <c r="AN88" i="18"/>
  <c r="AC88" i="18"/>
  <c r="Y88" i="18"/>
  <c r="Z88" i="18" s="1"/>
  <c r="Q88" i="18"/>
  <c r="AX87" i="18"/>
  <c r="AQ87" i="18"/>
  <c r="AS87" i="18" s="1"/>
  <c r="AT87" i="18" s="1"/>
  <c r="AN87" i="18"/>
  <c r="AC87" i="18"/>
  <c r="Y87" i="18"/>
  <c r="Z87" i="18" s="1"/>
  <c r="AX86" i="18"/>
  <c r="AQ86" i="18"/>
  <c r="AS86" i="18" s="1"/>
  <c r="AN86" i="18"/>
  <c r="AC86" i="18"/>
  <c r="Y86" i="18"/>
  <c r="Z86" i="18" s="1"/>
  <c r="Q86" i="18"/>
  <c r="AX85" i="18"/>
  <c r="AQ85" i="18"/>
  <c r="AS85" i="18" s="1"/>
  <c r="AN85" i="18"/>
  <c r="AC85" i="18"/>
  <c r="Y85" i="18"/>
  <c r="Z85" i="18" s="1"/>
  <c r="U85" i="18"/>
  <c r="Q85" i="18"/>
  <c r="N85" i="18"/>
  <c r="AX84" i="18"/>
  <c r="AQ84" i="18"/>
  <c r="AS84" i="18" s="1"/>
  <c r="AN84" i="18"/>
  <c r="AC84" i="18"/>
  <c r="Y84" i="18"/>
  <c r="Z84" i="18" s="1"/>
  <c r="Q84" i="18"/>
  <c r="AX83" i="18"/>
  <c r="AQ83" i="18"/>
  <c r="AS83" i="18" s="1"/>
  <c r="AN83" i="18"/>
  <c r="Y83" i="18"/>
  <c r="Z83" i="18" s="1"/>
  <c r="Q83" i="18"/>
  <c r="N83" i="18"/>
  <c r="AX82" i="18"/>
  <c r="AQ82" i="18"/>
  <c r="AS82" i="18" s="1"/>
  <c r="AN82" i="18"/>
  <c r="AC82" i="18"/>
  <c r="Y82" i="18"/>
  <c r="Z82" i="18" s="1"/>
  <c r="U82" i="18"/>
  <c r="Q82" i="18"/>
  <c r="AX81" i="18"/>
  <c r="AQ81" i="18"/>
  <c r="AS81" i="18" s="1"/>
  <c r="AN81" i="18"/>
  <c r="AC81" i="18"/>
  <c r="Y81" i="18"/>
  <c r="Z81" i="18" s="1"/>
  <c r="U81" i="18"/>
  <c r="Q81" i="18"/>
  <c r="AX80" i="18"/>
  <c r="AQ80" i="18"/>
  <c r="AS80" i="18" s="1"/>
  <c r="AN80" i="18"/>
  <c r="AC80" i="18"/>
  <c r="Y80" i="18"/>
  <c r="Z80" i="18" s="1"/>
  <c r="U80" i="18"/>
  <c r="AX79" i="18"/>
  <c r="AQ79" i="18"/>
  <c r="AS79" i="18" s="1"/>
  <c r="AN79" i="18"/>
  <c r="AC79" i="18"/>
  <c r="Y79" i="18"/>
  <c r="Z79" i="18" s="1"/>
  <c r="U79" i="18"/>
  <c r="Q79" i="18"/>
  <c r="AX78" i="18"/>
  <c r="AQ78" i="18"/>
  <c r="AS78" i="18" s="1"/>
  <c r="AN78" i="18"/>
  <c r="AC78" i="18"/>
  <c r="Q78" i="18"/>
  <c r="AX77" i="18"/>
  <c r="AQ77" i="18"/>
  <c r="AS77" i="18" s="1"/>
  <c r="AN77" i="18"/>
  <c r="AC77" i="18"/>
  <c r="Y77" i="18"/>
  <c r="Z77" i="18" s="1"/>
  <c r="Q77" i="18"/>
  <c r="AX76" i="18"/>
  <c r="AQ76" i="18"/>
  <c r="AS76" i="18" s="1"/>
  <c r="AN76" i="18"/>
  <c r="AC76" i="18"/>
  <c r="Y76" i="18"/>
  <c r="Q76" i="18"/>
  <c r="N76" i="18"/>
  <c r="AX75" i="18"/>
  <c r="AQ75" i="18"/>
  <c r="AS75" i="18" s="1"/>
  <c r="AN75" i="18"/>
  <c r="AC75" i="18"/>
  <c r="Y75" i="18"/>
  <c r="Q75" i="18"/>
  <c r="AX74" i="18"/>
  <c r="AQ74" i="18"/>
  <c r="AS74" i="18" s="1"/>
  <c r="AN74" i="18"/>
  <c r="AC74" i="18"/>
  <c r="Z74" i="18"/>
  <c r="Q74" i="18"/>
  <c r="N74" i="18"/>
  <c r="AX73" i="18"/>
  <c r="AQ73" i="18"/>
  <c r="AS73" i="18" s="1"/>
  <c r="AN73" i="18"/>
  <c r="Z73" i="18"/>
  <c r="AQ72" i="18"/>
  <c r="AS72" i="18" s="1"/>
  <c r="AN72" i="18"/>
  <c r="AC72" i="18"/>
  <c r="Z72" i="18"/>
  <c r="Q72" i="18"/>
  <c r="N72" i="18"/>
  <c r="AX71" i="18"/>
  <c r="AQ71" i="18"/>
  <c r="AS71" i="18" s="1"/>
  <c r="AN71" i="18"/>
  <c r="AC71" i="18"/>
  <c r="Z71" i="18"/>
  <c r="Q71" i="18"/>
  <c r="AX70" i="18"/>
  <c r="AQ70" i="18"/>
  <c r="AS70" i="18" s="1"/>
  <c r="AN70" i="18"/>
  <c r="AC70" i="18"/>
  <c r="Y70" i="18"/>
  <c r="Z70" i="18" s="1"/>
  <c r="U70" i="18"/>
  <c r="Q70" i="18"/>
  <c r="AX69" i="18"/>
  <c r="AQ69" i="18"/>
  <c r="AS69" i="18" s="1"/>
  <c r="AN69" i="18"/>
  <c r="AC69" i="18"/>
  <c r="Q69" i="18"/>
  <c r="AX68" i="18"/>
  <c r="AQ68" i="18"/>
  <c r="AS68" i="18" s="1"/>
  <c r="AN68" i="18"/>
  <c r="AC68" i="18"/>
  <c r="Y68" i="18"/>
  <c r="Q68" i="18"/>
  <c r="AX67" i="18"/>
  <c r="AQ67" i="18"/>
  <c r="AS67" i="18" s="1"/>
  <c r="AN67" i="18"/>
  <c r="AC67" i="18"/>
  <c r="Y67" i="18"/>
  <c r="Z67" i="18" s="1"/>
  <c r="U67" i="18"/>
  <c r="Q67" i="18"/>
  <c r="AX66" i="18"/>
  <c r="AQ66" i="18"/>
  <c r="AS66" i="18" s="1"/>
  <c r="AN66" i="18"/>
  <c r="AC66" i="18"/>
  <c r="Z66" i="18"/>
  <c r="Q66" i="18"/>
  <c r="AX65" i="18"/>
  <c r="AQ65" i="18"/>
  <c r="AS65" i="18" s="1"/>
  <c r="AN65" i="18"/>
  <c r="AC65" i="18"/>
  <c r="Y65" i="18"/>
  <c r="U65" i="18"/>
  <c r="AX64" i="18"/>
  <c r="AQ64" i="18"/>
  <c r="AS64" i="18" s="1"/>
  <c r="AN64" i="18"/>
  <c r="AC64" i="18"/>
  <c r="Z64" i="18"/>
  <c r="U64" i="18"/>
  <c r="AX63" i="18"/>
  <c r="AQ63" i="18"/>
  <c r="AS63" i="18" s="1"/>
  <c r="AN63" i="18"/>
  <c r="AC63" i="18"/>
  <c r="Y63" i="18"/>
  <c r="U63" i="18"/>
  <c r="AX62" i="18"/>
  <c r="AQ62" i="18"/>
  <c r="AS62" i="18" s="1"/>
  <c r="AN62" i="18"/>
  <c r="AC62" i="18"/>
  <c r="Z62" i="18"/>
  <c r="U62" i="18"/>
  <c r="N62" i="18"/>
  <c r="AX61" i="18"/>
  <c r="AQ61" i="18"/>
  <c r="AS61" i="18" s="1"/>
  <c r="AN61" i="18"/>
  <c r="AC61" i="18"/>
  <c r="Z61" i="18"/>
  <c r="U61" i="18"/>
  <c r="N61" i="18"/>
  <c r="AX60" i="18"/>
  <c r="AQ60" i="18"/>
  <c r="AS60" i="18" s="1"/>
  <c r="AN60" i="18"/>
  <c r="AC60" i="18"/>
  <c r="Y60" i="18"/>
  <c r="U60" i="18"/>
  <c r="AX59" i="18"/>
  <c r="AQ59" i="18"/>
  <c r="AS59" i="18" s="1"/>
  <c r="AN59" i="18"/>
  <c r="AC59" i="18"/>
  <c r="Y59" i="18"/>
  <c r="U59" i="18"/>
  <c r="AX58" i="18"/>
  <c r="AQ58" i="18"/>
  <c r="AS58" i="18" s="1"/>
  <c r="AN58" i="18"/>
  <c r="AC58" i="18"/>
  <c r="Z58" i="18"/>
  <c r="U58" i="18"/>
  <c r="N58" i="18"/>
  <c r="AX57" i="18"/>
  <c r="AQ57" i="18"/>
  <c r="AS57" i="18" s="1"/>
  <c r="AN57" i="18"/>
  <c r="AC57" i="18"/>
  <c r="Y57" i="18"/>
  <c r="U57" i="18"/>
  <c r="N57" i="18"/>
  <c r="AX56" i="18"/>
  <c r="AQ56" i="18"/>
  <c r="AS56" i="18" s="1"/>
  <c r="AN56" i="18"/>
  <c r="AC56" i="18"/>
  <c r="Y56" i="18"/>
  <c r="U56" i="18"/>
  <c r="AX55" i="18"/>
  <c r="AQ55" i="18"/>
  <c r="AS55" i="18" s="1"/>
  <c r="AN55" i="18"/>
  <c r="AC55" i="18"/>
  <c r="Z55" i="18"/>
  <c r="U55" i="18"/>
  <c r="AX54" i="18"/>
  <c r="AQ54" i="18"/>
  <c r="AS54" i="18" s="1"/>
  <c r="AN54" i="18"/>
  <c r="AC54" i="18"/>
  <c r="Y54" i="18"/>
  <c r="U54" i="18"/>
  <c r="N54" i="18"/>
  <c r="AX53" i="18"/>
  <c r="AQ53" i="18"/>
  <c r="AS53" i="18" s="1"/>
  <c r="AN53" i="18"/>
  <c r="AC53" i="18"/>
  <c r="Z53" i="18"/>
  <c r="N53" i="18"/>
  <c r="AX52" i="18"/>
  <c r="AQ52" i="18"/>
  <c r="AN52" i="18"/>
  <c r="Z52" i="18"/>
  <c r="N52" i="18"/>
  <c r="AX51" i="18"/>
  <c r="AQ51" i="18"/>
  <c r="AN51" i="18"/>
  <c r="Z51" i="18"/>
  <c r="N51" i="18"/>
  <c r="AX50" i="18"/>
  <c r="AQ50" i="18"/>
  <c r="AN50" i="18"/>
  <c r="Z50" i="18"/>
  <c r="N50" i="18"/>
  <c r="AX49" i="18"/>
  <c r="AQ49" i="18"/>
  <c r="AN49" i="18"/>
  <c r="Z49" i="18"/>
  <c r="N49" i="18"/>
  <c r="AX48" i="18"/>
  <c r="AQ48" i="18"/>
  <c r="AN48" i="18"/>
  <c r="Z48" i="18"/>
  <c r="N48" i="18"/>
  <c r="AX47" i="18"/>
  <c r="AQ47" i="18"/>
  <c r="AN47" i="18"/>
  <c r="Z47" i="18"/>
  <c r="Q47" i="18"/>
  <c r="N47" i="18"/>
  <c r="AX46" i="18"/>
  <c r="AQ46" i="18"/>
  <c r="AN46" i="18"/>
  <c r="Z46" i="18"/>
  <c r="N46" i="18"/>
  <c r="AX45" i="18"/>
  <c r="AQ45" i="18"/>
  <c r="AN45" i="18"/>
  <c r="Z45" i="18"/>
  <c r="N45" i="18"/>
  <c r="AX44" i="18"/>
  <c r="AQ44" i="18"/>
  <c r="AN44" i="18"/>
  <c r="Z44" i="18"/>
  <c r="N44" i="18"/>
  <c r="AX43" i="18"/>
  <c r="AQ43" i="18"/>
  <c r="AN43" i="18"/>
  <c r="Z43" i="18"/>
  <c r="N43" i="18"/>
  <c r="AX42" i="18"/>
  <c r="AQ42" i="18"/>
  <c r="AN42" i="18"/>
  <c r="Z42" i="18"/>
  <c r="Q42" i="18"/>
  <c r="N42" i="18"/>
  <c r="AX41" i="18"/>
  <c r="AQ41" i="18"/>
  <c r="AN41" i="18"/>
  <c r="Z41" i="18"/>
  <c r="N41" i="18"/>
  <c r="AX40" i="18"/>
  <c r="AQ40" i="18"/>
  <c r="AN40" i="18"/>
  <c r="N40" i="18"/>
  <c r="AX39" i="18"/>
  <c r="AQ39" i="18"/>
  <c r="AS39" i="18" s="1"/>
  <c r="AN39" i="18"/>
  <c r="Q39" i="18"/>
  <c r="AX38" i="18"/>
  <c r="AQ38" i="18"/>
  <c r="AN38" i="18"/>
  <c r="Z38" i="18"/>
  <c r="AX37" i="18"/>
  <c r="AQ37" i="18"/>
  <c r="AN37" i="18"/>
  <c r="Z37" i="18"/>
  <c r="N37" i="18"/>
  <c r="AX36" i="18"/>
  <c r="AQ36" i="18"/>
  <c r="AN36" i="18"/>
  <c r="N36" i="18"/>
  <c r="AX35" i="18"/>
  <c r="AQ35" i="18"/>
  <c r="AN35" i="18"/>
  <c r="Z35" i="18"/>
  <c r="Q35" i="18"/>
  <c r="N35" i="18"/>
  <c r="AQ34" i="18"/>
  <c r="AN34" i="18"/>
  <c r="Z34" i="18"/>
  <c r="Q34" i="18"/>
  <c r="AQ33" i="18"/>
  <c r="AN33" i="18"/>
  <c r="Z33" i="18"/>
  <c r="Q33" i="18"/>
  <c r="AX32" i="18"/>
  <c r="AQ32" i="18"/>
  <c r="AN32" i="18"/>
  <c r="AX31" i="18"/>
  <c r="AQ31" i="18"/>
  <c r="AS31" i="18" s="1"/>
  <c r="AN31" i="18"/>
  <c r="Z31" i="18"/>
  <c r="Q31" i="18"/>
  <c r="N31" i="18"/>
  <c r="AX30" i="18"/>
  <c r="AQ30" i="18"/>
  <c r="AS30" i="18" s="1"/>
  <c r="AN30" i="18"/>
  <c r="Z30" i="18"/>
  <c r="Q30" i="18"/>
  <c r="N30" i="18"/>
  <c r="AX29" i="18"/>
  <c r="AQ29" i="18"/>
  <c r="AN29" i="18"/>
  <c r="U29" i="18"/>
  <c r="Q29" i="18"/>
  <c r="AX28" i="18"/>
  <c r="AQ28" i="18"/>
  <c r="AS28" i="18" s="1"/>
  <c r="AN28" i="18"/>
  <c r="U28" i="18"/>
  <c r="M28" i="18"/>
  <c r="AX27" i="18"/>
  <c r="AQ27" i="18"/>
  <c r="AN27" i="18"/>
  <c r="AX26" i="18"/>
  <c r="AQ26" i="18"/>
  <c r="AN26" i="18"/>
  <c r="AX25" i="18"/>
  <c r="AQ25" i="18"/>
  <c r="AN25" i="18"/>
  <c r="AW24" i="18"/>
  <c r="AQ24" i="18"/>
  <c r="AS24" i="18" s="1"/>
  <c r="AN24" i="18"/>
  <c r="AG24" i="18"/>
  <c r="AC24" i="18"/>
  <c r="Y24" i="18"/>
  <c r="U24" i="18"/>
  <c r="Q24" i="18"/>
  <c r="M24" i="18"/>
  <c r="AW23" i="18"/>
  <c r="AQ23" i="18"/>
  <c r="AS23" i="18" s="1"/>
  <c r="AT23" i="18" s="1"/>
  <c r="AN23" i="18"/>
  <c r="AG23" i="18"/>
  <c r="AC23" i="18"/>
  <c r="Y23" i="18"/>
  <c r="Q23" i="18"/>
  <c r="R23" i="18" s="1"/>
  <c r="AW22" i="18"/>
  <c r="AQ22" i="18"/>
  <c r="AS22" i="18" s="1"/>
  <c r="AN22" i="18"/>
  <c r="AG22" i="18"/>
  <c r="AC22" i="18"/>
  <c r="Y22" i="18"/>
  <c r="U22" i="18"/>
  <c r="Q22" i="18"/>
  <c r="M22" i="18"/>
  <c r="AW21" i="18"/>
  <c r="AQ21" i="18"/>
  <c r="AS21" i="18" s="1"/>
  <c r="AN21" i="18"/>
  <c r="AG21" i="18"/>
  <c r="AC21" i="18"/>
  <c r="Y21" i="18"/>
  <c r="U21" i="18"/>
  <c r="Q21" i="18"/>
  <c r="M21" i="18"/>
  <c r="AW20" i="18"/>
  <c r="AQ20" i="18"/>
  <c r="AS20" i="18" s="1"/>
  <c r="AN20" i="18"/>
  <c r="AG20" i="18"/>
  <c r="AC20" i="18"/>
  <c r="Y20" i="18"/>
  <c r="U20" i="18"/>
  <c r="Q20" i="18"/>
  <c r="M20" i="18"/>
  <c r="AW19" i="18"/>
  <c r="AQ19" i="18"/>
  <c r="AS19" i="18" s="1"/>
  <c r="AN19" i="18"/>
  <c r="AG19" i="18"/>
  <c r="AC19" i="18"/>
  <c r="Y19" i="18"/>
  <c r="U19" i="18"/>
  <c r="Q19" i="18"/>
  <c r="M19" i="18"/>
  <c r="AW18" i="18"/>
  <c r="AQ18" i="18"/>
  <c r="AS18" i="18" s="1"/>
  <c r="AT18" i="18" s="1"/>
  <c r="AN18" i="18"/>
  <c r="AG18" i="18"/>
  <c r="AC18" i="18"/>
  <c r="Y18" i="18"/>
  <c r="Q18" i="18"/>
  <c r="R18" i="18" s="1"/>
  <c r="M18" i="18"/>
  <c r="AW17" i="18"/>
  <c r="AQ17" i="18"/>
  <c r="AS17" i="18" s="1"/>
  <c r="AT17" i="18" s="1"/>
  <c r="AN17" i="18"/>
  <c r="AG17" i="18"/>
  <c r="AC17" i="18"/>
  <c r="Y17" i="18"/>
  <c r="Q17" i="18"/>
  <c r="R17" i="18" s="1"/>
  <c r="M17" i="18"/>
  <c r="AW16" i="18"/>
  <c r="AQ16" i="18"/>
  <c r="AS16" i="18" s="1"/>
  <c r="AN16" i="18"/>
  <c r="AG16" i="18"/>
  <c r="AC16" i="18"/>
  <c r="Y16" i="18"/>
  <c r="Q16" i="18"/>
  <c r="R16" i="18" s="1"/>
  <c r="M16" i="18"/>
  <c r="AW15" i="18"/>
  <c r="AQ15" i="18"/>
  <c r="AS15" i="18" s="1"/>
  <c r="AN15" i="18"/>
  <c r="AG15" i="18"/>
  <c r="AC15" i="18"/>
  <c r="Y15" i="18"/>
  <c r="U15" i="18"/>
  <c r="Q15" i="18"/>
  <c r="R15" i="18" s="1"/>
  <c r="M15" i="18"/>
  <c r="AW14" i="18"/>
  <c r="AQ14" i="18"/>
  <c r="AS14" i="18" s="1"/>
  <c r="AN14" i="18"/>
  <c r="AG14" i="18"/>
  <c r="AC14" i="18"/>
  <c r="Y14" i="18"/>
  <c r="U14" i="18"/>
  <c r="Q14" i="18"/>
  <c r="M14" i="18"/>
  <c r="AW13" i="18"/>
  <c r="AQ13" i="18"/>
  <c r="AS13" i="18" s="1"/>
  <c r="AN13" i="18"/>
  <c r="AG13" i="18"/>
  <c r="AC13" i="18"/>
  <c r="Y13" i="18"/>
  <c r="U13" i="18"/>
  <c r="Q13" i="18"/>
  <c r="M13" i="18"/>
  <c r="AW12" i="18"/>
  <c r="AQ12" i="18"/>
  <c r="AS12" i="18" s="1"/>
  <c r="AN12" i="18"/>
  <c r="AG12" i="18"/>
  <c r="AC12" i="18"/>
  <c r="Y12" i="18"/>
  <c r="U12" i="18"/>
  <c r="Q12" i="18"/>
  <c r="M12" i="18"/>
  <c r="AW11" i="18"/>
  <c r="AQ11" i="18"/>
  <c r="AS11" i="18" s="1"/>
  <c r="AT11" i="18" s="1"/>
  <c r="AN11" i="18"/>
  <c r="AG11" i="18"/>
  <c r="AC11" i="18"/>
  <c r="Y11" i="18"/>
  <c r="Q11" i="18"/>
  <c r="R11" i="18" s="1"/>
  <c r="M11" i="18"/>
  <c r="AW10" i="18"/>
  <c r="AQ10" i="18"/>
  <c r="AS10" i="18" s="1"/>
  <c r="AT10" i="18" s="1"/>
  <c r="AN10" i="18"/>
  <c r="AG10" i="18"/>
  <c r="AC10" i="18"/>
  <c r="Y10" i="18"/>
  <c r="M10" i="18"/>
  <c r="AW9" i="18"/>
  <c r="AQ9" i="18"/>
  <c r="AS9" i="18" s="1"/>
  <c r="AN9" i="18"/>
  <c r="AG9" i="18"/>
  <c r="AC9" i="18"/>
  <c r="Y9" i="18"/>
  <c r="U9" i="18"/>
  <c r="V9" i="18" s="1"/>
  <c r="Q9" i="18"/>
  <c r="R9" i="18" s="1"/>
  <c r="M9" i="18"/>
  <c r="AV8" i="18"/>
  <c r="AU8" i="18" s="1"/>
  <c r="AW8" i="18" s="1"/>
  <c r="AQ8" i="18"/>
  <c r="AS8" i="18" s="1"/>
  <c r="AN8" i="18"/>
  <c r="AI8" i="18"/>
  <c r="AG8" i="18"/>
  <c r="AC8" i="18"/>
  <c r="Y8" i="18"/>
  <c r="Q8" i="18"/>
  <c r="M8" i="18"/>
  <c r="AV7" i="18"/>
  <c r="AU7" i="18" s="1"/>
  <c r="AW7" i="18" s="1"/>
  <c r="AQ7" i="18"/>
  <c r="AS7" i="18" s="1"/>
  <c r="AN7" i="18"/>
  <c r="AI7" i="18"/>
  <c r="AG7" i="18"/>
  <c r="AC7" i="18"/>
  <c r="Y7" i="18"/>
  <c r="U7" i="18"/>
  <c r="V7" i="18" s="1"/>
  <c r="Q7" i="18"/>
  <c r="R7" i="18" s="1"/>
  <c r="M7" i="18"/>
  <c r="AV3" i="18"/>
  <c r="AU2" i="18"/>
  <c r="B105" i="19" s="1"/>
  <c r="AR3" i="18"/>
  <c r="AN3" i="18"/>
  <c r="AQ2" i="18"/>
  <c r="B95" i="19" s="1"/>
  <c r="AM2" i="18"/>
  <c r="B85" i="19" s="1"/>
  <c r="BF93" i="18"/>
  <c r="AJ3" i="18"/>
  <c r="AI2" i="18"/>
  <c r="B75" i="19" s="1"/>
  <c r="AF3" i="18"/>
  <c r="AB3" i="18"/>
  <c r="AE2" i="18"/>
  <c r="B65" i="19" s="1"/>
  <c r="AA2" i="18"/>
  <c r="B55" i="19" s="1"/>
  <c r="X3" i="18"/>
  <c r="W2" i="18"/>
  <c r="B45" i="19" s="1"/>
  <c r="S2" i="18"/>
  <c r="B35" i="19" s="1"/>
  <c r="AM7" i="18" l="1"/>
  <c r="AO7" i="18" s="1"/>
  <c r="AZ7" i="18"/>
  <c r="AM14" i="18"/>
  <c r="BA14" i="18" s="1"/>
  <c r="AZ14" i="18"/>
  <c r="AM21" i="18"/>
  <c r="BA21" i="18" s="1"/>
  <c r="AZ21" i="18"/>
  <c r="AM23" i="18"/>
  <c r="AO23" i="18" s="1"/>
  <c r="AZ23" i="18"/>
  <c r="AM34" i="18"/>
  <c r="AP34" i="18" s="1"/>
  <c r="AZ34" i="18"/>
  <c r="AM73" i="18"/>
  <c r="BA73" i="18" s="1"/>
  <c r="AZ73" i="18"/>
  <c r="AM8" i="18"/>
  <c r="AO8" i="18" s="1"/>
  <c r="AZ8" i="18"/>
  <c r="AM10" i="18"/>
  <c r="BA10" i="18" s="1"/>
  <c r="AZ10" i="18"/>
  <c r="AM11" i="18"/>
  <c r="BA11" i="18" s="1"/>
  <c r="AZ11" i="18"/>
  <c r="AM15" i="18"/>
  <c r="BA15" i="18" s="1"/>
  <c r="AZ15" i="18"/>
  <c r="AM16" i="18"/>
  <c r="BA16" i="18" s="1"/>
  <c r="AZ16" i="18"/>
  <c r="AM17" i="18"/>
  <c r="AO17" i="18" s="1"/>
  <c r="AZ17" i="18"/>
  <c r="AM18" i="18"/>
  <c r="AO18" i="18" s="1"/>
  <c r="AZ18" i="18"/>
  <c r="AM22" i="18"/>
  <c r="BA22" i="18" s="1"/>
  <c r="AZ22" i="18"/>
  <c r="AM24" i="18"/>
  <c r="AP24" i="18" s="1"/>
  <c r="AZ24" i="18"/>
  <c r="AM32" i="18"/>
  <c r="AP32" i="18" s="1"/>
  <c r="AZ32" i="18"/>
  <c r="AM38" i="18"/>
  <c r="BA38" i="18" s="1"/>
  <c r="AZ38" i="18"/>
  <c r="AM40" i="18"/>
  <c r="BA40" i="18" s="1"/>
  <c r="AZ40" i="18"/>
  <c r="AM41" i="18"/>
  <c r="AP41" i="18" s="1"/>
  <c r="AZ41" i="18"/>
  <c r="AM42" i="18"/>
  <c r="AP42" i="18" s="1"/>
  <c r="AZ42" i="18"/>
  <c r="AM43" i="18"/>
  <c r="BA43" i="18" s="1"/>
  <c r="AZ43" i="18"/>
  <c r="AM50" i="18"/>
  <c r="BA50" i="18" s="1"/>
  <c r="AZ50" i="18"/>
  <c r="AM54" i="18"/>
  <c r="BA54" i="18" s="1"/>
  <c r="AZ54" i="18"/>
  <c r="AM55" i="18"/>
  <c r="AP55" i="18" s="1"/>
  <c r="AZ55" i="18"/>
  <c r="AM56" i="18"/>
  <c r="BA56" i="18" s="1"/>
  <c r="AZ56" i="18"/>
  <c r="AM63" i="18"/>
  <c r="AP63" i="18" s="1"/>
  <c r="AZ63" i="18"/>
  <c r="AM66" i="18"/>
  <c r="BA66" i="18" s="1"/>
  <c r="AZ66" i="18"/>
  <c r="AM67" i="18"/>
  <c r="AP67" i="18" s="1"/>
  <c r="AZ67" i="18"/>
  <c r="AM69" i="18"/>
  <c r="BA69" i="18" s="1"/>
  <c r="AZ69" i="18"/>
  <c r="AM70" i="18"/>
  <c r="BA70" i="18" s="1"/>
  <c r="AZ70" i="18"/>
  <c r="AM77" i="18"/>
  <c r="AP77" i="18" s="1"/>
  <c r="AZ77" i="18"/>
  <c r="AM80" i="18"/>
  <c r="AP80" i="18" s="1"/>
  <c r="AZ80" i="18"/>
  <c r="AM81" i="18"/>
  <c r="BA81" i="18" s="1"/>
  <c r="AZ81" i="18"/>
  <c r="AM82" i="18"/>
  <c r="BA82" i="18" s="1"/>
  <c r="AZ82" i="18"/>
  <c r="AM86" i="18"/>
  <c r="AO86" i="18" s="1"/>
  <c r="AZ86" i="18"/>
  <c r="AM89" i="18"/>
  <c r="BA89" i="18" s="1"/>
  <c r="AZ89" i="18"/>
  <c r="AM25" i="18"/>
  <c r="BA25" i="18" s="1"/>
  <c r="AZ25" i="18"/>
  <c r="AM29" i="18"/>
  <c r="AO29" i="18" s="1"/>
  <c r="AZ29" i="18"/>
  <c r="AM49" i="18"/>
  <c r="BA49" i="18" s="1"/>
  <c r="AZ49" i="18"/>
  <c r="AM53" i="18"/>
  <c r="BA53" i="18" s="1"/>
  <c r="AZ53" i="18"/>
  <c r="AM71" i="18"/>
  <c r="AP71" i="18" s="1"/>
  <c r="AZ71" i="18"/>
  <c r="AM9" i="18"/>
  <c r="BA9" i="18" s="1"/>
  <c r="AZ9" i="18"/>
  <c r="AM12" i="18"/>
  <c r="BA12" i="18" s="1"/>
  <c r="AZ12" i="18"/>
  <c r="AM19" i="18"/>
  <c r="AP19" i="18" s="1"/>
  <c r="AZ19" i="18"/>
  <c r="AM27" i="18"/>
  <c r="AP27" i="18" s="1"/>
  <c r="AZ27" i="18"/>
  <c r="AM31" i="18"/>
  <c r="BA31" i="18" s="1"/>
  <c r="AZ31" i="18"/>
  <c r="AM44" i="18"/>
  <c r="BA44" i="18" s="1"/>
  <c r="AZ44" i="18"/>
  <c r="AM45" i="18"/>
  <c r="AP45" i="18" s="1"/>
  <c r="AZ45" i="18"/>
  <c r="AM51" i="18"/>
  <c r="BA51" i="18" s="1"/>
  <c r="AZ51" i="18"/>
  <c r="AM57" i="18"/>
  <c r="BA57" i="18" s="1"/>
  <c r="AZ57" i="18"/>
  <c r="AM60" i="18"/>
  <c r="AO60" i="18" s="1"/>
  <c r="AZ60" i="18"/>
  <c r="AM61" i="18"/>
  <c r="AP61" i="18" s="1"/>
  <c r="AZ61" i="18"/>
  <c r="AM62" i="18"/>
  <c r="AO62" i="18" s="1"/>
  <c r="AZ62" i="18"/>
  <c r="AM65" i="18"/>
  <c r="BA65" i="18" s="1"/>
  <c r="AZ65" i="18"/>
  <c r="AM75" i="18"/>
  <c r="BA75" i="18" s="1"/>
  <c r="AZ75" i="18"/>
  <c r="AM76" i="18"/>
  <c r="AP76" i="18" s="1"/>
  <c r="AZ76" i="18"/>
  <c r="AM78" i="18"/>
  <c r="AP78" i="18" s="1"/>
  <c r="AZ78" i="18"/>
  <c r="AM79" i="18"/>
  <c r="BA79" i="18" s="1"/>
  <c r="AZ79" i="18"/>
  <c r="AM84" i="18"/>
  <c r="AP84" i="18" s="1"/>
  <c r="AZ84" i="18"/>
  <c r="AM88" i="18"/>
  <c r="AP88" i="18" s="1"/>
  <c r="AZ88" i="18"/>
  <c r="AM39" i="18"/>
  <c r="AP39" i="18" s="1"/>
  <c r="AZ39" i="18"/>
  <c r="AM64" i="18"/>
  <c r="BA64" i="18" s="1"/>
  <c r="AZ64" i="18"/>
  <c r="AM72" i="18"/>
  <c r="BA72" i="18" s="1"/>
  <c r="AZ72" i="18"/>
  <c r="AM74" i="18"/>
  <c r="AO74" i="18" s="1"/>
  <c r="AZ74" i="18"/>
  <c r="AM83" i="18"/>
  <c r="BA83" i="18" s="1"/>
  <c r="AZ83" i="18"/>
  <c r="AM13" i="18"/>
  <c r="AP13" i="18" s="1"/>
  <c r="AZ13" i="18"/>
  <c r="AM20" i="18"/>
  <c r="AO20" i="18" s="1"/>
  <c r="AZ20" i="18"/>
  <c r="AM26" i="18"/>
  <c r="AP26" i="18" s="1"/>
  <c r="AZ26" i="18"/>
  <c r="AM28" i="18"/>
  <c r="BA28" i="18" s="1"/>
  <c r="AZ28" i="18"/>
  <c r="AM30" i="18"/>
  <c r="AP30" i="18" s="1"/>
  <c r="AZ30" i="18"/>
  <c r="AM33" i="18"/>
  <c r="BA33" i="18" s="1"/>
  <c r="AZ33" i="18"/>
  <c r="AM35" i="18"/>
  <c r="BA35" i="18" s="1"/>
  <c r="AZ35" i="18"/>
  <c r="AM36" i="18"/>
  <c r="BA36" i="18" s="1"/>
  <c r="AZ36" i="18"/>
  <c r="AM37" i="18"/>
  <c r="AO37" i="18" s="1"/>
  <c r="AZ37" i="18"/>
  <c r="AM46" i="18"/>
  <c r="BA46" i="18" s="1"/>
  <c r="AZ46" i="18"/>
  <c r="AM47" i="18"/>
  <c r="BA47" i="18" s="1"/>
  <c r="AZ47" i="18"/>
  <c r="AM48" i="18"/>
  <c r="AP48" i="18" s="1"/>
  <c r="AZ48" i="18"/>
  <c r="AM52" i="18"/>
  <c r="AP52" i="18" s="1"/>
  <c r="AZ52" i="18"/>
  <c r="AM58" i="18"/>
  <c r="BA58" i="18" s="1"/>
  <c r="AZ58" i="18"/>
  <c r="AM59" i="18"/>
  <c r="BA59" i="18" s="1"/>
  <c r="AZ59" i="18"/>
  <c r="AM68" i="18"/>
  <c r="BA68" i="18" s="1"/>
  <c r="AZ68" i="18"/>
  <c r="AM85" i="18"/>
  <c r="AP85" i="18" s="1"/>
  <c r="AZ85" i="18"/>
  <c r="AM87" i="18"/>
  <c r="BA87" i="18" s="1"/>
  <c r="AZ87" i="18"/>
  <c r="B25" i="20"/>
  <c r="G24" i="20" s="1"/>
  <c r="B76" i="19"/>
  <c r="AK7" i="18"/>
  <c r="AL7" i="18" s="1"/>
  <c r="AK8" i="18"/>
  <c r="AL8" i="18" s="1"/>
  <c r="E26" i="26"/>
  <c r="E24" i="26"/>
  <c r="E23" i="26"/>
  <c r="E21" i="26"/>
  <c r="E20" i="26"/>
  <c r="E16" i="26"/>
  <c r="E14" i="26"/>
  <c r="E12" i="26"/>
  <c r="E10" i="26"/>
  <c r="E8" i="26"/>
  <c r="E25" i="26"/>
  <c r="E22" i="26"/>
  <c r="E19" i="26"/>
  <c r="E18" i="26"/>
  <c r="E17" i="26"/>
  <c r="E15" i="26"/>
  <c r="E13" i="26"/>
  <c r="E11" i="26"/>
  <c r="E9" i="26"/>
  <c r="E7" i="26"/>
  <c r="E6" i="26"/>
  <c r="M23" i="18"/>
  <c r="N23" i="18" s="1"/>
  <c r="U17" i="18"/>
  <c r="V17" i="18" s="1"/>
  <c r="U69" i="18"/>
  <c r="V69" i="18" s="1"/>
  <c r="U73" i="18"/>
  <c r="V73" i="18" s="1"/>
  <c r="U8" i="18"/>
  <c r="V8" i="18" s="1"/>
  <c r="U16" i="18"/>
  <c r="V16" i="18" s="1"/>
  <c r="U36" i="18"/>
  <c r="V36" i="18" s="1"/>
  <c r="U68" i="18"/>
  <c r="V68" i="18" s="1"/>
  <c r="U72" i="18"/>
  <c r="V72" i="18" s="1"/>
  <c r="U76" i="18"/>
  <c r="V76" i="18" s="1"/>
  <c r="U84" i="18"/>
  <c r="V84" i="18" s="1"/>
  <c r="U11" i="18"/>
  <c r="V11" i="18" s="1"/>
  <c r="U23" i="18"/>
  <c r="V23" i="18" s="1"/>
  <c r="U71" i="18"/>
  <c r="V71" i="18" s="1"/>
  <c r="U75" i="18"/>
  <c r="V75" i="18" s="1"/>
  <c r="U83" i="18"/>
  <c r="V83" i="18" s="1"/>
  <c r="U10" i="18"/>
  <c r="V10" i="18" s="1"/>
  <c r="U18" i="18"/>
  <c r="V18" i="18" s="1"/>
  <c r="U30" i="18"/>
  <c r="V30" i="18" s="1"/>
  <c r="U34" i="18"/>
  <c r="V34" i="18" s="1"/>
  <c r="U38" i="18"/>
  <c r="V38" i="18" s="1"/>
  <c r="U66" i="18"/>
  <c r="V66" i="18" s="1"/>
  <c r="U74" i="18"/>
  <c r="V74" i="18" s="1"/>
  <c r="U78" i="18"/>
  <c r="V78" i="18" s="1"/>
  <c r="U86" i="18"/>
  <c r="V86" i="18" s="1"/>
  <c r="AP90" i="16"/>
  <c r="AX90" i="16"/>
  <c r="P26" i="17" s="1"/>
  <c r="V90" i="16"/>
  <c r="AH90" i="16"/>
  <c r="N90" i="16"/>
  <c r="R90" i="16"/>
  <c r="Z90" i="16"/>
  <c r="AD90" i="16"/>
  <c r="Q10" i="18"/>
  <c r="R10" i="18" s="1"/>
  <c r="B56" i="19"/>
  <c r="B19" i="20"/>
  <c r="B86" i="19"/>
  <c r="B28" i="20"/>
  <c r="B46" i="19"/>
  <c r="B16" i="20"/>
  <c r="B66" i="19"/>
  <c r="B22" i="20"/>
  <c r="B96" i="19"/>
  <c r="B31" i="20"/>
  <c r="B106" i="19"/>
  <c r="B34" i="20"/>
  <c r="G32" i="20" s="1"/>
  <c r="AD21" i="18"/>
  <c r="AD22" i="18"/>
  <c r="Z7" i="18"/>
  <c r="Y48" i="18"/>
  <c r="Q54" i="18"/>
  <c r="R54" i="18" s="1"/>
  <c r="AW41" i="18"/>
  <c r="AX22" i="18"/>
  <c r="N14" i="18"/>
  <c r="M30" i="18"/>
  <c r="AG79" i="18"/>
  <c r="AH79" i="18" s="1"/>
  <c r="V65" i="18"/>
  <c r="R22" i="18"/>
  <c r="Z21" i="18"/>
  <c r="N22" i="18"/>
  <c r="AT22" i="18"/>
  <c r="Y47" i="18"/>
  <c r="AW66" i="18"/>
  <c r="AT76" i="18"/>
  <c r="Z11" i="18"/>
  <c r="AH14" i="18"/>
  <c r="N21" i="18"/>
  <c r="AT21" i="18"/>
  <c r="AH22" i="18"/>
  <c r="M31" i="18"/>
  <c r="AW42" i="18"/>
  <c r="Q63" i="18"/>
  <c r="R63" i="18" s="1"/>
  <c r="Y64" i="18"/>
  <c r="AG71" i="18"/>
  <c r="AH71" i="18" s="1"/>
  <c r="N13" i="18"/>
  <c r="AT19" i="18"/>
  <c r="V21" i="18"/>
  <c r="AC51" i="18"/>
  <c r="AD51" i="18" s="1"/>
  <c r="AX15" i="18"/>
  <c r="AH19" i="18"/>
  <c r="R21" i="18"/>
  <c r="AH21" i="18"/>
  <c r="AX21" i="18"/>
  <c r="V22" i="18"/>
  <c r="AC26" i="18"/>
  <c r="AD26" i="18" s="1"/>
  <c r="AS38" i="18"/>
  <c r="AT38" i="18" s="1"/>
  <c r="AC50" i="18"/>
  <c r="AD50" i="18" s="1"/>
  <c r="Q57" i="18"/>
  <c r="R57" i="18" s="1"/>
  <c r="Q58" i="18"/>
  <c r="R58" i="18" s="1"/>
  <c r="AD67" i="18"/>
  <c r="AG74" i="18"/>
  <c r="AH74" i="18" s="1"/>
  <c r="Z60" i="18"/>
  <c r="Q61" i="18"/>
  <c r="R61" i="18" s="1"/>
  <c r="AG64" i="18"/>
  <c r="AH64" i="18" s="1"/>
  <c r="AG69" i="18"/>
  <c r="AH69" i="18" s="1"/>
  <c r="Y72" i="18"/>
  <c r="V80" i="18"/>
  <c r="AW81" i="18"/>
  <c r="AG87" i="18"/>
  <c r="AH87" i="18" s="1"/>
  <c r="Z16" i="18"/>
  <c r="Z22" i="18"/>
  <c r="N7" i="18"/>
  <c r="AH10" i="18"/>
  <c r="Z12" i="18"/>
  <c r="AT13" i="18"/>
  <c r="N19" i="18"/>
  <c r="Y32" i="18"/>
  <c r="Z32" i="18" s="1"/>
  <c r="N8" i="18"/>
  <c r="AX9" i="18"/>
  <c r="AX11" i="18"/>
  <c r="Z13" i="18"/>
  <c r="AT14" i="18"/>
  <c r="AT16" i="18"/>
  <c r="AD18" i="18"/>
  <c r="Z23" i="18"/>
  <c r="AW26" i="18"/>
  <c r="Y31" i="18"/>
  <c r="AC34" i="18"/>
  <c r="AD34" i="18" s="1"/>
  <c r="AG37" i="18"/>
  <c r="AH37" i="18" s="1"/>
  <c r="U40" i="18"/>
  <c r="V40" i="18" s="1"/>
  <c r="M46" i="18"/>
  <c r="Q49" i="18"/>
  <c r="R49" i="18" s="1"/>
  <c r="AW54" i="18"/>
  <c r="Y61" i="18"/>
  <c r="Y62" i="18"/>
  <c r="Q64" i="18"/>
  <c r="R64" i="18" s="1"/>
  <c r="AW69" i="18"/>
  <c r="AT70" i="18"/>
  <c r="Y71" i="18"/>
  <c r="AW71" i="18"/>
  <c r="Y73" i="18"/>
  <c r="AG84" i="18"/>
  <c r="AH84" i="18" s="1"/>
  <c r="AG88" i="18"/>
  <c r="AH88" i="18" s="1"/>
  <c r="AD89" i="18"/>
  <c r="AC73" i="18"/>
  <c r="AD73" i="18" s="1"/>
  <c r="Y78" i="18"/>
  <c r="Z78" i="18" s="1"/>
  <c r="AW55" i="18"/>
  <c r="Y58" i="18"/>
  <c r="AG58" i="18"/>
  <c r="AH58" i="18" s="1"/>
  <c r="Z63" i="18"/>
  <c r="AW65" i="18"/>
  <c r="AG66" i="18"/>
  <c r="AH66" i="18" s="1"/>
  <c r="V67" i="18"/>
  <c r="Y69" i="18"/>
  <c r="Z69" i="18"/>
  <c r="AG72" i="18"/>
  <c r="AH72" i="18" s="1"/>
  <c r="AX72" i="18"/>
  <c r="AW72" i="18"/>
  <c r="Y74" i="18"/>
  <c r="U77" i="18"/>
  <c r="V77" i="18" s="1"/>
  <c r="AW79" i="18"/>
  <c r="AD80" i="18"/>
  <c r="AG82" i="18"/>
  <c r="AH82" i="18" s="1"/>
  <c r="AC83" i="18"/>
  <c r="AD83" i="18" s="1"/>
  <c r="AW84" i="18"/>
  <c r="AD85" i="18"/>
  <c r="AG86" i="18"/>
  <c r="AH86" i="18" s="1"/>
  <c r="AD15" i="18"/>
  <c r="N17" i="18"/>
  <c r="AC35" i="18"/>
  <c r="AD35" i="18" s="1"/>
  <c r="AG38" i="18"/>
  <c r="AH38" i="18" s="1"/>
  <c r="U41" i="18"/>
  <c r="V41" i="18" s="1"/>
  <c r="M47" i="18"/>
  <c r="Q50" i="18"/>
  <c r="R50" i="18" s="1"/>
  <c r="Z8" i="18"/>
  <c r="N9" i="18"/>
  <c r="AD13" i="18"/>
  <c r="R14" i="18"/>
  <c r="AX14" i="18"/>
  <c r="AH15" i="18"/>
  <c r="AD16" i="18"/>
  <c r="Z17" i="18"/>
  <c r="AH18" i="18"/>
  <c r="R19" i="18"/>
  <c r="AX19" i="18"/>
  <c r="AD23" i="18"/>
  <c r="AW25" i="18"/>
  <c r="AC27" i="18"/>
  <c r="AD27" i="18" s="1"/>
  <c r="Q26" i="18"/>
  <c r="R26" i="18" s="1"/>
  <c r="AG29" i="18"/>
  <c r="AH29" i="18" s="1"/>
  <c r="AG30" i="18"/>
  <c r="AH30" i="18" s="1"/>
  <c r="U32" i="18"/>
  <c r="V32" i="18" s="1"/>
  <c r="U33" i="18"/>
  <c r="V33" i="18" s="1"/>
  <c r="N38" i="18"/>
  <c r="M38" i="18"/>
  <c r="N39" i="18"/>
  <c r="M39" i="18"/>
  <c r="R41" i="18"/>
  <c r="Q41" i="18"/>
  <c r="AS46" i="18"/>
  <c r="AT46" i="18" s="1"/>
  <c r="AH9" i="18"/>
  <c r="AD10" i="18"/>
  <c r="N11" i="18"/>
  <c r="V12" i="18"/>
  <c r="AD14" i="18"/>
  <c r="AT15" i="18"/>
  <c r="AX17" i="18"/>
  <c r="AD19" i="18"/>
  <c r="AX33" i="18"/>
  <c r="AW33" i="18"/>
  <c r="AX34" i="18"/>
  <c r="AW34" i="18"/>
  <c r="Z39" i="18"/>
  <c r="Y39" i="18"/>
  <c r="Z40" i="18"/>
  <c r="Y40" i="18"/>
  <c r="AC42" i="18"/>
  <c r="AD42" i="18" s="1"/>
  <c r="AG45" i="18"/>
  <c r="AH45" i="18" s="1"/>
  <c r="U48" i="18"/>
  <c r="V48" i="18" s="1"/>
  <c r="AC43" i="18"/>
  <c r="AD43" i="18" s="1"/>
  <c r="AG46" i="18"/>
  <c r="AH46" i="18" s="1"/>
  <c r="AS47" i="18"/>
  <c r="AT47" i="18" s="1"/>
  <c r="U49" i="18"/>
  <c r="V49" i="18" s="1"/>
  <c r="AW50" i="18"/>
  <c r="Z57" i="18"/>
  <c r="AG54" i="18"/>
  <c r="AH54" i="18" s="1"/>
  <c r="AG55" i="18"/>
  <c r="AH55" i="18" s="1"/>
  <c r="AW58" i="18"/>
  <c r="Q60" i="18"/>
  <c r="R60" i="18" s="1"/>
  <c r="AW61" i="18"/>
  <c r="AD62" i="18"/>
  <c r="AW49" i="18"/>
  <c r="Z54" i="18"/>
  <c r="Y55" i="18"/>
  <c r="AW56" i="18"/>
  <c r="AG57" i="18"/>
  <c r="AH57" i="18" s="1"/>
  <c r="AT59" i="18"/>
  <c r="AG61" i="18"/>
  <c r="AH61" i="18" s="1"/>
  <c r="AT63" i="18"/>
  <c r="Y66" i="18"/>
  <c r="AD68" i="18"/>
  <c r="AW74" i="18"/>
  <c r="AD75" i="18"/>
  <c r="AD77" i="18"/>
  <c r="AG81" i="18"/>
  <c r="AH81" i="18" s="1"/>
  <c r="AW82" i="18"/>
  <c r="V85" i="18"/>
  <c r="AW86" i="18"/>
  <c r="AW87" i="18"/>
  <c r="AD7" i="18"/>
  <c r="AT7" i="18"/>
  <c r="R8" i="18"/>
  <c r="AD8" i="18"/>
  <c r="AT8" i="18"/>
  <c r="Z9" i="18"/>
  <c r="N10" i="18"/>
  <c r="AX10" i="18"/>
  <c r="AD11" i="18"/>
  <c r="N12" i="18"/>
  <c r="AD12" i="18"/>
  <c r="AT12" i="18"/>
  <c r="R13" i="18"/>
  <c r="AH13" i="18"/>
  <c r="AX13" i="18"/>
  <c r="V14" i="18"/>
  <c r="V15" i="18"/>
  <c r="AH16" i="18"/>
  <c r="AX16" i="18"/>
  <c r="AD17" i="18"/>
  <c r="N18" i="18"/>
  <c r="AX18" i="18"/>
  <c r="V19" i="18"/>
  <c r="AH23" i="18"/>
  <c r="M25" i="18"/>
  <c r="N25" i="18" s="1"/>
  <c r="Q25" i="18"/>
  <c r="R25" i="18" s="1"/>
  <c r="U25" i="18"/>
  <c r="V25" i="18" s="1"/>
  <c r="Y25" i="18"/>
  <c r="Z25" i="18" s="1"/>
  <c r="AC25" i="18"/>
  <c r="AD25" i="18" s="1"/>
  <c r="AG25" i="18"/>
  <c r="AH25" i="18" s="1"/>
  <c r="AG26" i="18"/>
  <c r="AH26" i="18" s="1"/>
  <c r="M27" i="18"/>
  <c r="N27" i="18" s="1"/>
  <c r="AS27" i="18"/>
  <c r="AT27" i="18" s="1"/>
  <c r="AW29" i="18"/>
  <c r="AW30" i="18"/>
  <c r="AC31" i="18"/>
  <c r="AD31" i="18" s="1"/>
  <c r="AG33" i="18"/>
  <c r="AH33" i="18" s="1"/>
  <c r="AG34" i="18"/>
  <c r="AH34" i="18" s="1"/>
  <c r="M35" i="18"/>
  <c r="AS35" i="18"/>
  <c r="AT35" i="18" s="1"/>
  <c r="Q37" i="18"/>
  <c r="R37" i="18" s="1"/>
  <c r="AW37" i="18"/>
  <c r="Q38" i="18"/>
  <c r="R38" i="18" s="1"/>
  <c r="AW38" i="18"/>
  <c r="AC39" i="18"/>
  <c r="AD39" i="18" s="1"/>
  <c r="AG41" i="18"/>
  <c r="AH41" i="18" s="1"/>
  <c r="AG42" i="18"/>
  <c r="AH42" i="18" s="1"/>
  <c r="M43" i="18"/>
  <c r="AS43" i="18"/>
  <c r="AT43" i="18" s="1"/>
  <c r="U44" i="18"/>
  <c r="V44" i="18" s="1"/>
  <c r="Q45" i="18"/>
  <c r="R45" i="18" s="1"/>
  <c r="AW45" i="18"/>
  <c r="Q46" i="18"/>
  <c r="R46" i="18" s="1"/>
  <c r="AW46" i="18"/>
  <c r="AC47" i="18"/>
  <c r="AD47" i="18" s="1"/>
  <c r="AG49" i="18"/>
  <c r="AH49" i="18" s="1"/>
  <c r="AG50" i="18"/>
  <c r="AH50" i="18" s="1"/>
  <c r="M51" i="18"/>
  <c r="AS51" i="18"/>
  <c r="AT51" i="18" s="1"/>
  <c r="U52" i="18"/>
  <c r="V52" i="18" s="1"/>
  <c r="Q53" i="18"/>
  <c r="R53" i="18" s="1"/>
  <c r="AG53" i="18"/>
  <c r="AH53" i="18" s="1"/>
  <c r="AT55" i="18"/>
  <c r="Q56" i="18"/>
  <c r="R56" i="18" s="1"/>
  <c r="Z56" i="18"/>
  <c r="AW57" i="18"/>
  <c r="AD58" i="18"/>
  <c r="Q59" i="18"/>
  <c r="R59" i="18" s="1"/>
  <c r="Z59" i="18"/>
  <c r="AG60" i="18"/>
  <c r="AH60" i="18" s="1"/>
  <c r="V61" i="18"/>
  <c r="AG63" i="18"/>
  <c r="AH63" i="18" s="1"/>
  <c r="AW63" i="18"/>
  <c r="AW64" i="18"/>
  <c r="Z65" i="18"/>
  <c r="AT66" i="18"/>
  <c r="Z68" i="18"/>
  <c r="AG68" i="18"/>
  <c r="AH68" i="18" s="1"/>
  <c r="AW68" i="18"/>
  <c r="R69" i="18"/>
  <c r="AG70" i="18"/>
  <c r="AH70" i="18" s="1"/>
  <c r="AW70" i="18"/>
  <c r="AD71" i="18"/>
  <c r="AT74" i="18"/>
  <c r="Z75" i="18"/>
  <c r="AG75" i="18"/>
  <c r="AH75" i="18" s="1"/>
  <c r="AW75" i="18"/>
  <c r="Z76" i="18"/>
  <c r="AG77" i="18"/>
  <c r="AH77" i="18" s="1"/>
  <c r="AW77" i="18"/>
  <c r="R78" i="18"/>
  <c r="AG78" i="18"/>
  <c r="AH78" i="18" s="1"/>
  <c r="AT79" i="18"/>
  <c r="AG83" i="18"/>
  <c r="AH83" i="18" s="1"/>
  <c r="AW83" i="18"/>
  <c r="AG85" i="18"/>
  <c r="AH85" i="18" s="1"/>
  <c r="AW85" i="18"/>
  <c r="AD86" i="18"/>
  <c r="AT86" i="18"/>
  <c r="AD87" i="18"/>
  <c r="AW88" i="18"/>
  <c r="R89" i="18"/>
  <c r="AG89" i="18"/>
  <c r="AH89" i="18" s="1"/>
  <c r="R70" i="18"/>
  <c r="R71" i="18"/>
  <c r="R88" i="18"/>
  <c r="AH7" i="18"/>
  <c r="AX7" i="18"/>
  <c r="AH8" i="18"/>
  <c r="AX8" i="18"/>
  <c r="AD9" i="18"/>
  <c r="AT9" i="18"/>
  <c r="Z10" i="18"/>
  <c r="AH11" i="18"/>
  <c r="R12" i="18"/>
  <c r="AH12" i="18"/>
  <c r="AX12" i="18"/>
  <c r="V13" i="18"/>
  <c r="Z14" i="18"/>
  <c r="N15" i="18"/>
  <c r="Z15" i="18"/>
  <c r="N16" i="18"/>
  <c r="AH17" i="18"/>
  <c r="Z18" i="18"/>
  <c r="Z19" i="18"/>
  <c r="AX23" i="18"/>
  <c r="M26" i="18"/>
  <c r="N26" i="18" s="1"/>
  <c r="AS26" i="18"/>
  <c r="AT26" i="18" s="1"/>
  <c r="Y27" i="18"/>
  <c r="Z27" i="18" s="1"/>
  <c r="Y28" i="18"/>
  <c r="Z28" i="18" s="1"/>
  <c r="AC30" i="18"/>
  <c r="AD30" i="18" s="1"/>
  <c r="M34" i="18"/>
  <c r="N34" i="18" s="1"/>
  <c r="AS34" i="18"/>
  <c r="AT34" i="18" s="1"/>
  <c r="Y35" i="18"/>
  <c r="Y36" i="18"/>
  <c r="Z36" i="18" s="1"/>
  <c r="U37" i="18"/>
  <c r="V37" i="18" s="1"/>
  <c r="AC38" i="18"/>
  <c r="AD38" i="18" s="1"/>
  <c r="M42" i="18"/>
  <c r="AS42" i="18"/>
  <c r="AT42" i="18" s="1"/>
  <c r="Y43" i="18"/>
  <c r="Y44" i="18"/>
  <c r="U45" i="18"/>
  <c r="V45" i="18" s="1"/>
  <c r="AC46" i="18"/>
  <c r="AD46" i="18" s="1"/>
  <c r="M50" i="18"/>
  <c r="AS50" i="18"/>
  <c r="AT50" i="18" s="1"/>
  <c r="Y51" i="18"/>
  <c r="Y52" i="18"/>
  <c r="U53" i="18"/>
  <c r="V53" i="18" s="1"/>
  <c r="AW53" i="18"/>
  <c r="AD54" i="18"/>
  <c r="Q55" i="18"/>
  <c r="R55" i="18" s="1"/>
  <c r="AG56" i="18"/>
  <c r="AH56" i="18" s="1"/>
  <c r="V57" i="18"/>
  <c r="AG59" i="18"/>
  <c r="AH59" i="18" s="1"/>
  <c r="AW59" i="18"/>
  <c r="AW60" i="18"/>
  <c r="Q62" i="18"/>
  <c r="R62" i="18" s="1"/>
  <c r="AG62" i="18"/>
  <c r="AH62" i="18" s="1"/>
  <c r="AW62" i="18"/>
  <c r="Q65" i="18"/>
  <c r="R65" i="18" s="1"/>
  <c r="AG65" i="18"/>
  <c r="AH65" i="18" s="1"/>
  <c r="AG67" i="18"/>
  <c r="AH67" i="18" s="1"/>
  <c r="AW67" i="18"/>
  <c r="R68" i="18"/>
  <c r="AD69" i="18"/>
  <c r="AT72" i="18"/>
  <c r="Q73" i="18"/>
  <c r="R73" i="18" s="1"/>
  <c r="AG73" i="18"/>
  <c r="AH73" i="18" s="1"/>
  <c r="AW73" i="18"/>
  <c r="R75" i="18"/>
  <c r="AG76" i="18"/>
  <c r="AH76" i="18" s="1"/>
  <c r="AW76" i="18"/>
  <c r="R77" i="18"/>
  <c r="AW78" i="18"/>
  <c r="R79" i="18"/>
  <c r="Q80" i="18"/>
  <c r="R80" i="18" s="1"/>
  <c r="AG80" i="18"/>
  <c r="AH80" i="18" s="1"/>
  <c r="AW80" i="18"/>
  <c r="R81" i="18"/>
  <c r="AD82" i="18"/>
  <c r="AD84" i="18"/>
  <c r="Q87" i="18"/>
  <c r="R87" i="18" s="1"/>
  <c r="AD88" i="18"/>
  <c r="AW89" i="18"/>
  <c r="N20" i="18"/>
  <c r="R20" i="18"/>
  <c r="V20" i="18"/>
  <c r="Z20" i="18"/>
  <c r="AD20" i="18"/>
  <c r="AH20" i="18"/>
  <c r="AT20" i="18"/>
  <c r="AX20" i="18"/>
  <c r="N24" i="18"/>
  <c r="R24" i="18"/>
  <c r="V24" i="18"/>
  <c r="Z24" i="18"/>
  <c r="AD24" i="18"/>
  <c r="AH24" i="18"/>
  <c r="AT24" i="18"/>
  <c r="AX24" i="18"/>
  <c r="U26" i="18"/>
  <c r="V26" i="18" s="1"/>
  <c r="Q27" i="18"/>
  <c r="R27" i="18" s="1"/>
  <c r="AG27" i="18"/>
  <c r="AH27" i="18" s="1"/>
  <c r="AW27" i="18"/>
  <c r="V28" i="18"/>
  <c r="AC28" i="18"/>
  <c r="AD28" i="18" s="1"/>
  <c r="R29" i="18"/>
  <c r="Y29" i="18"/>
  <c r="Z29" i="18" s="1"/>
  <c r="AT30" i="18"/>
  <c r="AG31" i="18"/>
  <c r="AH31" i="18" s="1"/>
  <c r="AW31" i="18"/>
  <c r="M32" i="18"/>
  <c r="N32" i="18" s="1"/>
  <c r="AC32" i="18"/>
  <c r="AD32" i="18" s="1"/>
  <c r="AS32" i="18"/>
  <c r="AT32" i="18" s="1"/>
  <c r="R33" i="18"/>
  <c r="Y33" i="18"/>
  <c r="AG35" i="18"/>
  <c r="AH35" i="18" s="1"/>
  <c r="AW35" i="18"/>
  <c r="M36" i="18"/>
  <c r="AC36" i="18"/>
  <c r="AD36" i="18" s="1"/>
  <c r="AS36" i="18"/>
  <c r="AT36" i="18" s="1"/>
  <c r="Y37" i="18"/>
  <c r="AG39" i="18"/>
  <c r="AH39" i="18" s="1"/>
  <c r="AW39" i="18"/>
  <c r="M40" i="18"/>
  <c r="AC40" i="18"/>
  <c r="AD40" i="18" s="1"/>
  <c r="AS40" i="18"/>
  <c r="AT40" i="18" s="1"/>
  <c r="Y41" i="18"/>
  <c r="U42" i="18"/>
  <c r="V42" i="18" s="1"/>
  <c r="Q43" i="18"/>
  <c r="R43" i="18" s="1"/>
  <c r="AG43" i="18"/>
  <c r="AH43" i="18" s="1"/>
  <c r="AW43" i="18"/>
  <c r="M44" i="18"/>
  <c r="AC44" i="18"/>
  <c r="AD44" i="18" s="1"/>
  <c r="AS44" i="18"/>
  <c r="AT44" i="18" s="1"/>
  <c r="Y45" i="18"/>
  <c r="U46" i="18"/>
  <c r="V46" i="18" s="1"/>
  <c r="AG47" i="18"/>
  <c r="AH47" i="18" s="1"/>
  <c r="AW47" i="18"/>
  <c r="M48" i="18"/>
  <c r="AC48" i="18"/>
  <c r="AD48" i="18" s="1"/>
  <c r="AS48" i="18"/>
  <c r="AT48" i="18" s="1"/>
  <c r="Y49" i="18"/>
  <c r="U50" i="18"/>
  <c r="V50" i="18" s="1"/>
  <c r="Q51" i="18"/>
  <c r="R51" i="18" s="1"/>
  <c r="AG51" i="18"/>
  <c r="AH51" i="18" s="1"/>
  <c r="AW51" i="18"/>
  <c r="M52" i="18"/>
  <c r="AC52" i="18"/>
  <c r="AD52" i="18" s="1"/>
  <c r="AS52" i="18"/>
  <c r="AT52" i="18" s="1"/>
  <c r="Y53" i="18"/>
  <c r="V54" i="18"/>
  <c r="AD55" i="18"/>
  <c r="AT56" i="18"/>
  <c r="M57" i="18"/>
  <c r="V58" i="18"/>
  <c r="AD59" i="18"/>
  <c r="AT60" i="18"/>
  <c r="M61" i="18"/>
  <c r="V62" i="18"/>
  <c r="AD63" i="18"/>
  <c r="AT64" i="18"/>
  <c r="M65" i="18"/>
  <c r="N65" i="18" s="1"/>
  <c r="R66" i="18"/>
  <c r="AD66" i="18"/>
  <c r="M67" i="18"/>
  <c r="N67" i="18" s="1"/>
  <c r="AT68" i="18"/>
  <c r="N71" i="18"/>
  <c r="R72" i="18"/>
  <c r="AD72" i="18"/>
  <c r="AT73" i="18"/>
  <c r="M74" i="18"/>
  <c r="R76" i="18"/>
  <c r="AD76" i="18"/>
  <c r="M77" i="18"/>
  <c r="N77" i="18" s="1"/>
  <c r="AT78" i="18"/>
  <c r="V79" i="18"/>
  <c r="AD79" i="18"/>
  <c r="M80" i="18"/>
  <c r="N80" i="18" s="1"/>
  <c r="R82" i="18"/>
  <c r="AT82" i="18"/>
  <c r="M83" i="18"/>
  <c r="R84" i="18"/>
  <c r="AT84" i="18"/>
  <c r="M85" i="18"/>
  <c r="R86" i="18"/>
  <c r="M56" i="18"/>
  <c r="M60" i="18"/>
  <c r="M64" i="18"/>
  <c r="M68" i="18"/>
  <c r="N68" i="18" s="1"/>
  <c r="M70" i="18"/>
  <c r="N70" i="18" s="1"/>
  <c r="M73" i="18"/>
  <c r="M78" i="18"/>
  <c r="M81" i="18"/>
  <c r="N81" i="18" s="1"/>
  <c r="N28" i="18"/>
  <c r="AT28" i="18"/>
  <c r="R31" i="18"/>
  <c r="R35" i="18"/>
  <c r="R39" i="18"/>
  <c r="R47" i="18"/>
  <c r="AD53" i="18"/>
  <c r="AT54" i="18"/>
  <c r="M55" i="18"/>
  <c r="N56" i="18"/>
  <c r="V56" i="18"/>
  <c r="AD57" i="18"/>
  <c r="AT58" i="18"/>
  <c r="M59" i="18"/>
  <c r="N60" i="18"/>
  <c r="V60" i="18"/>
  <c r="AD61" i="18"/>
  <c r="AT62" i="18"/>
  <c r="M63" i="18"/>
  <c r="N64" i="18"/>
  <c r="V64" i="18"/>
  <c r="AD65" i="18"/>
  <c r="M66" i="18"/>
  <c r="N66" i="18" s="1"/>
  <c r="R67" i="18"/>
  <c r="AT67" i="18"/>
  <c r="AT69" i="18"/>
  <c r="V70" i="18"/>
  <c r="AD70" i="18"/>
  <c r="AT71" i="18"/>
  <c r="M72" i="18"/>
  <c r="N73" i="18"/>
  <c r="R74" i="18"/>
  <c r="AD74" i="18"/>
  <c r="AT75" i="18"/>
  <c r="M76" i="18"/>
  <c r="AT77" i="18"/>
  <c r="AT80" i="18"/>
  <c r="V81" i="18"/>
  <c r="AD81" i="18"/>
  <c r="M82" i="18"/>
  <c r="N82" i="18" s="1"/>
  <c r="R83" i="18"/>
  <c r="AT83" i="18"/>
  <c r="M84" i="18"/>
  <c r="R85" i="18"/>
  <c r="AT85" i="18"/>
  <c r="M86" i="18"/>
  <c r="AS25" i="18"/>
  <c r="AT25" i="18" s="1"/>
  <c r="Y26" i="18"/>
  <c r="Z26" i="18" s="1"/>
  <c r="U27" i="18"/>
  <c r="V27" i="18" s="1"/>
  <c r="Q28" i="18"/>
  <c r="R28" i="18" s="1"/>
  <c r="AG28" i="18"/>
  <c r="AH28" i="18" s="1"/>
  <c r="AW28" i="18"/>
  <c r="M29" i="18"/>
  <c r="N29" i="18" s="1"/>
  <c r="V29" i="18"/>
  <c r="AC29" i="18"/>
  <c r="AD29" i="18" s="1"/>
  <c r="AS29" i="18"/>
  <c r="AT29" i="18" s="1"/>
  <c r="R30" i="18"/>
  <c r="Y30" i="18"/>
  <c r="U31" i="18"/>
  <c r="AT31" i="18"/>
  <c r="Q32" i="18"/>
  <c r="R32" i="18" s="1"/>
  <c r="AG32" i="18"/>
  <c r="AH32" i="18" s="1"/>
  <c r="AW32" i="18"/>
  <c r="M33" i="18"/>
  <c r="N33" i="18" s="1"/>
  <c r="AC33" i="18"/>
  <c r="AD33" i="18" s="1"/>
  <c r="AS33" i="18"/>
  <c r="AT33" i="18" s="1"/>
  <c r="R34" i="18"/>
  <c r="Y34" i="18"/>
  <c r="U35" i="18"/>
  <c r="Q36" i="18"/>
  <c r="R36" i="18" s="1"/>
  <c r="AG36" i="18"/>
  <c r="AH36" i="18" s="1"/>
  <c r="AW36" i="18"/>
  <c r="M37" i="18"/>
  <c r="AC37" i="18"/>
  <c r="AD37" i="18" s="1"/>
  <c r="AS37" i="18"/>
  <c r="AT37" i="18" s="1"/>
  <c r="Y38" i="18"/>
  <c r="U39" i="18"/>
  <c r="V39" i="18" s="1"/>
  <c r="AT39" i="18"/>
  <c r="Q40" i="18"/>
  <c r="R40" i="18" s="1"/>
  <c r="AG40" i="18"/>
  <c r="AH40" i="18" s="1"/>
  <c r="AW40" i="18"/>
  <c r="M41" i="18"/>
  <c r="AC41" i="18"/>
  <c r="AD41" i="18" s="1"/>
  <c r="AS41" i="18"/>
  <c r="AT41" i="18" s="1"/>
  <c r="R42" i="18"/>
  <c r="Y42" i="18"/>
  <c r="U43" i="18"/>
  <c r="V43" i="18" s="1"/>
  <c r="Q44" i="18"/>
  <c r="R44" i="18" s="1"/>
  <c r="AG44" i="18"/>
  <c r="AH44" i="18" s="1"/>
  <c r="AW44" i="18"/>
  <c r="M45" i="18"/>
  <c r="AC45" i="18"/>
  <c r="AD45" i="18" s="1"/>
  <c r="AS45" i="18"/>
  <c r="AT45" i="18" s="1"/>
  <c r="Y46" i="18"/>
  <c r="U47" i="18"/>
  <c r="V47" i="18" s="1"/>
  <c r="Q48" i="18"/>
  <c r="R48" i="18" s="1"/>
  <c r="AG48" i="18"/>
  <c r="AH48" i="18" s="1"/>
  <c r="AW48" i="18"/>
  <c r="M49" i="18"/>
  <c r="AC49" i="18"/>
  <c r="AD49" i="18" s="1"/>
  <c r="AS49" i="18"/>
  <c r="AT49" i="18" s="1"/>
  <c r="Y50" i="18"/>
  <c r="U51" i="18"/>
  <c r="V51" i="18" s="1"/>
  <c r="Q52" i="18"/>
  <c r="R52" i="18" s="1"/>
  <c r="AG52" i="18"/>
  <c r="AH52" i="18" s="1"/>
  <c r="AW52" i="18"/>
  <c r="M53" i="18"/>
  <c r="AT53" i="18"/>
  <c r="M54" i="18"/>
  <c r="N55" i="18"/>
  <c r="V55" i="18"/>
  <c r="AD56" i="18"/>
  <c r="AT57" i="18"/>
  <c r="M58" i="18"/>
  <c r="N59" i="18"/>
  <c r="V59" i="18"/>
  <c r="AD60" i="18"/>
  <c r="AT61" i="18"/>
  <c r="M62" i="18"/>
  <c r="N63" i="18"/>
  <c r="V63" i="18"/>
  <c r="AD64" i="18"/>
  <c r="AT65" i="18"/>
  <c r="M69" i="18"/>
  <c r="N69" i="18" s="1"/>
  <c r="M71" i="18"/>
  <c r="M75" i="18"/>
  <c r="N75" i="18" s="1"/>
  <c r="AD78" i="18"/>
  <c r="M79" i="18"/>
  <c r="N79" i="18" s="1"/>
  <c r="AT81" i="18"/>
  <c r="V82" i="18"/>
  <c r="N84" i="18"/>
  <c r="N86" i="18"/>
  <c r="M87" i="18"/>
  <c r="N87" i="18" s="1"/>
  <c r="M88" i="18"/>
  <c r="N88" i="18" s="1"/>
  <c r="M89" i="18"/>
  <c r="U88" i="18"/>
  <c r="V88" i="18" s="1"/>
  <c r="U89" i="18"/>
  <c r="V89" i="18" s="1"/>
  <c r="BA17" i="18" l="1"/>
  <c r="AO34" i="18"/>
  <c r="AO50" i="18"/>
  <c r="BA34" i="18"/>
  <c r="AO21" i="18"/>
  <c r="BA80" i="18"/>
  <c r="AP15" i="18"/>
  <c r="AP21" i="18"/>
  <c r="AO80" i="18"/>
  <c r="BA7" i="18"/>
  <c r="BA55" i="18"/>
  <c r="AO42" i="18"/>
  <c r="AP10" i="18"/>
  <c r="AO55" i="18"/>
  <c r="AP17" i="18"/>
  <c r="AO67" i="18"/>
  <c r="BA32" i="18"/>
  <c r="AP7" i="18"/>
  <c r="AO89" i="18"/>
  <c r="BA67" i="18"/>
  <c r="AO71" i="18"/>
  <c r="AO38" i="18"/>
  <c r="AO41" i="18"/>
  <c r="AO79" i="18"/>
  <c r="AO65" i="18"/>
  <c r="AO9" i="18"/>
  <c r="BA71" i="18"/>
  <c r="AP89" i="18"/>
  <c r="AO88" i="18"/>
  <c r="AP70" i="18"/>
  <c r="AP9" i="18"/>
  <c r="BA42" i="18"/>
  <c r="AO19" i="18"/>
  <c r="AP53" i="18"/>
  <c r="AP51" i="18"/>
  <c r="BA60" i="18"/>
  <c r="AO58" i="18"/>
  <c r="AP86" i="18"/>
  <c r="AO28" i="18"/>
  <c r="AO66" i="18"/>
  <c r="AP69" i="18"/>
  <c r="AO78" i="18"/>
  <c r="AO69" i="18"/>
  <c r="BA86" i="18"/>
  <c r="BA18" i="18"/>
  <c r="AO33" i="18"/>
  <c r="AP54" i="18"/>
  <c r="BA41" i="18"/>
  <c r="AO27" i="18"/>
  <c r="AO81" i="18"/>
  <c r="AO24" i="18"/>
  <c r="BA74" i="18"/>
  <c r="BA84" i="18"/>
  <c r="AP60" i="18"/>
  <c r="AP64" i="18"/>
  <c r="AO44" i="18"/>
  <c r="AP43" i="18"/>
  <c r="AO56" i="18"/>
  <c r="AO84" i="18"/>
  <c r="AP75" i="18"/>
  <c r="AO53" i="18"/>
  <c r="AO77" i="18"/>
  <c r="AP56" i="18"/>
  <c r="AP38" i="18"/>
  <c r="AO11" i="18"/>
  <c r="BA8" i="18"/>
  <c r="BA62" i="18"/>
  <c r="BA27" i="18"/>
  <c r="BA77" i="18"/>
  <c r="BA24" i="18"/>
  <c r="AP18" i="18"/>
  <c r="AP62" i="18"/>
  <c r="AP74" i="18"/>
  <c r="AP16" i="18"/>
  <c r="AP12" i="18"/>
  <c r="AO51" i="18"/>
  <c r="AP29" i="18"/>
  <c r="AO75" i="18"/>
  <c r="AP44" i="18"/>
  <c r="AP81" i="18"/>
  <c r="AO54" i="18"/>
  <c r="BA29" i="18"/>
  <c r="BA78" i="18"/>
  <c r="AO43" i="18"/>
  <c r="AP11" i="18"/>
  <c r="AP8" i="18"/>
  <c r="AO64" i="18"/>
  <c r="AO12" i="18"/>
  <c r="AP66" i="18"/>
  <c r="AO16" i="18"/>
  <c r="AO46" i="18"/>
  <c r="AP72" i="18"/>
  <c r="AP87" i="18"/>
  <c r="AP28" i="18"/>
  <c r="BA39" i="18"/>
  <c r="AP20" i="18"/>
  <c r="AO48" i="18"/>
  <c r="AO83" i="18"/>
  <c r="AP68" i="18"/>
  <c r="AO36" i="18"/>
  <c r="AP46" i="18"/>
  <c r="AO87" i="18"/>
  <c r="BA48" i="18"/>
  <c r="AO68" i="18"/>
  <c r="AP36" i="18"/>
  <c r="BA20" i="18"/>
  <c r="AP58" i="18"/>
  <c r="AP33" i="18"/>
  <c r="AO76" i="18"/>
  <c r="AP57" i="18"/>
  <c r="AP22" i="18"/>
  <c r="AP83" i="18"/>
  <c r="AP79" i="18"/>
  <c r="AP65" i="18"/>
  <c r="AO57" i="18"/>
  <c r="AP31" i="18"/>
  <c r="AP40" i="18"/>
  <c r="AO22" i="18"/>
  <c r="AO15" i="18"/>
  <c r="BA88" i="18"/>
  <c r="BA76" i="18"/>
  <c r="BA61" i="18"/>
  <c r="BA45" i="18"/>
  <c r="BA19" i="18"/>
  <c r="AO49" i="18"/>
  <c r="AO45" i="18"/>
  <c r="AO25" i="18"/>
  <c r="AO40" i="18"/>
  <c r="AO32" i="18"/>
  <c r="AO61" i="18"/>
  <c r="AP82" i="18"/>
  <c r="AP49" i="18"/>
  <c r="AP25" i="18"/>
  <c r="AO82" i="18"/>
  <c r="AO70" i="18"/>
  <c r="AO63" i="18"/>
  <c r="AP50" i="18"/>
  <c r="BA63" i="18"/>
  <c r="AO39" i="18"/>
  <c r="AO31" i="18"/>
  <c r="AO72" i="18"/>
  <c r="AO10" i="18"/>
  <c r="AO13" i="18"/>
  <c r="AO59" i="18"/>
  <c r="AO35" i="18"/>
  <c r="AO30" i="18"/>
  <c r="AP23" i="18"/>
  <c r="AO52" i="18"/>
  <c r="AP59" i="18"/>
  <c r="AP47" i="18"/>
  <c r="AP35" i="18"/>
  <c r="BA85" i="18"/>
  <c r="BA52" i="18"/>
  <c r="BA37" i="18"/>
  <c r="BA30" i="18"/>
  <c r="BA13" i="18"/>
  <c r="AO47" i="18"/>
  <c r="AP14" i="18"/>
  <c r="AO85" i="18"/>
  <c r="AP37" i="18"/>
  <c r="BA26" i="18"/>
  <c r="AO26" i="18"/>
  <c r="AP73" i="18"/>
  <c r="AO73" i="18"/>
  <c r="BA23" i="18"/>
  <c r="AO14" i="18"/>
  <c r="G23" i="20"/>
  <c r="J65" i="26"/>
  <c r="J64" i="26"/>
  <c r="J57" i="26"/>
  <c r="J56" i="26"/>
  <c r="J48" i="26"/>
  <c r="J71" i="26"/>
  <c r="J70" i="26"/>
  <c r="J63" i="26"/>
  <c r="J62" i="26"/>
  <c r="J55" i="26"/>
  <c r="J54" i="26"/>
  <c r="J47" i="26"/>
  <c r="J46" i="26"/>
  <c r="J67" i="26"/>
  <c r="J66" i="26"/>
  <c r="J59" i="26"/>
  <c r="J58" i="26"/>
  <c r="J51" i="26"/>
  <c r="J50" i="26"/>
  <c r="J37" i="26"/>
  <c r="J36" i="26"/>
  <c r="J29" i="26"/>
  <c r="J28" i="26"/>
  <c r="J27" i="26"/>
  <c r="J39" i="26"/>
  <c r="J38" i="26"/>
  <c r="J35" i="26"/>
  <c r="J69" i="26"/>
  <c r="J61" i="26"/>
  <c r="J53" i="26"/>
  <c r="J45" i="26"/>
  <c r="J33" i="26"/>
  <c r="J68" i="26"/>
  <c r="J60" i="26"/>
  <c r="J52" i="26"/>
  <c r="J44" i="26"/>
  <c r="J22" i="26"/>
  <c r="J18" i="26"/>
  <c r="J14" i="26"/>
  <c r="J26" i="26"/>
  <c r="J21" i="26"/>
  <c r="J17" i="26"/>
  <c r="J20" i="26"/>
  <c r="J16" i="26"/>
  <c r="J12" i="26"/>
  <c r="J8" i="26"/>
  <c r="J23" i="26"/>
  <c r="J19" i="26"/>
  <c r="J11" i="26"/>
  <c r="J7" i="26"/>
  <c r="I74" i="18"/>
  <c r="J58" i="18"/>
  <c r="I53" i="18"/>
  <c r="I33" i="18"/>
  <c r="J45" i="18"/>
  <c r="J37" i="18"/>
  <c r="J46" i="18"/>
  <c r="J38" i="18"/>
  <c r="I30" i="18"/>
  <c r="I22" i="18"/>
  <c r="J7" i="18"/>
  <c r="J83" i="18"/>
  <c r="J75" i="18"/>
  <c r="I59" i="18"/>
  <c r="J72" i="18"/>
  <c r="I64" i="18"/>
  <c r="I56" i="18"/>
  <c r="I48" i="18"/>
  <c r="I40" i="18"/>
  <c r="I32" i="18"/>
  <c r="J10" i="18"/>
  <c r="I61" i="18"/>
  <c r="J31" i="18"/>
  <c r="I47" i="18"/>
  <c r="I39" i="18"/>
  <c r="I27" i="18"/>
  <c r="J27" i="18" s="1"/>
  <c r="I86" i="18"/>
  <c r="I62" i="18"/>
  <c r="J54" i="18"/>
  <c r="J8" i="18"/>
  <c r="I49" i="18"/>
  <c r="J41" i="18"/>
  <c r="J50" i="18"/>
  <c r="I42" i="18"/>
  <c r="J34" i="18"/>
  <c r="I26" i="18"/>
  <c r="J11" i="18"/>
  <c r="I71" i="18"/>
  <c r="I63" i="18"/>
  <c r="J55" i="18"/>
  <c r="J84" i="18"/>
  <c r="J76" i="18"/>
  <c r="J60" i="18"/>
  <c r="I52" i="18"/>
  <c r="J44" i="18"/>
  <c r="I36" i="18"/>
  <c r="J73" i="18"/>
  <c r="J57" i="18"/>
  <c r="I9" i="18"/>
  <c r="I51" i="18"/>
  <c r="I43" i="18"/>
  <c r="J35" i="18"/>
  <c r="J62" i="18"/>
  <c r="G29" i="20"/>
  <c r="I57" i="18"/>
  <c r="I44" i="18"/>
  <c r="I68" i="18"/>
  <c r="I28" i="18"/>
  <c r="I81" i="18"/>
  <c r="I89" i="18"/>
  <c r="J89" i="18" s="1"/>
  <c r="I23" i="18"/>
  <c r="I82" i="18"/>
  <c r="I66" i="18"/>
  <c r="I67" i="18"/>
  <c r="I88" i="18"/>
  <c r="J88" i="18" s="1"/>
  <c r="I80" i="18"/>
  <c r="I24" i="18"/>
  <c r="I77" i="18"/>
  <c r="I69" i="18"/>
  <c r="I78" i="18"/>
  <c r="I70" i="18"/>
  <c r="I29" i="18"/>
  <c r="I87" i="18"/>
  <c r="I79" i="18"/>
  <c r="I46" i="18"/>
  <c r="I45" i="18"/>
  <c r="J30" i="18"/>
  <c r="J59" i="18"/>
  <c r="J53" i="18"/>
  <c r="J51" i="18"/>
  <c r="J9" i="18"/>
  <c r="I65" i="18"/>
  <c r="I38" i="18"/>
  <c r="I37" i="18"/>
  <c r="I7" i="18"/>
  <c r="I17" i="18"/>
  <c r="I15" i="18"/>
  <c r="I83" i="18"/>
  <c r="J42" i="18"/>
  <c r="I41" i="18"/>
  <c r="I18" i="18"/>
  <c r="I34" i="18"/>
  <c r="J49" i="18"/>
  <c r="I11" i="18"/>
  <c r="I12" i="18"/>
  <c r="J74" i="18"/>
  <c r="I25" i="18"/>
  <c r="I75" i="18"/>
  <c r="J48" i="18"/>
  <c r="J40" i="18"/>
  <c r="I8" i="18"/>
  <c r="I50" i="18"/>
  <c r="J39" i="18"/>
  <c r="I31" i="18"/>
  <c r="I73" i="18"/>
  <c r="I60" i="18"/>
  <c r="J71" i="18"/>
  <c r="I55" i="18"/>
  <c r="J63" i="18"/>
  <c r="J47" i="18"/>
  <c r="I19" i="18"/>
  <c r="I13" i="18"/>
  <c r="I21" i="18"/>
  <c r="I54" i="18"/>
  <c r="I58" i="18"/>
  <c r="J36" i="18"/>
  <c r="I20" i="18"/>
  <c r="J43" i="18"/>
  <c r="I14" i="18"/>
  <c r="I10" i="18"/>
  <c r="J64" i="18"/>
  <c r="I35" i="18"/>
  <c r="I84" i="18"/>
  <c r="I76" i="18"/>
  <c r="J52" i="18"/>
  <c r="I16" i="18"/>
  <c r="I85" i="18"/>
  <c r="I72" i="18"/>
  <c r="G20" i="20"/>
  <c r="G21" i="20"/>
  <c r="G27" i="20"/>
  <c r="G26" i="20"/>
  <c r="J61" i="18"/>
  <c r="G15" i="20"/>
  <c r="G14" i="20"/>
  <c r="G18" i="20"/>
  <c r="G17" i="20"/>
  <c r="J56" i="18"/>
  <c r="N78" i="18"/>
  <c r="N89" i="18"/>
  <c r="V35" i="18"/>
  <c r="V31" i="18"/>
  <c r="U87" i="18"/>
  <c r="V87" i="18" s="1"/>
  <c r="M67" i="26"/>
  <c r="M65" i="26"/>
  <c r="M64" i="26"/>
  <c r="M63" i="26"/>
  <c r="M62" i="26"/>
  <c r="M60" i="26"/>
  <c r="M59" i="26"/>
  <c r="M58" i="26"/>
  <c r="M57" i="26"/>
  <c r="M56" i="26"/>
  <c r="M55" i="26"/>
  <c r="M54" i="26"/>
  <c r="M53" i="26"/>
  <c r="M52" i="26"/>
  <c r="M43" i="26"/>
  <c r="M42" i="26"/>
  <c r="M40" i="26"/>
  <c r="M34" i="26"/>
  <c r="M33" i="26"/>
  <c r="M32" i="26"/>
  <c r="M31" i="26"/>
  <c r="M26" i="26"/>
  <c r="M24" i="26"/>
  <c r="M23" i="26"/>
  <c r="BM89" i="18"/>
  <c r="BL89" i="18"/>
  <c r="BK89" i="18"/>
  <c r="BH89" i="18"/>
  <c r="BG89" i="18"/>
  <c r="BF89" i="18"/>
  <c r="BM88" i="18"/>
  <c r="BL88" i="18"/>
  <c r="BK88" i="18"/>
  <c r="BH88" i="18"/>
  <c r="BG88" i="18"/>
  <c r="BF88" i="18"/>
  <c r="BM87" i="18"/>
  <c r="BL87" i="18"/>
  <c r="BK87" i="18"/>
  <c r="BH87" i="18"/>
  <c r="BG87" i="18"/>
  <c r="BF87" i="18"/>
  <c r="BM86" i="18"/>
  <c r="BL86" i="18"/>
  <c r="BK86" i="18"/>
  <c r="BI86" i="18"/>
  <c r="BH86" i="18"/>
  <c r="BG86" i="18"/>
  <c r="BF86" i="18"/>
  <c r="BN85" i="18"/>
  <c r="BM85" i="18"/>
  <c r="BL85" i="18"/>
  <c r="BK85" i="18"/>
  <c r="BI85" i="18"/>
  <c r="BH85" i="18"/>
  <c r="BG85" i="18"/>
  <c r="BF85" i="18"/>
  <c r="BM84" i="18"/>
  <c r="M17" i="26" s="1"/>
  <c r="BL84" i="18"/>
  <c r="BK84" i="18"/>
  <c r="BH84" i="18"/>
  <c r="BG84" i="18"/>
  <c r="BF84" i="18"/>
  <c r="BN83" i="18"/>
  <c r="BM83" i="18"/>
  <c r="BL83" i="18"/>
  <c r="BK83" i="18"/>
  <c r="BI83" i="18"/>
  <c r="BH83" i="18"/>
  <c r="BG83" i="18"/>
  <c r="BF83" i="18"/>
  <c r="BN82" i="18"/>
  <c r="BM82" i="18"/>
  <c r="BL82" i="18"/>
  <c r="BK82" i="18"/>
  <c r="BI82" i="18"/>
  <c r="BH82" i="18"/>
  <c r="BG82" i="18"/>
  <c r="BF82" i="18"/>
  <c r="BN81" i="18"/>
  <c r="BM81" i="18"/>
  <c r="BL81" i="18"/>
  <c r="BK81" i="18"/>
  <c r="BI81" i="18"/>
  <c r="BH81" i="18"/>
  <c r="BG81" i="18"/>
  <c r="BF81" i="18"/>
  <c r="BN80" i="18"/>
  <c r="BM80" i="18"/>
  <c r="BL80" i="18"/>
  <c r="BK80" i="18"/>
  <c r="BI80" i="18"/>
  <c r="BH80" i="18"/>
  <c r="BG80" i="18"/>
  <c r="BF80" i="18"/>
  <c r="BN79" i="18"/>
  <c r="BM79" i="18"/>
  <c r="BL79" i="18"/>
  <c r="BK79" i="18"/>
  <c r="BI79" i="18"/>
  <c r="BH79" i="18"/>
  <c r="BG79" i="18"/>
  <c r="BF79" i="18"/>
  <c r="BN78" i="18"/>
  <c r="BM78" i="18"/>
  <c r="M15" i="26" s="1"/>
  <c r="BL78" i="18"/>
  <c r="BK78" i="18"/>
  <c r="BI78" i="18"/>
  <c r="BH78" i="18"/>
  <c r="BG78" i="18"/>
  <c r="BF78" i="18"/>
  <c r="BN77" i="18"/>
  <c r="BM77" i="18"/>
  <c r="BL77" i="18"/>
  <c r="BK77" i="18"/>
  <c r="BI77" i="18"/>
  <c r="BH77" i="18"/>
  <c r="BG77" i="18"/>
  <c r="BF77" i="18"/>
  <c r="BN76" i="18"/>
  <c r="BM76" i="18"/>
  <c r="BL76" i="18"/>
  <c r="BK76" i="18"/>
  <c r="BI76" i="18"/>
  <c r="BH76" i="18"/>
  <c r="BG76" i="18"/>
  <c r="BF76" i="18"/>
  <c r="BM75" i="18"/>
  <c r="BL75" i="18"/>
  <c r="BK75" i="18"/>
  <c r="BI75" i="18"/>
  <c r="BH75" i="18"/>
  <c r="BG75" i="18"/>
  <c r="BF75" i="18"/>
  <c r="BM74" i="18"/>
  <c r="BL74" i="18"/>
  <c r="BK74" i="18"/>
  <c r="BH74" i="18"/>
  <c r="BG74" i="18"/>
  <c r="BF74" i="18"/>
  <c r="BL73" i="18"/>
  <c r="BK73" i="18"/>
  <c r="BH73" i="18"/>
  <c r="BG73" i="18"/>
  <c r="BF73" i="18"/>
  <c r="BM72" i="18"/>
  <c r="BL72" i="18"/>
  <c r="BK72" i="18"/>
  <c r="BH72" i="18"/>
  <c r="BG72" i="18"/>
  <c r="BF72" i="18"/>
  <c r="BM71" i="18"/>
  <c r="BL71" i="18"/>
  <c r="BH71" i="18"/>
  <c r="BG71" i="18"/>
  <c r="BM70" i="18"/>
  <c r="BL70" i="18"/>
  <c r="BK70" i="18"/>
  <c r="BH70" i="18"/>
  <c r="BG70" i="18"/>
  <c r="BF70" i="18"/>
  <c r="BM69" i="18"/>
  <c r="BL69" i="18"/>
  <c r="BK69" i="18"/>
  <c r="BH69" i="18"/>
  <c r="BG69" i="18"/>
  <c r="BF69" i="18"/>
  <c r="BM68" i="18"/>
  <c r="BL68" i="18"/>
  <c r="BK68" i="18"/>
  <c r="BH68" i="18"/>
  <c r="BG68" i="18"/>
  <c r="BF68" i="18"/>
  <c r="BM67" i="18"/>
  <c r="BL67" i="18"/>
  <c r="BK67" i="18"/>
  <c r="BI67" i="18"/>
  <c r="BH67" i="18"/>
  <c r="BG67" i="18"/>
  <c r="BF67" i="18"/>
  <c r="BM66" i="18"/>
  <c r="BL66" i="18"/>
  <c r="BK66" i="18"/>
  <c r="BH66" i="18"/>
  <c r="BG66" i="18"/>
  <c r="BF66" i="18"/>
  <c r="BM65" i="18"/>
  <c r="BL65" i="18"/>
  <c r="BK65" i="18"/>
  <c r="BH65" i="18"/>
  <c r="BG65" i="18"/>
  <c r="BF65" i="18"/>
  <c r="BN64" i="18"/>
  <c r="BM64" i="18"/>
  <c r="BL64" i="18"/>
  <c r="BK64" i="18"/>
  <c r="BI64" i="18"/>
  <c r="BH64" i="18"/>
  <c r="BG64" i="18"/>
  <c r="BF64" i="18"/>
  <c r="BN63" i="18"/>
  <c r="BM63" i="18"/>
  <c r="BL63" i="18"/>
  <c r="BK63" i="18"/>
  <c r="BI63" i="18"/>
  <c r="BH63" i="18"/>
  <c r="BG63" i="18"/>
  <c r="BF63" i="18"/>
  <c r="BM62" i="18"/>
  <c r="BL62" i="18"/>
  <c r="BI62" i="18"/>
  <c r="BH62" i="18"/>
  <c r="BG62" i="18"/>
  <c r="BM61" i="18"/>
  <c r="BL61" i="18"/>
  <c r="BK61" i="18"/>
  <c r="BI61" i="18"/>
  <c r="BH61" i="18"/>
  <c r="BG61" i="18"/>
  <c r="BF61" i="18"/>
  <c r="BM60" i="18"/>
  <c r="BL60" i="18"/>
  <c r="BK60" i="18"/>
  <c r="BH60" i="18"/>
  <c r="BG60" i="18"/>
  <c r="BF60" i="18"/>
  <c r="BM59" i="18"/>
  <c r="BL59" i="18"/>
  <c r="BK59" i="18"/>
  <c r="BH59" i="18"/>
  <c r="BG59" i="18"/>
  <c r="BF59" i="18"/>
  <c r="BM58" i="18"/>
  <c r="BL58" i="18"/>
  <c r="BH58" i="18"/>
  <c r="BG58" i="18"/>
  <c r="BM57" i="18"/>
  <c r="BL57" i="18"/>
  <c r="BH57" i="18"/>
  <c r="BG57" i="18"/>
  <c r="BM56" i="18"/>
  <c r="BL56" i="18"/>
  <c r="BH56" i="18"/>
  <c r="BG56" i="18"/>
  <c r="BM55" i="18"/>
  <c r="BL55" i="18"/>
  <c r="BH55" i="18"/>
  <c r="BG55" i="18"/>
  <c r="BN54" i="18"/>
  <c r="BL54" i="18"/>
  <c r="BK54" i="18"/>
  <c r="BI54" i="18"/>
  <c r="BH54" i="18"/>
  <c r="BG54" i="18"/>
  <c r="BF54" i="18"/>
  <c r="BN53" i="18"/>
  <c r="BL53" i="18"/>
  <c r="BK53" i="18"/>
  <c r="BI53" i="18"/>
  <c r="BH53" i="18"/>
  <c r="BG53" i="18"/>
  <c r="BF53" i="18"/>
  <c r="BN52" i="18"/>
  <c r="BM52" i="18"/>
  <c r="BL52" i="18"/>
  <c r="BK52" i="18"/>
  <c r="BI52" i="18"/>
  <c r="BH52" i="18"/>
  <c r="BG52" i="18"/>
  <c r="BF52" i="18"/>
  <c r="BM51" i="18"/>
  <c r="BL51" i="18"/>
  <c r="BH51" i="18"/>
  <c r="BG51" i="18"/>
  <c r="BL50" i="18"/>
  <c r="BH50" i="18"/>
  <c r="BG50" i="18"/>
  <c r="BL49" i="18"/>
  <c r="BK49" i="18"/>
  <c r="BH49" i="18"/>
  <c r="BG49" i="18"/>
  <c r="BF49" i="18"/>
  <c r="BM48" i="18"/>
  <c r="BL48" i="18"/>
  <c r="BK48" i="18"/>
  <c r="BH48" i="18"/>
  <c r="BG48" i="18"/>
  <c r="BF48" i="18"/>
  <c r="BM47" i="18"/>
  <c r="BL47" i="18"/>
  <c r="BH47" i="18"/>
  <c r="BG47" i="18"/>
  <c r="BM46" i="18"/>
  <c r="BL46" i="18"/>
  <c r="BH46" i="18"/>
  <c r="BG46" i="18"/>
  <c r="BM45" i="18"/>
  <c r="BL45" i="18"/>
  <c r="BH45" i="18"/>
  <c r="BG45" i="18"/>
  <c r="BM44" i="18"/>
  <c r="BL44" i="18"/>
  <c r="BH44" i="18"/>
  <c r="BG44" i="18"/>
  <c r="BL43" i="18"/>
  <c r="BH43" i="18"/>
  <c r="BG43" i="18"/>
  <c r="BM42" i="18"/>
  <c r="BL42" i="18"/>
  <c r="BH42" i="18"/>
  <c r="BG42" i="18"/>
  <c r="BM41" i="18"/>
  <c r="BL41" i="18"/>
  <c r="BH41" i="18"/>
  <c r="BG41" i="18"/>
  <c r="BM40" i="18"/>
  <c r="BL40" i="18"/>
  <c r="BH40" i="18"/>
  <c r="BG40" i="18"/>
  <c r="BM39" i="18"/>
  <c r="BL39" i="18"/>
  <c r="BI39" i="18"/>
  <c r="BH39" i="18"/>
  <c r="BG39" i="18"/>
  <c r="BL38" i="18"/>
  <c r="BH38" i="18"/>
  <c r="BG38" i="18"/>
  <c r="BL37" i="18"/>
  <c r="BH37" i="18"/>
  <c r="BG37" i="18"/>
  <c r="BM36" i="18"/>
  <c r="BL36" i="18"/>
  <c r="BH36" i="18"/>
  <c r="BG36" i="18"/>
  <c r="BM35" i="18"/>
  <c r="BL35" i="18"/>
  <c r="BH35" i="18"/>
  <c r="BG35" i="18"/>
  <c r="BM34" i="18"/>
  <c r="M11" i="26" s="1"/>
  <c r="BL34" i="18"/>
  <c r="BH34" i="18"/>
  <c r="BG34" i="18"/>
  <c r="BM33" i="18"/>
  <c r="BL33" i="18"/>
  <c r="BI33" i="18"/>
  <c r="BH33" i="18"/>
  <c r="BG33" i="18"/>
  <c r="BM32" i="18"/>
  <c r="BL32" i="18"/>
  <c r="BH32" i="18"/>
  <c r="BG32" i="18"/>
  <c r="BM31" i="18"/>
  <c r="M10" i="26" s="1"/>
  <c r="BL31" i="18"/>
  <c r="BH31" i="18"/>
  <c r="BG31" i="18"/>
  <c r="M9" i="26"/>
  <c r="BL30" i="18"/>
  <c r="BH30" i="18"/>
  <c r="BG30" i="18"/>
  <c r="BM29" i="18"/>
  <c r="BL29" i="18"/>
  <c r="BH29" i="18"/>
  <c r="BG29" i="18"/>
  <c r="BM28" i="18"/>
  <c r="BL28" i="18"/>
  <c r="BH28" i="18"/>
  <c r="BG28" i="18"/>
  <c r="BM27" i="18"/>
  <c r="BL27" i="18"/>
  <c r="BH27" i="18"/>
  <c r="BG27" i="18"/>
  <c r="BM26" i="18"/>
  <c r="BL26" i="18"/>
  <c r="BH26" i="18"/>
  <c r="BG26" i="18"/>
  <c r="BM25" i="18"/>
  <c r="BL25" i="18"/>
  <c r="BH25" i="18"/>
  <c r="BG25" i="18"/>
  <c r="BM24" i="18"/>
  <c r="BL24" i="18"/>
  <c r="BH24" i="18"/>
  <c r="BG24" i="18"/>
  <c r="BM23" i="18"/>
  <c r="BL23" i="18"/>
  <c r="BH23" i="18"/>
  <c r="BG23" i="18"/>
  <c r="BM22" i="18"/>
  <c r="BL22" i="18"/>
  <c r="BH22" i="18"/>
  <c r="BG22" i="18"/>
  <c r="BM21" i="18"/>
  <c r="BL21" i="18"/>
  <c r="BK21" i="18"/>
  <c r="BH21" i="18"/>
  <c r="BG21" i="18"/>
  <c r="BF21" i="18"/>
  <c r="BM20" i="18"/>
  <c r="BL20" i="18"/>
  <c r="BK20" i="18"/>
  <c r="BH20" i="18"/>
  <c r="BG20" i="18"/>
  <c r="BF20" i="18"/>
  <c r="BM19" i="18"/>
  <c r="BL19" i="18"/>
  <c r="BH19" i="18"/>
  <c r="BG19" i="18"/>
  <c r="BM18" i="18"/>
  <c r="BL18" i="18"/>
  <c r="BH18" i="18"/>
  <c r="BG18" i="18"/>
  <c r="BM17" i="18"/>
  <c r="BL17" i="18"/>
  <c r="BH17" i="18"/>
  <c r="BG17" i="18"/>
  <c r="BM16" i="18"/>
  <c r="BL16" i="18"/>
  <c r="BH16" i="18"/>
  <c r="BG16" i="18"/>
  <c r="BM15" i="18"/>
  <c r="BL15" i="18"/>
  <c r="BH15" i="18"/>
  <c r="BG15" i="18"/>
  <c r="BM14" i="18"/>
  <c r="BL14" i="18"/>
  <c r="BH14" i="18"/>
  <c r="BG14" i="18"/>
  <c r="BM13" i="18"/>
  <c r="BL13" i="18"/>
  <c r="BH13" i="18"/>
  <c r="BG13" i="18"/>
  <c r="BM12" i="18"/>
  <c r="BL12" i="18"/>
  <c r="BH12" i="18"/>
  <c r="BG12" i="18"/>
  <c r="BM11" i="18"/>
  <c r="M8" i="26" s="1"/>
  <c r="BL11" i="18"/>
  <c r="BH11" i="18"/>
  <c r="BG11" i="18"/>
  <c r="BN10" i="18"/>
  <c r="BM10" i="18"/>
  <c r="M7" i="26" s="1"/>
  <c r="BL10" i="18"/>
  <c r="BK10" i="18"/>
  <c r="BI10" i="18"/>
  <c r="BH10" i="18"/>
  <c r="BG10" i="18"/>
  <c r="BF10" i="18"/>
  <c r="BM9" i="18"/>
  <c r="BL9" i="18"/>
  <c r="BH9" i="18"/>
  <c r="BG9" i="18"/>
  <c r="BN8" i="18"/>
  <c r="BM8" i="18"/>
  <c r="M6" i="26" s="1"/>
  <c r="BL8" i="18"/>
  <c r="BK8" i="18"/>
  <c r="BI8" i="18"/>
  <c r="BH8" i="18"/>
  <c r="BG8" i="18"/>
  <c r="BF8" i="18"/>
  <c r="BN7" i="18"/>
  <c r="BL7" i="18"/>
  <c r="BK7" i="18"/>
  <c r="BH7" i="18"/>
  <c r="BG7" i="18"/>
  <c r="BF7" i="18"/>
  <c r="F31" i="27"/>
  <c r="G10" i="27"/>
  <c r="D10" i="27"/>
  <c r="B10" i="27"/>
  <c r="D7" i="27"/>
  <c r="B7" i="27"/>
  <c r="E22" i="25"/>
  <c r="F37" i="24"/>
  <c r="F27" i="24"/>
  <c r="K1" i="24"/>
  <c r="J2" i="23" s="1"/>
  <c r="D40" i="23"/>
  <c r="A2" i="22"/>
  <c r="F5" i="21"/>
  <c r="N1" i="20"/>
  <c r="H3" i="19"/>
  <c r="B3" i="19"/>
  <c r="T3" i="18"/>
  <c r="P3" i="18"/>
  <c r="L3" i="18"/>
  <c r="H3" i="18"/>
  <c r="O2" i="18"/>
  <c r="B25" i="19" s="1"/>
  <c r="K2" i="18"/>
  <c r="B15" i="19" s="1"/>
  <c r="G2" i="18"/>
  <c r="B5" i="19" s="1"/>
  <c r="A1" i="18"/>
  <c r="P4" i="26"/>
  <c r="C46" i="25"/>
  <c r="C27" i="25"/>
  <c r="K2" i="24"/>
  <c r="J19" i="18" l="1"/>
  <c r="J17" i="18"/>
  <c r="J29" i="18"/>
  <c r="J77" i="18"/>
  <c r="J82" i="18"/>
  <c r="J28" i="18"/>
  <c r="J32" i="18"/>
  <c r="J70" i="18"/>
  <c r="J69" i="18"/>
  <c r="J24" i="18"/>
  <c r="J23" i="18"/>
  <c r="J68" i="18"/>
  <c r="J33" i="18"/>
  <c r="J85" i="18"/>
  <c r="J14" i="18"/>
  <c r="J79" i="18"/>
  <c r="J78" i="18"/>
  <c r="J80" i="18"/>
  <c r="J86" i="18"/>
  <c r="J16" i="18"/>
  <c r="J13" i="18"/>
  <c r="J18" i="18"/>
  <c r="J15" i="18"/>
  <c r="J87" i="18"/>
  <c r="J67" i="18"/>
  <c r="J66" i="18"/>
  <c r="J81" i="18"/>
  <c r="J26" i="18"/>
  <c r="J22" i="18"/>
  <c r="BP1" i="18"/>
  <c r="BP2" i="18"/>
  <c r="J65" i="18"/>
  <c r="J21" i="18"/>
  <c r="J20" i="18"/>
  <c r="J25" i="18"/>
  <c r="J12" i="18"/>
  <c r="F27" i="26"/>
  <c r="F28" i="26"/>
  <c r="F29" i="26"/>
  <c r="F30" i="26"/>
  <c r="F31" i="26"/>
  <c r="F32" i="26"/>
  <c r="F33" i="26"/>
  <c r="F54" i="26"/>
  <c r="F55" i="26"/>
  <c r="F56" i="26"/>
  <c r="F57" i="26"/>
  <c r="F58" i="26"/>
  <c r="F59" i="26"/>
  <c r="F60" i="26"/>
  <c r="F61" i="26"/>
  <c r="F62" i="26"/>
  <c r="F63" i="26"/>
  <c r="F64" i="26"/>
  <c r="F65" i="26"/>
  <c r="F66" i="26"/>
  <c r="F67" i="26"/>
  <c r="M35" i="26"/>
  <c r="N35" i="26" s="1"/>
  <c r="M38" i="26"/>
  <c r="N38" i="26" s="1"/>
  <c r="M48" i="26"/>
  <c r="M66" i="26"/>
  <c r="N66" i="26" s="1"/>
  <c r="M12" i="26"/>
  <c r="N12" i="26" s="1"/>
  <c r="M13" i="26"/>
  <c r="M16" i="26"/>
  <c r="M18" i="26"/>
  <c r="M22" i="26"/>
  <c r="N11" i="26"/>
  <c r="N20" i="26"/>
  <c r="N21" i="26"/>
  <c r="N53" i="26"/>
  <c r="N28" i="26"/>
  <c r="N55" i="26"/>
  <c r="N71" i="26"/>
  <c r="N57" i="26"/>
  <c r="M36" i="26"/>
  <c r="N36" i="26" s="1"/>
  <c r="M37" i="26"/>
  <c r="N37" i="26" s="1"/>
  <c r="M39" i="26"/>
  <c r="N39" i="26" s="1"/>
  <c r="M41" i="26"/>
  <c r="N8" i="26"/>
  <c r="N26" i="26"/>
  <c r="N52" i="26"/>
  <c r="N29" i="26"/>
  <c r="N67" i="26"/>
  <c r="N46" i="26"/>
  <c r="N62" i="26"/>
  <c r="N64" i="26"/>
  <c r="M61" i="26"/>
  <c r="N61" i="26" s="1"/>
  <c r="N60" i="26"/>
  <c r="N58" i="26"/>
  <c r="N63" i="26"/>
  <c r="N65" i="26"/>
  <c r="M44" i="26"/>
  <c r="M45" i="26"/>
  <c r="N45" i="26" s="1"/>
  <c r="M47" i="26"/>
  <c r="N47" i="26" s="1"/>
  <c r="M30" i="26"/>
  <c r="M69" i="26"/>
  <c r="N69" i="26" s="1"/>
  <c r="M70" i="26"/>
  <c r="N70" i="26" s="1"/>
  <c r="N7" i="26"/>
  <c r="N23" i="26"/>
  <c r="N17" i="26"/>
  <c r="N68" i="26"/>
  <c r="N27" i="26"/>
  <c r="N59" i="26"/>
  <c r="N54" i="26"/>
  <c r="N56" i="26"/>
  <c r="F68" i="26"/>
  <c r="F69" i="26"/>
  <c r="F70" i="26"/>
  <c r="F71" i="26"/>
  <c r="F35" i="26"/>
  <c r="F36" i="26"/>
  <c r="F37" i="26"/>
  <c r="F38" i="26"/>
  <c r="F39" i="26"/>
  <c r="F40" i="26"/>
  <c r="F41" i="26"/>
  <c r="F42" i="26"/>
  <c r="F43" i="26"/>
  <c r="F45" i="26"/>
  <c r="F46" i="26"/>
  <c r="F47" i="26"/>
  <c r="F48" i="26"/>
  <c r="F49" i="26"/>
  <c r="F50" i="26"/>
  <c r="F51" i="26"/>
  <c r="F52" i="26"/>
  <c r="F53" i="26"/>
  <c r="F6" i="26"/>
  <c r="F7" i="26"/>
  <c r="F8" i="26"/>
  <c r="F9" i="26"/>
  <c r="F10" i="26"/>
  <c r="F11" i="26"/>
  <c r="F12" i="26"/>
  <c r="F13" i="26"/>
  <c r="F14" i="26"/>
  <c r="F15" i="26"/>
  <c r="F16" i="26"/>
  <c r="F17" i="26"/>
  <c r="F18" i="26"/>
  <c r="F19" i="26"/>
  <c r="F20" i="26"/>
  <c r="F21" i="26"/>
  <c r="F23" i="26"/>
  <c r="F24" i="26"/>
  <c r="F25" i="26"/>
  <c r="F26" i="26"/>
  <c r="H47" i="19"/>
  <c r="H57" i="19"/>
  <c r="H107" i="19"/>
  <c r="H87" i="19"/>
  <c r="H67" i="19"/>
  <c r="H97" i="19"/>
  <c r="B26" i="19"/>
  <c r="H27" i="19" s="1"/>
  <c r="B10" i="20"/>
  <c r="B16" i="19"/>
  <c r="H17" i="19" s="1"/>
  <c r="B7" i="20"/>
  <c r="H17" i="20"/>
  <c r="H20" i="20"/>
  <c r="B36" i="19"/>
  <c r="H37" i="19" s="1"/>
  <c r="B13" i="20"/>
  <c r="H14" i="20"/>
  <c r="B4" i="20"/>
  <c r="B6" i="19"/>
  <c r="H7" i="19" s="1"/>
  <c r="N25" i="17"/>
  <c r="M25" i="17"/>
  <c r="L25" i="17"/>
  <c r="K25" i="17"/>
  <c r="J25" i="17"/>
  <c r="A1" i="16"/>
  <c r="L4" i="22" l="1"/>
  <c r="L3" i="22"/>
  <c r="I4" i="22"/>
  <c r="I3" i="22"/>
  <c r="M3" i="22"/>
  <c r="M4" i="22"/>
  <c r="J4" i="22"/>
  <c r="J3" i="22"/>
  <c r="K4" i="22"/>
  <c r="K3" i="22"/>
  <c r="H32" i="20"/>
  <c r="G33" i="20"/>
  <c r="H26" i="20"/>
  <c r="G12" i="20"/>
  <c r="G11" i="20"/>
  <c r="H11" i="20" s="1"/>
  <c r="G30" i="20"/>
  <c r="H29" i="20"/>
  <c r="G6" i="20"/>
  <c r="G5" i="20"/>
  <c r="H5" i="20" s="1"/>
  <c r="G3" i="20"/>
  <c r="G2" i="20"/>
  <c r="H2" i="20" s="1"/>
  <c r="G9" i="20"/>
  <c r="G8" i="20"/>
  <c r="H8" i="20" s="1"/>
  <c r="BJ7" i="18"/>
  <c r="BD35" i="18" l="1"/>
  <c r="BD10" i="18"/>
  <c r="BI7" i="18"/>
  <c r="H33" i="20"/>
  <c r="C32" i="20"/>
  <c r="I25" i="17"/>
  <c r="H25" i="17"/>
  <c r="G25" i="17"/>
  <c r="F25" i="17"/>
  <c r="E25" i="17"/>
  <c r="J6" i="22" s="1"/>
  <c r="D25" i="17"/>
  <c r="J5" i="22" s="1"/>
  <c r="I6" i="22" l="1"/>
  <c r="I5" i="22"/>
  <c r="AY35" i="18"/>
  <c r="BE35" i="18"/>
  <c r="AY10" i="18"/>
  <c r="BE10" i="18"/>
  <c r="BF91" i="18"/>
  <c r="J20" i="22"/>
  <c r="L20" i="22"/>
  <c r="M6" i="22"/>
  <c r="L17" i="22"/>
  <c r="M5" i="22"/>
  <c r="L5" i="22"/>
  <c r="M20" i="22"/>
  <c r="I20" i="22"/>
  <c r="L6" i="22"/>
  <c r="M17" i="22"/>
  <c r="I17" i="22"/>
  <c r="H18" i="20"/>
  <c r="C17" i="20"/>
  <c r="H15" i="20"/>
  <c r="C14" i="20"/>
  <c r="H21" i="20"/>
  <c r="C20" i="20"/>
  <c r="H27" i="20"/>
  <c r="C26" i="20"/>
  <c r="C3" i="22"/>
  <c r="C4" i="22"/>
  <c r="G3" i="22"/>
  <c r="G4" i="22"/>
  <c r="D3" i="22"/>
  <c r="D4" i="22"/>
  <c r="H3" i="22"/>
  <c r="H4" i="22"/>
  <c r="E4" i="22"/>
  <c r="E3" i="22"/>
  <c r="F4" i="22"/>
  <c r="F3" i="22"/>
  <c r="H6" i="20"/>
  <c r="C5" i="20"/>
  <c r="C33" i="20"/>
  <c r="C34" i="20"/>
  <c r="H9" i="20"/>
  <c r="C8" i="20"/>
  <c r="H3" i="20"/>
  <c r="C2" i="20"/>
  <c r="H30" i="20"/>
  <c r="C29" i="20"/>
  <c r="H12" i="20"/>
  <c r="C11" i="20"/>
  <c r="BO90" i="16"/>
  <c r="BO91" i="16" s="1"/>
  <c r="D6" i="22" l="1"/>
  <c r="D5" i="22"/>
  <c r="F6" i="22"/>
  <c r="F5" i="22"/>
  <c r="E5" i="22"/>
  <c r="E6" i="22"/>
  <c r="H6" i="22"/>
  <c r="H5" i="22"/>
  <c r="G6" i="22"/>
  <c r="G5" i="22"/>
  <c r="BB10" i="18"/>
  <c r="BC10" i="18"/>
  <c r="BB35" i="18"/>
  <c r="BC35" i="18"/>
  <c r="D20" i="22"/>
  <c r="E17" i="22"/>
  <c r="G20" i="22"/>
  <c r="F20" i="22"/>
  <c r="F17" i="22"/>
  <c r="C5" i="22"/>
  <c r="C6" i="22"/>
  <c r="C17" i="22"/>
  <c r="C20" i="22"/>
  <c r="H20" i="22"/>
  <c r="H17" i="22"/>
  <c r="C19" i="20"/>
  <c r="C18" i="20"/>
  <c r="C16" i="20"/>
  <c r="C15" i="20"/>
  <c r="C22" i="20"/>
  <c r="C21" i="20"/>
  <c r="C28" i="20"/>
  <c r="C27" i="20"/>
  <c r="C4" i="20"/>
  <c r="C3" i="20"/>
  <c r="C7" i="20"/>
  <c r="C6" i="20"/>
  <c r="C31" i="20"/>
  <c r="C30" i="20"/>
  <c r="C10" i="20"/>
  <c r="C9" i="20"/>
  <c r="C13" i="20"/>
  <c r="C12" i="20"/>
  <c r="BO92" i="16"/>
  <c r="BO97" i="16"/>
  <c r="BN90" i="16" l="1"/>
  <c r="BN91" i="16" s="1"/>
  <c r="BO93" i="16"/>
  <c r="BO94" i="16" l="1"/>
  <c r="BP90" i="16"/>
  <c r="BO95" i="16" l="1"/>
  <c r="BO96" i="16" s="1"/>
  <c r="BO98" i="16" s="1"/>
  <c r="BO99" i="16" s="1"/>
  <c r="BN92" i="16"/>
  <c r="BN97" i="16"/>
  <c r="BN93" i="16" l="1"/>
  <c r="BN94" i="16" l="1"/>
  <c r="BN95" i="16" s="1"/>
  <c r="BN96" i="16" l="1"/>
  <c r="BN98" i="16" s="1"/>
  <c r="BN99" i="16" s="1"/>
  <c r="D17" i="23" l="1"/>
  <c r="D41" i="23" l="1"/>
  <c r="D33" i="23"/>
  <c r="D25" i="23"/>
  <c r="D4" i="23"/>
  <c r="D9" i="23"/>
  <c r="D42" i="23"/>
  <c r="BR35" i="18" l="1"/>
  <c r="BR10" i="18"/>
  <c r="BP10" i="18"/>
  <c r="BW35" i="18"/>
  <c r="BX35" i="18" s="1"/>
  <c r="BW10" i="18"/>
  <c r="BX10" i="18" s="1"/>
  <c r="BS10" i="18" l="1"/>
  <c r="BQ10" i="18" s="1"/>
  <c r="I69" i="26"/>
  <c r="BY10" i="18"/>
  <c r="BY35" i="18"/>
  <c r="L55" i="26"/>
  <c r="BT10" i="18" l="1"/>
  <c r="J24" i="26"/>
  <c r="J42" i="26"/>
  <c r="N42" i="26" s="1"/>
  <c r="J43" i="26"/>
  <c r="N43" i="26" s="1"/>
  <c r="J41" i="26"/>
  <c r="J31" i="26"/>
  <c r="N31" i="26" s="1"/>
  <c r="G55" i="26"/>
  <c r="J6" i="26" l="1"/>
  <c r="N6" i="26" s="1"/>
  <c r="J9" i="26"/>
  <c r="J10" i="26"/>
  <c r="N10" i="26" s="1"/>
  <c r="BP35" i="18" l="1"/>
  <c r="L53" i="26" l="1"/>
  <c r="J30" i="26" l="1"/>
  <c r="N30" i="26" s="1"/>
  <c r="J40" i="26"/>
  <c r="N40" i="26" s="1"/>
  <c r="J25" i="26"/>
  <c r="N25" i="26" s="1"/>
  <c r="J34" i="26"/>
  <c r="J49" i="26"/>
  <c r="N49" i="26" s="1"/>
  <c r="J15" i="26"/>
  <c r="J32" i="26"/>
  <c r="J13" i="26"/>
  <c r="G52" i="26"/>
  <c r="G53" i="26"/>
  <c r="G57" i="26"/>
  <c r="G66" i="26"/>
  <c r="G65" i="26"/>
  <c r="I70" i="26" l="1"/>
  <c r="I68" i="26"/>
  <c r="G64" i="26" l="1"/>
  <c r="G68" i="26"/>
  <c r="G60" i="26"/>
  <c r="G67" i="26"/>
  <c r="G70" i="26"/>
  <c r="L64" i="26" l="1"/>
  <c r="L67" i="26"/>
  <c r="L70" i="26"/>
  <c r="L68" i="26"/>
  <c r="L60" i="26"/>
  <c r="J72" i="26"/>
  <c r="I67" i="26" l="1"/>
  <c r="F29" i="24" l="1"/>
  <c r="F44" i="24"/>
  <c r="D2" i="24"/>
  <c r="F36" i="24"/>
  <c r="F35" i="24"/>
  <c r="A1" i="25"/>
  <c r="D10" i="25" s="1"/>
  <c r="E13" i="27"/>
  <c r="F33" i="24"/>
  <c r="F8" i="24"/>
  <c r="G8" i="24" s="1" a="1"/>
  <c r="G8" i="24" s="1"/>
  <c r="E14" i="23" s="1"/>
  <c r="F7" i="24"/>
  <c r="G7" i="24" s="1" a="1"/>
  <c r="G7" i="24" s="1"/>
  <c r="E13" i="23" s="1"/>
  <c r="A1" i="21"/>
  <c r="G50" i="21" s="1"/>
  <c r="B51" i="25" l="1"/>
  <c r="C55" i="25"/>
  <c r="F55" i="25"/>
  <c r="E34" i="25"/>
  <c r="B2" i="26"/>
  <c r="D9" i="25"/>
  <c r="F45" i="25"/>
  <c r="D13" i="23"/>
  <c r="D14" i="23" s="1"/>
  <c r="G13" i="27"/>
  <c r="B3" i="26"/>
  <c r="E28" i="25"/>
  <c r="M55" i="25"/>
  <c r="E30" i="25"/>
  <c r="K55" i="25"/>
  <c r="C65" i="25"/>
  <c r="B2" i="25"/>
  <c r="G5" i="27"/>
  <c r="G17" i="27"/>
  <c r="E55" i="25"/>
  <c r="B52" i="25"/>
  <c r="B62" i="25"/>
  <c r="B42" i="25"/>
  <c r="E18" i="25"/>
  <c r="H55" i="25"/>
  <c r="G15" i="27"/>
  <c r="G19" i="27"/>
  <c r="E35" i="25"/>
  <c r="D5" i="25"/>
  <c r="D7" i="25"/>
  <c r="E37" i="25"/>
  <c r="B15" i="25"/>
  <c r="E32" i="25"/>
  <c r="G71" i="26" l="1"/>
  <c r="AL90" i="16" l="1"/>
  <c r="K26" i="17"/>
  <c r="C26" i="17" s="1"/>
  <c r="C13" i="27" l="1"/>
  <c r="H77" i="19"/>
  <c r="H23" i="20"/>
  <c r="C23" i="20" l="1"/>
  <c r="H24" i="20"/>
  <c r="C25" i="20" l="1"/>
  <c r="C24" i="20"/>
  <c r="I71" i="26" l="1"/>
  <c r="L71" i="26"/>
  <c r="L58" i="26" l="1"/>
  <c r="N33" i="26" l="1"/>
  <c r="BF23" i="18"/>
  <c r="BK23" i="18"/>
  <c r="BK37" i="18"/>
  <c r="BF37" i="18"/>
  <c r="BK41" i="18" l="1"/>
  <c r="BF41" i="18"/>
  <c r="BK47" i="18"/>
  <c r="BF47" i="18"/>
  <c r="BK44" i="18"/>
  <c r="BF44" i="18"/>
  <c r="N32" i="26"/>
  <c r="BF27" i="18"/>
  <c r="BK27" i="18"/>
  <c r="BK31" i="18"/>
  <c r="BF31" i="18"/>
  <c r="BF28" i="18"/>
  <c r="BK28" i="18"/>
  <c r="N18" i="26"/>
  <c r="BK39" i="18" l="1"/>
  <c r="BF39" i="18"/>
  <c r="BK38" i="18"/>
  <c r="BF38" i="18"/>
  <c r="BK56" i="18" l="1"/>
  <c r="BF56" i="18"/>
  <c r="BK58" i="18"/>
  <c r="BF58" i="18"/>
  <c r="BK18" i="18"/>
  <c r="BF18" i="18"/>
  <c r="BK26" i="18" l="1"/>
  <c r="BF26" i="18"/>
  <c r="BK25" i="18"/>
  <c r="BF25" i="18"/>
  <c r="N19" i="26" l="1"/>
  <c r="BF22" i="18" l="1"/>
  <c r="BK22" i="18"/>
  <c r="BK62" i="18" l="1"/>
  <c r="BF62" i="18"/>
  <c r="BK16" i="18"/>
  <c r="BF16" i="18"/>
  <c r="N13" i="26"/>
  <c r="BK15" i="18"/>
  <c r="BF15" i="18"/>
  <c r="N50" i="26"/>
  <c r="BK14" i="18"/>
  <c r="BF14" i="18"/>
  <c r="BK51" i="18" l="1"/>
  <c r="BF51" i="18"/>
  <c r="N48" i="26"/>
  <c r="BF9" i="18"/>
  <c r="BK9" i="18"/>
  <c r="N41" i="26" l="1"/>
  <c r="N16" i="26"/>
  <c r="BK33" i="18"/>
  <c r="BF33" i="18"/>
  <c r="N24" i="26"/>
  <c r="N14" i="26"/>
  <c r="N15" i="26"/>
  <c r="BK45" i="18"/>
  <c r="BF45" i="18"/>
  <c r="BK32" i="18"/>
  <c r="BF32" i="18"/>
  <c r="BK11" i="18"/>
  <c r="BF11" i="18"/>
  <c r="N51" i="26"/>
  <c r="BK43" i="18"/>
  <c r="BF43" i="18"/>
  <c r="BF30" i="18"/>
  <c r="BK30" i="18"/>
  <c r="BK50" i="18"/>
  <c r="BF50" i="18"/>
  <c r="BF13" i="18"/>
  <c r="BK13" i="18"/>
  <c r="BK42" i="18"/>
  <c r="BF42" i="18"/>
  <c r="BK29" i="18"/>
  <c r="BF29" i="18"/>
  <c r="BK24" i="18"/>
  <c r="BF24" i="18"/>
  <c r="BK71" i="18"/>
  <c r="N9" i="26" s="1"/>
  <c r="BF71" i="18"/>
  <c r="BK40" i="18"/>
  <c r="BF40" i="18"/>
  <c r="BK17" i="18"/>
  <c r="BF17" i="18"/>
  <c r="BK34" i="18"/>
  <c r="BF34" i="18"/>
  <c r="BK46" i="18"/>
  <c r="BF46" i="18"/>
  <c r="BK57" i="18"/>
  <c r="BF57" i="18"/>
  <c r="BK36" i="18"/>
  <c r="BF36" i="18"/>
  <c r="BF19" i="18"/>
  <c r="BK19" i="18"/>
  <c r="BK55" i="18"/>
  <c r="BF55" i="18"/>
  <c r="BK35" i="18"/>
  <c r="BF35" i="18"/>
  <c r="BK12" i="18"/>
  <c r="BF12" i="18"/>
  <c r="I66" i="26" l="1"/>
  <c r="I57" i="26"/>
  <c r="I53" i="26"/>
  <c r="I60" i="26"/>
  <c r="I52" i="26"/>
  <c r="I55" i="26"/>
  <c r="I64" i="26" l="1"/>
  <c r="I65" i="26"/>
  <c r="BO87" i="18" l="1"/>
  <c r="BZ87" i="18" s="1"/>
  <c r="BJ87" i="18"/>
  <c r="BJ89" i="18"/>
  <c r="BO89" i="18"/>
  <c r="BZ89" i="18" s="1"/>
  <c r="BJ69" i="18"/>
  <c r="BO69" i="18"/>
  <c r="BZ69" i="18" s="1"/>
  <c r="BO59" i="18"/>
  <c r="BZ59" i="18" s="1"/>
  <c r="BJ59" i="18"/>
  <c r="BJ84" i="18"/>
  <c r="BO84" i="18"/>
  <c r="BZ84" i="18" s="1"/>
  <c r="BJ72" i="18"/>
  <c r="BO72" i="18"/>
  <c r="BZ72" i="18" s="1"/>
  <c r="BN61" i="18"/>
  <c r="BN75" i="18"/>
  <c r="BO74" i="18"/>
  <c r="BZ74" i="18" s="1"/>
  <c r="BJ74" i="18"/>
  <c r="BJ66" i="18"/>
  <c r="BO66" i="18"/>
  <c r="BZ66" i="18" s="1"/>
  <c r="BN86" i="18"/>
  <c r="BJ65" i="18"/>
  <c r="BO65" i="18"/>
  <c r="BZ65" i="18" s="1"/>
  <c r="BJ20" i="18"/>
  <c r="BO20" i="18"/>
  <c r="BZ20" i="18" s="1"/>
  <c r="BN67" i="18"/>
  <c r="BO88" i="18"/>
  <c r="BZ88" i="18" s="1"/>
  <c r="BJ88" i="18"/>
  <c r="BJ68" i="18"/>
  <c r="BO68" i="18"/>
  <c r="BZ68" i="18" s="1"/>
  <c r="BJ48" i="18"/>
  <c r="BO48" i="18"/>
  <c r="BZ48" i="18" s="1"/>
  <c r="BJ21" i="18"/>
  <c r="BO21" i="18"/>
  <c r="BZ21" i="18" s="1"/>
  <c r="BN87" i="18"/>
  <c r="BI87" i="18"/>
  <c r="BN84" i="18"/>
  <c r="BI84" i="18"/>
  <c r="BN72" i="18"/>
  <c r="BI72" i="18"/>
  <c r="BN74" i="18"/>
  <c r="BI74" i="18"/>
  <c r="BN66" i="18"/>
  <c r="BI66" i="18"/>
  <c r="BN65" i="18"/>
  <c r="BI65" i="18"/>
  <c r="BN20" i="18"/>
  <c r="BI20" i="18"/>
  <c r="BN88" i="18"/>
  <c r="BI88" i="18"/>
  <c r="BN68" i="18"/>
  <c r="BI68" i="18"/>
  <c r="BI48" i="18"/>
  <c r="BN48" i="18"/>
  <c r="BN21" i="18"/>
  <c r="BI21" i="18"/>
  <c r="BN89" i="18"/>
  <c r="BI89" i="18"/>
  <c r="BN69" i="18"/>
  <c r="BI69" i="18"/>
  <c r="BI59" i="18"/>
  <c r="BN59" i="18"/>
  <c r="BO67" i="18" l="1"/>
  <c r="BZ67" i="18" s="1"/>
  <c r="BJ67" i="18"/>
  <c r="BO75" i="18"/>
  <c r="BZ75" i="18" s="1"/>
  <c r="BJ75" i="18"/>
  <c r="BO61" i="18"/>
  <c r="BZ61" i="18" s="1"/>
  <c r="BJ61" i="18"/>
  <c r="BO86" i="18"/>
  <c r="BZ86" i="18" s="1"/>
  <c r="BJ86" i="18"/>
  <c r="BJ37" i="18" l="1"/>
  <c r="BO37" i="18"/>
  <c r="BZ37" i="18" s="1"/>
  <c r="BO23" i="18"/>
  <c r="BZ23" i="18" s="1"/>
  <c r="BJ23" i="18"/>
  <c r="BN37" i="18"/>
  <c r="BI37" i="18"/>
  <c r="BI23" i="18"/>
  <c r="BN23" i="18"/>
  <c r="BJ44" i="18" l="1"/>
  <c r="BO44" i="18"/>
  <c r="BZ44" i="18" s="1"/>
  <c r="BO47" i="18"/>
  <c r="BZ47" i="18" s="1"/>
  <c r="BJ47" i="18"/>
  <c r="BO27" i="18"/>
  <c r="BZ27" i="18" s="1"/>
  <c r="BJ27" i="18"/>
  <c r="BJ28" i="18"/>
  <c r="BO28" i="18"/>
  <c r="BZ28" i="18" s="1"/>
  <c r="BJ41" i="18"/>
  <c r="BO41" i="18"/>
  <c r="BZ41" i="18" s="1"/>
  <c r="BO31" i="18"/>
  <c r="BZ31" i="18" s="1"/>
  <c r="BJ31" i="18"/>
  <c r="BN44" i="18"/>
  <c r="BI44" i="18"/>
  <c r="BI47" i="18"/>
  <c r="BN47" i="18"/>
  <c r="BI27" i="18"/>
  <c r="BN27" i="18"/>
  <c r="BN28" i="18"/>
  <c r="BI28" i="18"/>
  <c r="BN41" i="18"/>
  <c r="BI41" i="18"/>
  <c r="BI31" i="18"/>
  <c r="BN31" i="18"/>
  <c r="BJ38" i="18" l="1"/>
  <c r="BO38" i="18"/>
  <c r="BZ38" i="18" s="1"/>
  <c r="BN39" i="18"/>
  <c r="BI38" i="18"/>
  <c r="BN38" i="18"/>
  <c r="BO39" i="18" l="1"/>
  <c r="BZ39" i="18" s="1"/>
  <c r="BJ39" i="18"/>
  <c r="BJ18" i="18"/>
  <c r="BO18" i="18"/>
  <c r="BZ18" i="18" s="1"/>
  <c r="BO58" i="18"/>
  <c r="BZ58" i="18" s="1"/>
  <c r="BJ58" i="18"/>
  <c r="BO56" i="18"/>
  <c r="BZ56" i="18" s="1"/>
  <c r="BJ56" i="18"/>
  <c r="BN18" i="18"/>
  <c r="BI18" i="18"/>
  <c r="BI58" i="18"/>
  <c r="BN58" i="18"/>
  <c r="BI56" i="18"/>
  <c r="BN56" i="18"/>
  <c r="BJ25" i="18" l="1"/>
  <c r="BO25" i="18"/>
  <c r="BZ25" i="18" s="1"/>
  <c r="BO26" i="18"/>
  <c r="BZ26" i="18" s="1"/>
  <c r="BJ26" i="18"/>
  <c r="BI25" i="18"/>
  <c r="BN25" i="18"/>
  <c r="BN26" i="18"/>
  <c r="BI26" i="18"/>
  <c r="BJ22" i="18" l="1"/>
  <c r="BO22" i="18"/>
  <c r="BZ22" i="18" s="1"/>
  <c r="BN22" i="18"/>
  <c r="BI22" i="18"/>
  <c r="BN62" i="18" l="1"/>
  <c r="BO14" i="18"/>
  <c r="BZ14" i="18" s="1"/>
  <c r="BJ14" i="18"/>
  <c r="BO15" i="18"/>
  <c r="BZ15" i="18" s="1"/>
  <c r="BJ15" i="18"/>
  <c r="BJ16" i="18"/>
  <c r="BO16" i="18"/>
  <c r="BZ16" i="18" s="1"/>
  <c r="BN14" i="18"/>
  <c r="BI14" i="18"/>
  <c r="BI15" i="18"/>
  <c r="BN15" i="18"/>
  <c r="BN16" i="18"/>
  <c r="BI16" i="18"/>
  <c r="BO62" i="18" l="1"/>
  <c r="BZ62" i="18" s="1"/>
  <c r="BJ62" i="18"/>
  <c r="BJ9" i="18" l="1"/>
  <c r="BO9" i="18"/>
  <c r="BZ9" i="18" s="1"/>
  <c r="BO51" i="18"/>
  <c r="BZ51" i="18" s="1"/>
  <c r="BJ51" i="18"/>
  <c r="BN51" i="18"/>
  <c r="BI51" i="18"/>
  <c r="BN9" i="18"/>
  <c r="BI9" i="18"/>
  <c r="BJ73" i="18" l="1"/>
  <c r="BO73" i="18"/>
  <c r="BZ73" i="18" s="1"/>
  <c r="BJ70" i="18"/>
  <c r="BO70" i="18"/>
  <c r="BZ70" i="18" s="1"/>
  <c r="BJ60" i="18"/>
  <c r="BO60" i="18"/>
  <c r="BZ60" i="18" s="1"/>
  <c r="BN70" i="18"/>
  <c r="BI70" i="18"/>
  <c r="BI60" i="18"/>
  <c r="BN60" i="18"/>
  <c r="BI73" i="18"/>
  <c r="BN73" i="18"/>
  <c r="BJ32" i="18" l="1"/>
  <c r="BO32" i="18"/>
  <c r="BZ32" i="18" s="1"/>
  <c r="BO42" i="18"/>
  <c r="BZ42" i="18" s="1"/>
  <c r="BJ42" i="18"/>
  <c r="BJ57" i="18"/>
  <c r="BO57" i="18"/>
  <c r="BZ57" i="18" s="1"/>
  <c r="BO30" i="18"/>
  <c r="BZ30" i="18" s="1"/>
  <c r="BJ30" i="18"/>
  <c r="BJ40" i="18"/>
  <c r="BO40" i="18"/>
  <c r="BZ40" i="18" s="1"/>
  <c r="BJ55" i="18"/>
  <c r="BO55" i="18"/>
  <c r="BZ55" i="18" s="1"/>
  <c r="BO24" i="18"/>
  <c r="BZ24" i="18" s="1"/>
  <c r="BJ24" i="18"/>
  <c r="BO19" i="18"/>
  <c r="BZ19" i="18" s="1"/>
  <c r="BJ19" i="18"/>
  <c r="BJ34" i="18"/>
  <c r="BO34" i="18"/>
  <c r="BZ34" i="18" s="1"/>
  <c r="BJ45" i="18"/>
  <c r="BO45" i="18"/>
  <c r="BZ45" i="18" s="1"/>
  <c r="BJ12" i="18"/>
  <c r="BO12" i="18"/>
  <c r="BZ12" i="18" s="1"/>
  <c r="BJ13" i="18"/>
  <c r="BO13" i="18"/>
  <c r="BZ13" i="18" s="1"/>
  <c r="BN33" i="18"/>
  <c r="BO43" i="18"/>
  <c r="BZ43" i="18" s="1"/>
  <c r="BJ43" i="18"/>
  <c r="BJ71" i="18"/>
  <c r="BO71" i="18"/>
  <c r="BZ71" i="18" s="1"/>
  <c r="BO11" i="18"/>
  <c r="BZ11" i="18" s="1"/>
  <c r="BJ11" i="18"/>
  <c r="BJ29" i="18"/>
  <c r="BO29" i="18"/>
  <c r="BZ29" i="18" s="1"/>
  <c r="BJ36" i="18"/>
  <c r="BO36" i="18"/>
  <c r="BZ36" i="18" s="1"/>
  <c r="BJ50" i="18"/>
  <c r="BO50" i="18"/>
  <c r="BZ50" i="18" s="1"/>
  <c r="BJ17" i="18"/>
  <c r="BO17" i="18"/>
  <c r="BZ17" i="18" s="1"/>
  <c r="BJ35" i="18"/>
  <c r="BO35" i="18"/>
  <c r="BO46" i="18"/>
  <c r="BZ46" i="18" s="1"/>
  <c r="BJ46" i="18"/>
  <c r="BI13" i="18"/>
  <c r="BN13" i="18"/>
  <c r="BN32" i="18"/>
  <c r="BI32" i="18"/>
  <c r="BI43" i="18"/>
  <c r="BN43" i="18"/>
  <c r="BI42" i="18"/>
  <c r="BN42" i="18"/>
  <c r="BI71" i="18"/>
  <c r="BN71" i="18"/>
  <c r="BI11" i="18"/>
  <c r="BN11" i="18"/>
  <c r="BN30" i="18"/>
  <c r="BI30" i="18"/>
  <c r="BI29" i="18"/>
  <c r="BN29" i="18"/>
  <c r="BI40" i="18"/>
  <c r="BN40" i="18"/>
  <c r="BN36" i="18"/>
  <c r="BI36" i="18"/>
  <c r="BN55" i="18"/>
  <c r="BI55" i="18"/>
  <c r="BN57" i="18"/>
  <c r="BI57" i="18"/>
  <c r="BN50" i="18"/>
  <c r="BI50" i="18"/>
  <c r="BN24" i="18"/>
  <c r="BI24" i="18"/>
  <c r="BI17" i="18"/>
  <c r="BN17" i="18"/>
  <c r="BI19" i="18"/>
  <c r="BN19" i="18"/>
  <c r="BN34" i="18"/>
  <c r="BI34" i="18"/>
  <c r="BN46" i="18"/>
  <c r="BI46" i="18"/>
  <c r="BI45" i="18"/>
  <c r="BN45" i="18"/>
  <c r="BN12" i="18"/>
  <c r="BI12" i="18"/>
  <c r="BI35" i="18"/>
  <c r="BN35" i="18"/>
  <c r="BO33" i="18" l="1"/>
  <c r="BZ33" i="18" s="1"/>
  <c r="BJ33" i="18"/>
  <c r="BZ35" i="18"/>
  <c r="BS35" i="18"/>
  <c r="BQ35" i="18" l="1"/>
  <c r="BT35" i="18"/>
  <c r="BJ49" i="18"/>
  <c r="BO49" i="18"/>
  <c r="BZ49" i="18" s="1"/>
  <c r="BI49" i="18"/>
  <c r="BN49" i="18"/>
  <c r="BZ90" i="18" l="1"/>
  <c r="G69" i="26" l="1"/>
  <c r="L69" i="26"/>
  <c r="I22" i="26" l="1"/>
  <c r="I23" i="26"/>
  <c r="L59" i="26"/>
  <c r="L52" i="26"/>
  <c r="BD40" i="18" l="1"/>
  <c r="BD43" i="18"/>
  <c r="G22" i="26"/>
  <c r="L22" i="26"/>
  <c r="N22" i="26" s="1"/>
  <c r="L61" i="26"/>
  <c r="L63" i="26"/>
  <c r="L56" i="26"/>
  <c r="L54" i="26"/>
  <c r="G61" i="26"/>
  <c r="G58" i="26"/>
  <c r="G54" i="26"/>
  <c r="G63" i="26"/>
  <c r="G59" i="26"/>
  <c r="G56" i="26"/>
  <c r="AY43" i="18" l="1"/>
  <c r="BE43" i="18"/>
  <c r="AY40" i="18"/>
  <c r="BE40" i="18"/>
  <c r="BC40" i="18" l="1"/>
  <c r="BP40" i="18" s="1"/>
  <c r="BW43" i="18"/>
  <c r="BX43" i="18" s="1"/>
  <c r="BY43" i="18" s="1"/>
  <c r="BC43" i="18"/>
  <c r="BP43" i="18" s="1"/>
  <c r="BB43" i="18"/>
  <c r="BR43" i="18"/>
  <c r="BS43" i="18" s="1"/>
  <c r="BQ43" i="18" s="1"/>
  <c r="BR40" i="18"/>
  <c r="BS40" i="18" s="1"/>
  <c r="BQ40" i="18" s="1"/>
  <c r="BB40" i="18"/>
  <c r="BW40" i="18"/>
  <c r="BX40" i="18" s="1"/>
  <c r="BY40" i="18" s="1"/>
  <c r="G23" i="26"/>
  <c r="L23" i="26"/>
  <c r="BT40" i="18" l="1"/>
  <c r="BT43" i="18"/>
  <c r="I61" i="26"/>
  <c r="I62" i="26"/>
  <c r="I54" i="26"/>
  <c r="I56" i="26"/>
  <c r="I58" i="26"/>
  <c r="I59" i="26"/>
  <c r="I63" i="26"/>
  <c r="G62" i="26" l="1"/>
  <c r="L62" i="26"/>
  <c r="I27" i="26" l="1"/>
  <c r="L27" i="26"/>
  <c r="BD33" i="18"/>
  <c r="AY33" i="18" l="1"/>
  <c r="BE33" i="18"/>
  <c r="I46" i="26"/>
  <c r="G27" i="26"/>
  <c r="BW33" i="18" l="1"/>
  <c r="BX33" i="18" s="1"/>
  <c r="BC33" i="18"/>
  <c r="BP33" i="18" s="1"/>
  <c r="BB33" i="18"/>
  <c r="BD32" i="18"/>
  <c r="BD27" i="18"/>
  <c r="BD36" i="18"/>
  <c r="BD31" i="18"/>
  <c r="BD17" i="18"/>
  <c r="I29" i="26"/>
  <c r="I50" i="26"/>
  <c r="L46" i="26"/>
  <c r="BR33" i="18"/>
  <c r="AY17" i="18" l="1"/>
  <c r="BE17" i="18"/>
  <c r="AY31" i="18"/>
  <c r="BB31" i="18" s="1"/>
  <c r="BE31" i="18"/>
  <c r="AY36" i="18"/>
  <c r="BE36" i="18"/>
  <c r="AY27" i="18"/>
  <c r="BE27" i="18"/>
  <c r="AY32" i="18"/>
  <c r="BE32" i="18"/>
  <c r="BS33" i="18"/>
  <c r="BT33" i="18" s="1"/>
  <c r="G29" i="26"/>
  <c r="L29" i="26"/>
  <c r="G46" i="26"/>
  <c r="L50" i="26"/>
  <c r="G50" i="26"/>
  <c r="BW27" i="18" l="1"/>
  <c r="BX27" i="18" s="1"/>
  <c r="BY27" i="18" s="1"/>
  <c r="BC27" i="18"/>
  <c r="BW31" i="18"/>
  <c r="BX31" i="18" s="1"/>
  <c r="BY31" i="18" s="1"/>
  <c r="BC31" i="18"/>
  <c r="BP31" i="18" s="1"/>
  <c r="BB32" i="18"/>
  <c r="BC32" i="18"/>
  <c r="BP32" i="18" s="1"/>
  <c r="BW36" i="18"/>
  <c r="BX36" i="18" s="1"/>
  <c r="BY36" i="18" s="1"/>
  <c r="BC36" i="18"/>
  <c r="BP36" i="18" s="1"/>
  <c r="BB17" i="18"/>
  <c r="BC17" i="18"/>
  <c r="BB36" i="18"/>
  <c r="BW17" i="18"/>
  <c r="BX17" i="18" s="1"/>
  <c r="BY17" i="18" s="1"/>
  <c r="BW32" i="18"/>
  <c r="BX32" i="18" s="1"/>
  <c r="BY32" i="18" s="1"/>
  <c r="BR31" i="18"/>
  <c r="BS31" i="18" s="1"/>
  <c r="BQ31" i="18" s="1"/>
  <c r="BR27" i="18"/>
  <c r="BS27" i="18" s="1"/>
  <c r="BQ27" i="18" s="1"/>
  <c r="BR17" i="18"/>
  <c r="BS17" i="18" s="1"/>
  <c r="BQ17" i="18" s="1"/>
  <c r="BR32" i="18"/>
  <c r="BS32" i="18" s="1"/>
  <c r="BQ32" i="18" s="1"/>
  <c r="BR36" i="18"/>
  <c r="BS36" i="18" s="1"/>
  <c r="BQ36" i="18" s="1"/>
  <c r="BB27" i="18"/>
  <c r="BP17" i="18"/>
  <c r="BP27" i="18"/>
  <c r="BQ33" i="18"/>
  <c r="BY33" i="18"/>
  <c r="BT17" i="18" l="1"/>
  <c r="BT27" i="18"/>
  <c r="BT32" i="18"/>
  <c r="BT36" i="18"/>
  <c r="BT31" i="18"/>
  <c r="BD80" i="18"/>
  <c r="AY80" i="18" l="1"/>
  <c r="BE80" i="18"/>
  <c r="BW80" i="18" l="1"/>
  <c r="BX80" i="18" s="1"/>
  <c r="BC80" i="18"/>
  <c r="BP80" i="18" s="1"/>
  <c r="I11" i="26" s="1"/>
  <c r="BR80" i="18"/>
  <c r="BS80" i="18" s="1"/>
  <c r="BT80" i="18" s="1"/>
  <c r="BB80" i="18"/>
  <c r="BY80" i="18" l="1"/>
  <c r="L11" i="26" s="1"/>
  <c r="BQ80" i="18"/>
  <c r="G11" i="26" s="1"/>
  <c r="BD5" i="18" l="1"/>
  <c r="AY5" i="18" l="1"/>
  <c r="BE5" i="18"/>
  <c r="BC5" i="18" l="1"/>
  <c r="BD6" i="18"/>
  <c r="BD71" i="18"/>
  <c r="BB5" i="18"/>
  <c r="BR5" i="18"/>
  <c r="BS5" i="18" s="1"/>
  <c r="BW5" i="18"/>
  <c r="BX5" i="18" s="1"/>
  <c r="BP5" i="18"/>
  <c r="I15" i="26"/>
  <c r="G15" i="26"/>
  <c r="L57" i="26"/>
  <c r="AY6" i="18" l="1"/>
  <c r="BE6" i="18"/>
  <c r="AY71" i="18"/>
  <c r="BE71" i="18"/>
  <c r="BY5" i="18"/>
  <c r="L15" i="26"/>
  <c r="BT5" i="18"/>
  <c r="BQ5" i="18"/>
  <c r="BB71" i="18" l="1"/>
  <c r="BC71" i="18"/>
  <c r="BP71" i="18" s="1"/>
  <c r="I9" i="26" s="1"/>
  <c r="BW6" i="18"/>
  <c r="BX6" i="18" s="1"/>
  <c r="BY6" i="18" s="1"/>
  <c r="L6" i="26" s="1"/>
  <c r="BC6" i="18"/>
  <c r="BP6" i="18" s="1"/>
  <c r="I6" i="26" s="1"/>
  <c r="BB6" i="18"/>
  <c r="BR71" i="18"/>
  <c r="BS71" i="18" s="1"/>
  <c r="BQ71" i="18" s="1"/>
  <c r="G9" i="26" s="1"/>
  <c r="BW71" i="18"/>
  <c r="BX71" i="18" s="1"/>
  <c r="BY71" i="18" s="1"/>
  <c r="L9" i="26" s="1"/>
  <c r="BR6" i="18"/>
  <c r="BS6" i="18" s="1"/>
  <c r="BT6" i="18" s="1"/>
  <c r="BD76" i="18"/>
  <c r="BD78" i="18"/>
  <c r="BD8" i="18"/>
  <c r="BQ6" i="18" l="1"/>
  <c r="G6" i="26" s="1"/>
  <c r="BT71" i="18"/>
  <c r="AY78" i="18"/>
  <c r="BE78" i="18"/>
  <c r="AY76" i="18"/>
  <c r="BE76" i="18"/>
  <c r="AY8" i="18"/>
  <c r="BE8" i="18"/>
  <c r="I13" i="26"/>
  <c r="BW8" i="18" l="1"/>
  <c r="BX8" i="18" s="1"/>
  <c r="BC8" i="18"/>
  <c r="BB78" i="18"/>
  <c r="BC78" i="18"/>
  <c r="BP78" i="18" s="1"/>
  <c r="BC76" i="18"/>
  <c r="BP76" i="18" s="1"/>
  <c r="BR78" i="18"/>
  <c r="BW78" i="18"/>
  <c r="BX78" i="18" s="1"/>
  <c r="BR76" i="18"/>
  <c r="BS76" i="18" s="1"/>
  <c r="BQ76" i="18" s="1"/>
  <c r="BW76" i="18"/>
  <c r="BX76" i="18" s="1"/>
  <c r="BY76" i="18" s="1"/>
  <c r="BB76" i="18"/>
  <c r="BB8" i="18"/>
  <c r="BD59" i="18"/>
  <c r="I24" i="26"/>
  <c r="I42" i="26"/>
  <c r="BR8" i="18"/>
  <c r="BS8" i="18" s="1"/>
  <c r="BT8" i="18" s="1"/>
  <c r="BP8" i="18"/>
  <c r="I41" i="26"/>
  <c r="I43" i="26"/>
  <c r="BY8" i="18"/>
  <c r="BS78" i="18"/>
  <c r="L42" i="26"/>
  <c r="L24" i="26"/>
  <c r="G41" i="26"/>
  <c r="L41" i="26"/>
  <c r="L13" i="26"/>
  <c r="BY78" i="18" l="1"/>
  <c r="AY59" i="18"/>
  <c r="BE59" i="18"/>
  <c r="BT76" i="18"/>
  <c r="G13" i="26"/>
  <c r="BQ8" i="18"/>
  <c r="G43" i="26"/>
  <c r="L43" i="26"/>
  <c r="BT78" i="18"/>
  <c r="BQ78" i="18"/>
  <c r="G42" i="26"/>
  <c r="G24" i="26"/>
  <c r="BB59" i="18" l="1"/>
  <c r="BC59" i="18"/>
  <c r="BP59" i="18" s="1"/>
  <c r="BW59" i="18"/>
  <c r="BX59" i="18" s="1"/>
  <c r="BY59" i="18" s="1"/>
  <c r="BR59" i="18"/>
  <c r="BS59" i="18" s="1"/>
  <c r="BQ59" i="18" s="1"/>
  <c r="BD83" i="18"/>
  <c r="BT59" i="18" l="1"/>
  <c r="AY83" i="18"/>
  <c r="BE83" i="18"/>
  <c r="BB83" i="18" l="1"/>
  <c r="BC83" i="18"/>
  <c r="BP83" i="18" s="1"/>
  <c r="BR83" i="18"/>
  <c r="BS83" i="18" s="1"/>
  <c r="BQ83" i="18" s="1"/>
  <c r="BW83" i="18"/>
  <c r="BX83" i="18" s="1"/>
  <c r="BY83" i="18" s="1"/>
  <c r="BT83" i="18" l="1"/>
  <c r="BD46" i="18" l="1"/>
  <c r="AY46" i="18" l="1"/>
  <c r="BE46" i="18"/>
  <c r="BW46" i="18" l="1"/>
  <c r="BX46" i="18" s="1"/>
  <c r="BY46" i="18" s="1"/>
  <c r="BC46" i="18"/>
  <c r="BP46" i="18" s="1"/>
  <c r="BB46" i="18"/>
  <c r="BR46" i="18"/>
  <c r="BS46" i="18" s="1"/>
  <c r="BQ46" i="18" s="1"/>
  <c r="BD48" i="18"/>
  <c r="AY48" i="18" s="1"/>
  <c r="BD49" i="18"/>
  <c r="AY49" i="18" s="1"/>
  <c r="BD53" i="18"/>
  <c r="AY53" i="18" s="1"/>
  <c r="L12" i="26"/>
  <c r="BB53" i="18" l="1"/>
  <c r="BW49" i="18"/>
  <c r="BX49" i="18" s="1"/>
  <c r="BY49" i="18" s="1"/>
  <c r="BT46" i="18"/>
  <c r="BB49" i="18"/>
  <c r="BW53" i="18"/>
  <c r="BX53" i="18" s="1"/>
  <c r="BY53" i="18" s="1"/>
  <c r="L49" i="26"/>
  <c r="BE53" i="18"/>
  <c r="I32" i="26"/>
  <c r="I21" i="26"/>
  <c r="L47" i="26"/>
  <c r="I17" i="26"/>
  <c r="BW48" i="18"/>
  <c r="BX48" i="18" s="1"/>
  <c r="BY48" i="18" s="1"/>
  <c r="BB48" i="18"/>
  <c r="I49" i="26"/>
  <c r="BE48" i="18"/>
  <c r="I26" i="26"/>
  <c r="I44" i="26"/>
  <c r="I39" i="26"/>
  <c r="I30" i="26"/>
  <c r="I47" i="26"/>
  <c r="I45" i="26"/>
  <c r="I37" i="26"/>
  <c r="I35" i="26"/>
  <c r="G39" i="26"/>
  <c r="G49" i="26"/>
  <c r="I18" i="26"/>
  <c r="I12" i="26"/>
  <c r="BE49" i="18"/>
  <c r="BC49" i="18" s="1"/>
  <c r="L18" i="26"/>
  <c r="L39" i="26"/>
  <c r="L44" i="26"/>
  <c r="N44" i="26" s="1"/>
  <c r="L17" i="26"/>
  <c r="L21" i="26"/>
  <c r="L30" i="26"/>
  <c r="BP49" i="18" l="1"/>
  <c r="BC53" i="18"/>
  <c r="BP53" i="18" s="1"/>
  <c r="BC48" i="18"/>
  <c r="BP48" i="18" s="1"/>
  <c r="BR53" i="18"/>
  <c r="BS53" i="18" s="1"/>
  <c r="BQ53" i="18" s="1"/>
  <c r="BR48" i="18"/>
  <c r="BS48" i="18" s="1"/>
  <c r="BQ48" i="18" s="1"/>
  <c r="BD23" i="18"/>
  <c r="BD57" i="18"/>
  <c r="BD25" i="18"/>
  <c r="BD28" i="18"/>
  <c r="BD20" i="18"/>
  <c r="BD18" i="18"/>
  <c r="BD7" i="18"/>
  <c r="BD39" i="18"/>
  <c r="BD14" i="18"/>
  <c r="G44" i="26"/>
  <c r="L32" i="26"/>
  <c r="L26" i="26"/>
  <c r="L65" i="26"/>
  <c r="I14" i="26"/>
  <c r="L14" i="26"/>
  <c r="L35" i="26"/>
  <c r="G20" i="26"/>
  <c r="G35" i="26"/>
  <c r="L45" i="26"/>
  <c r="L20" i="26"/>
  <c r="I20" i="26"/>
  <c r="L37" i="26"/>
  <c r="G21" i="26"/>
  <c r="L28" i="26"/>
  <c r="I28" i="26"/>
  <c r="I33" i="26"/>
  <c r="L33" i="26"/>
  <c r="I34" i="26"/>
  <c r="L34" i="26"/>
  <c r="N34" i="26" s="1"/>
  <c r="L36" i="26"/>
  <c r="I36" i="26"/>
  <c r="G14" i="26"/>
  <c r="BR49" i="18"/>
  <c r="BS49" i="18" s="1"/>
  <c r="BQ49" i="18" s="1"/>
  <c r="I25" i="26"/>
  <c r="L25" i="26"/>
  <c r="G17" i="26"/>
  <c r="I40" i="26"/>
  <c r="L40" i="26"/>
  <c r="G30" i="26"/>
  <c r="I31" i="26"/>
  <c r="L31" i="26"/>
  <c r="I16" i="26"/>
  <c r="L16" i="26"/>
  <c r="I19" i="26"/>
  <c r="L19" i="26"/>
  <c r="G26" i="26"/>
  <c r="I48" i="26"/>
  <c r="L48" i="26"/>
  <c r="I51" i="26"/>
  <c r="L51" i="26"/>
  <c r="G45" i="26"/>
  <c r="G47" i="26"/>
  <c r="G12" i="26"/>
  <c r="G32" i="26"/>
  <c r="I38" i="26"/>
  <c r="L38" i="26"/>
  <c r="G37" i="26"/>
  <c r="L66" i="26"/>
  <c r="BT53" i="18" l="1"/>
  <c r="BT48" i="18"/>
  <c r="BT49" i="18"/>
  <c r="AY39" i="18"/>
  <c r="BE39" i="18"/>
  <c r="AY28" i="18"/>
  <c r="BE28" i="18"/>
  <c r="AY7" i="18"/>
  <c r="BE7" i="18"/>
  <c r="AY18" i="18"/>
  <c r="BE18" i="18"/>
  <c r="AY14" i="18"/>
  <c r="BE14" i="18"/>
  <c r="AY20" i="18"/>
  <c r="BE20" i="18"/>
  <c r="AY23" i="18"/>
  <c r="BE23" i="18"/>
  <c r="AY25" i="18"/>
  <c r="BE25" i="18"/>
  <c r="AY57" i="18"/>
  <c r="BE57" i="18"/>
  <c r="G40" i="26"/>
  <c r="G34" i="26"/>
  <c r="G33" i="26"/>
  <c r="G25" i="26"/>
  <c r="G36" i="26"/>
  <c r="G28" i="26"/>
  <c r="G48" i="26"/>
  <c r="G31" i="26"/>
  <c r="G18" i="26"/>
  <c r="G38" i="26"/>
  <c r="G19" i="26"/>
  <c r="G51" i="26"/>
  <c r="G16" i="26"/>
  <c r="BB57" i="18" l="1"/>
  <c r="BC57" i="18"/>
  <c r="BB23" i="18"/>
  <c r="BC23" i="18"/>
  <c r="BP23" i="18" s="1"/>
  <c r="BB14" i="18"/>
  <c r="BC14" i="18"/>
  <c r="BP14" i="18" s="1"/>
  <c r="BW7" i="18"/>
  <c r="BX7" i="18" s="1"/>
  <c r="BY7" i="18" s="1"/>
  <c r="BC7" i="18"/>
  <c r="BP7" i="18" s="1"/>
  <c r="BB39" i="18"/>
  <c r="BC39" i="18"/>
  <c r="BP39" i="18" s="1"/>
  <c r="BW25" i="18"/>
  <c r="BX25" i="18" s="1"/>
  <c r="BY25" i="18" s="1"/>
  <c r="BC25" i="18"/>
  <c r="BP25" i="18" s="1"/>
  <c r="BB20" i="18"/>
  <c r="BC20" i="18"/>
  <c r="BP20" i="18" s="1"/>
  <c r="BW18" i="18"/>
  <c r="BX18" i="18" s="1"/>
  <c r="BY18" i="18" s="1"/>
  <c r="BC18" i="18"/>
  <c r="BP18" i="18" s="1"/>
  <c r="BB28" i="18"/>
  <c r="BC28" i="18"/>
  <c r="BP28" i="18" s="1"/>
  <c r="BW39" i="18"/>
  <c r="BX39" i="18" s="1"/>
  <c r="BY39" i="18" s="1"/>
  <c r="BB25" i="18"/>
  <c r="BB7" i="18"/>
  <c r="BW28" i="18"/>
  <c r="BX28" i="18" s="1"/>
  <c r="BY28" i="18" s="1"/>
  <c r="BW20" i="18"/>
  <c r="BX20" i="18" s="1"/>
  <c r="BY20" i="18" s="1"/>
  <c r="BW57" i="18"/>
  <c r="BX57" i="18" s="1"/>
  <c r="BY57" i="18" s="1"/>
  <c r="BW23" i="18"/>
  <c r="BX23" i="18" s="1"/>
  <c r="BY23" i="18" s="1"/>
  <c r="BW14" i="18"/>
  <c r="BX14" i="18" s="1"/>
  <c r="BY14" i="18" s="1"/>
  <c r="BB18" i="18"/>
  <c r="BP57" i="18"/>
  <c r="BR14" i="18"/>
  <c r="BS14" i="18" s="1"/>
  <c r="BQ14" i="18" s="1"/>
  <c r="BR25" i="18"/>
  <c r="BS25" i="18" s="1"/>
  <c r="BQ25" i="18" s="1"/>
  <c r="BR20" i="18"/>
  <c r="BS20" i="18" s="1"/>
  <c r="BQ20" i="18" s="1"/>
  <c r="BR18" i="18"/>
  <c r="BR28" i="18"/>
  <c r="BR23" i="18"/>
  <c r="BS23" i="18" s="1"/>
  <c r="BQ23" i="18" s="1"/>
  <c r="BR7" i="18"/>
  <c r="BS7" i="18" s="1"/>
  <c r="BT7" i="18" s="1"/>
  <c r="BR39" i="18"/>
  <c r="BR57" i="18"/>
  <c r="BQ7" i="18" l="1"/>
  <c r="BT23" i="18"/>
  <c r="BS28" i="18"/>
  <c r="BQ28" i="18" s="1"/>
  <c r="BS39" i="18"/>
  <c r="BQ39" i="18" s="1"/>
  <c r="BS18" i="18"/>
  <c r="BQ18" i="18" s="1"/>
  <c r="BT25" i="18"/>
  <c r="BS57" i="18"/>
  <c r="BQ57" i="18" s="1"/>
  <c r="BT14" i="18"/>
  <c r="BT20" i="18"/>
  <c r="BT57" i="18" l="1"/>
  <c r="BT28" i="18"/>
  <c r="BT39" i="18"/>
  <c r="BT18" i="18"/>
  <c r="BD81" i="18" l="1"/>
  <c r="AY81" i="18" s="1"/>
  <c r="BD82" i="18"/>
  <c r="AY82" i="18" s="1"/>
  <c r="BD84" i="18"/>
  <c r="AY84" i="18" s="1"/>
  <c r="BD85" i="18"/>
  <c r="AY85" i="18" s="1"/>
  <c r="BD86" i="18"/>
  <c r="AY86" i="18" s="1"/>
  <c r="BD88" i="18"/>
  <c r="AY88" i="18" s="1"/>
  <c r="BD89" i="18"/>
  <c r="AY89" i="18" s="1"/>
  <c r="BB81" i="18" l="1"/>
  <c r="BW81" i="18"/>
  <c r="BX81" i="18" s="1"/>
  <c r="BY81" i="18" s="1"/>
  <c r="BE89" i="18"/>
  <c r="BR89" i="18" s="1"/>
  <c r="BS89" i="18" s="1"/>
  <c r="BQ89" i="18" s="1"/>
  <c r="BE85" i="18"/>
  <c r="BW85" i="18"/>
  <c r="BX85" i="18" s="1"/>
  <c r="BY85" i="18" s="1"/>
  <c r="BB89" i="18"/>
  <c r="BB85" i="18"/>
  <c r="BW89" i="18"/>
  <c r="BX89" i="18" s="1"/>
  <c r="BY89" i="18" s="1"/>
  <c r="BB84" i="18"/>
  <c r="BE88" i="18"/>
  <c r="BR88" i="18" s="1"/>
  <c r="BE81" i="18"/>
  <c r="BR81" i="18" s="1"/>
  <c r="BE84" i="18"/>
  <c r="BR84" i="18" s="1"/>
  <c r="BE87" i="18"/>
  <c r="BE86" i="18"/>
  <c r="BR86" i="18" s="1"/>
  <c r="BB86" i="18"/>
  <c r="BW86" i="18"/>
  <c r="BX86" i="18" s="1"/>
  <c r="BY86" i="18" s="1"/>
  <c r="BE82" i="18"/>
  <c r="BW88" i="18"/>
  <c r="BX88" i="18" s="1"/>
  <c r="BY88" i="18" s="1"/>
  <c r="BW84" i="18"/>
  <c r="BX84" i="18" s="1"/>
  <c r="BY84" i="18" s="1"/>
  <c r="BB88" i="18"/>
  <c r="BB82" i="18"/>
  <c r="BW82" i="18"/>
  <c r="BX82" i="18" s="1"/>
  <c r="BY82" i="18" s="1"/>
  <c r="BD87" i="18" l="1"/>
  <c r="AY87" i="18" s="1"/>
  <c r="BC89" i="18"/>
  <c r="BP89" i="18" s="1"/>
  <c r="BC86" i="18"/>
  <c r="BC84" i="18"/>
  <c r="BP84" i="18" s="1"/>
  <c r="BC88" i="18"/>
  <c r="BP88" i="18" s="1"/>
  <c r="BC81" i="18"/>
  <c r="BP81" i="18" s="1"/>
  <c r="BC82" i="18"/>
  <c r="BP82" i="18" s="1"/>
  <c r="BC85" i="18"/>
  <c r="BP85" i="18" s="1"/>
  <c r="BR85" i="18"/>
  <c r="BS85" i="18" s="1"/>
  <c r="BQ85" i="18" s="1"/>
  <c r="BR82" i="18"/>
  <c r="BS82" i="18" s="1"/>
  <c r="BQ82" i="18" s="1"/>
  <c r="BS84" i="18"/>
  <c r="BQ84" i="18" s="1"/>
  <c r="BS86" i="18"/>
  <c r="BQ86" i="18" s="1"/>
  <c r="BS88" i="18"/>
  <c r="BQ88" i="18" s="1"/>
  <c r="BP86" i="18"/>
  <c r="BT89" i="18"/>
  <c r="BS81" i="18"/>
  <c r="BQ81" i="18" s="1"/>
  <c r="BD69" i="18"/>
  <c r="AY69" i="18" s="1"/>
  <c r="BD72" i="18"/>
  <c r="AY72" i="18" s="1"/>
  <c r="BD73" i="18"/>
  <c r="AY73" i="18" s="1"/>
  <c r="BD74" i="18"/>
  <c r="AY74" i="18" s="1"/>
  <c r="BD75" i="18"/>
  <c r="AY75" i="18" s="1"/>
  <c r="BD77" i="18"/>
  <c r="AY77" i="18" s="1"/>
  <c r="BD79" i="18"/>
  <c r="AY79" i="18" s="1"/>
  <c r="BB87" i="18" l="1"/>
  <c r="BW87" i="18"/>
  <c r="BX87" i="18" s="1"/>
  <c r="BY87" i="18" s="1"/>
  <c r="BC87" i="18"/>
  <c r="BP87" i="18" s="1"/>
  <c r="BR87" i="18"/>
  <c r="BS87" i="18" s="1"/>
  <c r="BQ87" i="18" s="1"/>
  <c r="BB74" i="18"/>
  <c r="BB79" i="18"/>
  <c r="BB73" i="18"/>
  <c r="BW77" i="18"/>
  <c r="BX77" i="18" s="1"/>
  <c r="BY77" i="18" s="1"/>
  <c r="BW72" i="18"/>
  <c r="BX72" i="18" s="1"/>
  <c r="BY72" i="18" s="1"/>
  <c r="L10" i="26" s="1"/>
  <c r="BW75" i="18"/>
  <c r="BX75" i="18" s="1"/>
  <c r="BY75" i="18" s="1"/>
  <c r="BW69" i="18"/>
  <c r="BX69" i="18" s="1"/>
  <c r="BY69" i="18" s="1"/>
  <c r="BT85" i="18"/>
  <c r="BE69" i="18"/>
  <c r="BB69" i="18"/>
  <c r="BB72" i="18"/>
  <c r="BE79" i="18"/>
  <c r="BC79" i="18" s="1"/>
  <c r="BB77" i="18"/>
  <c r="BE77" i="18"/>
  <c r="BC77" i="18" s="1"/>
  <c r="BE72" i="18"/>
  <c r="BE73" i="18"/>
  <c r="BW79" i="18"/>
  <c r="BX79" i="18" s="1"/>
  <c r="BY79" i="18" s="1"/>
  <c r="BE74" i="18"/>
  <c r="BC74" i="18" s="1"/>
  <c r="BW74" i="18"/>
  <c r="BX74" i="18" s="1"/>
  <c r="BY74" i="18" s="1"/>
  <c r="BB75" i="18"/>
  <c r="BE75" i="18"/>
  <c r="BT82" i="18"/>
  <c r="BT88" i="18"/>
  <c r="BT84" i="18"/>
  <c r="BT81" i="18"/>
  <c r="BT86" i="18"/>
  <c r="BW73" i="18"/>
  <c r="BX73" i="18" s="1"/>
  <c r="BY73" i="18" s="1"/>
  <c r="BT87" i="18" l="1"/>
  <c r="BC75" i="18"/>
  <c r="BP75" i="18" s="1"/>
  <c r="BP79" i="18"/>
  <c r="BC69" i="18"/>
  <c r="BP69" i="18" s="1"/>
  <c r="BC72" i="18"/>
  <c r="BP72" i="18" s="1"/>
  <c r="I10" i="26" s="1"/>
  <c r="BC73" i="18"/>
  <c r="BP73" i="18" s="1"/>
  <c r="BP74" i="18"/>
  <c r="BP77" i="18"/>
  <c r="BR77" i="18"/>
  <c r="BS77" i="18" s="1"/>
  <c r="BQ77" i="18" s="1"/>
  <c r="BR72" i="18"/>
  <c r="BS72" i="18" s="1"/>
  <c r="BQ72" i="18" s="1"/>
  <c r="G10" i="26" s="1"/>
  <c r="BR79" i="18"/>
  <c r="BS79" i="18" s="1"/>
  <c r="BQ79" i="18" s="1"/>
  <c r="BR69" i="18"/>
  <c r="BS69" i="18" s="1"/>
  <c r="BQ69" i="18" s="1"/>
  <c r="BR73" i="18"/>
  <c r="BS73" i="18" s="1"/>
  <c r="BQ73" i="18" s="1"/>
  <c r="BR74" i="18"/>
  <c r="BS74" i="18" s="1"/>
  <c r="BQ74" i="18" s="1"/>
  <c r="BR75" i="18"/>
  <c r="BS75" i="18" s="1"/>
  <c r="BQ75" i="18" s="1"/>
  <c r="BD15" i="18"/>
  <c r="AY15" i="18" s="1"/>
  <c r="BW15" i="18" s="1"/>
  <c r="BX15" i="18" s="1"/>
  <c r="BD24" i="18"/>
  <c r="AY24" i="18" s="1"/>
  <c r="BB24" i="18" s="1"/>
  <c r="BD30" i="18"/>
  <c r="AY30" i="18" s="1"/>
  <c r="BW30" i="18" s="1"/>
  <c r="BX30" i="18" s="1"/>
  <c r="BY30" i="18" s="1"/>
  <c r="BD34" i="18"/>
  <c r="AY34" i="18" s="1"/>
  <c r="BD41" i="18"/>
  <c r="AY41" i="18" s="1"/>
  <c r="BB41" i="18" s="1"/>
  <c r="BD44" i="18"/>
  <c r="AY44" i="18" s="1"/>
  <c r="BW44" i="18" s="1"/>
  <c r="BX44" i="18" s="1"/>
  <c r="BY44" i="18" s="1"/>
  <c r="BD50" i="18"/>
  <c r="AY50" i="18" s="1"/>
  <c r="BD56" i="18"/>
  <c r="AY56" i="18" s="1"/>
  <c r="BB56" i="18" s="1"/>
  <c r="BD60" i="18"/>
  <c r="AY60" i="18" s="1"/>
  <c r="G109" i="19" s="1"/>
  <c r="BD61" i="18"/>
  <c r="AY61" i="18" s="1"/>
  <c r="BB61" i="18" s="1"/>
  <c r="BD62" i="18"/>
  <c r="AY62" i="18" s="1"/>
  <c r="BD63" i="18"/>
  <c r="AY63" i="18" s="1"/>
  <c r="BD64" i="18"/>
  <c r="AY64" i="18" s="1"/>
  <c r="BB64" i="18" s="1"/>
  <c r="BD65" i="18"/>
  <c r="AY65" i="18" s="1"/>
  <c r="BD66" i="18"/>
  <c r="AY66" i="18" s="1"/>
  <c r="BD67" i="18"/>
  <c r="AY67" i="18" s="1"/>
  <c r="BW67" i="18" s="1"/>
  <c r="BX67" i="18" s="1"/>
  <c r="BY67" i="18" s="1"/>
  <c r="BD68" i="18"/>
  <c r="AY68" i="18" s="1"/>
  <c r="BW68" i="18" s="1"/>
  <c r="BX68" i="18" s="1"/>
  <c r="BY68" i="18" s="1"/>
  <c r="BE60" i="18" l="1"/>
  <c r="BW60" i="18"/>
  <c r="BX60" i="18" s="1"/>
  <c r="BY60" i="18" s="1"/>
  <c r="BE50" i="18"/>
  <c r="BE64" i="18"/>
  <c r="BR64" i="18" s="1"/>
  <c r="BW64" i="18"/>
  <c r="BX64" i="18" s="1"/>
  <c r="BY64" i="18" s="1"/>
  <c r="L8" i="26" s="1"/>
  <c r="BB15" i="18"/>
  <c r="BW41" i="18"/>
  <c r="BX41" i="18" s="1"/>
  <c r="BY41" i="18" s="1"/>
  <c r="BE15" i="18"/>
  <c r="BR15" i="18" s="1"/>
  <c r="BE68" i="18"/>
  <c r="BC68" i="18" s="1"/>
  <c r="BP68" i="18" s="1"/>
  <c r="BB68" i="18"/>
  <c r="BB60" i="18"/>
  <c r="BE41" i="18"/>
  <c r="BC41" i="18" s="1"/>
  <c r="BP41" i="18" s="1"/>
  <c r="BW24" i="18"/>
  <c r="BX24" i="18" s="1"/>
  <c r="BY24" i="18" s="1"/>
  <c r="BE24" i="18"/>
  <c r="BC24" i="18" s="1"/>
  <c r="BP24" i="18" s="1"/>
  <c r="BE61" i="18"/>
  <c r="BC61" i="18" s="1"/>
  <c r="BP61" i="18" s="1"/>
  <c r="BC64" i="18"/>
  <c r="BP64" i="18" s="1"/>
  <c r="I8" i="26" s="1"/>
  <c r="BC60" i="18"/>
  <c r="BP60" i="18" s="1"/>
  <c r="BB67" i="18"/>
  <c r="BB63" i="18"/>
  <c r="BW56" i="18"/>
  <c r="BX56" i="18" s="1"/>
  <c r="BY56" i="18" s="1"/>
  <c r="BW34" i="18"/>
  <c r="BX34" i="18" s="1"/>
  <c r="BY34" i="18" s="1"/>
  <c r="K17" i="20"/>
  <c r="N17" i="20" s="1"/>
  <c r="BB50" i="18"/>
  <c r="BC50" i="18"/>
  <c r="BP50" i="18" s="1"/>
  <c r="BB30" i="18"/>
  <c r="BB65" i="18"/>
  <c r="BW61" i="18"/>
  <c r="BX61" i="18" s="1"/>
  <c r="BY61" i="18" s="1"/>
  <c r="BB44" i="18"/>
  <c r="BE65" i="18"/>
  <c r="BC65" i="18" s="1"/>
  <c r="BW65" i="18"/>
  <c r="BX65" i="18" s="1"/>
  <c r="BY65" i="18" s="1"/>
  <c r="G99" i="19"/>
  <c r="G39" i="19"/>
  <c r="BE44" i="18"/>
  <c r="BC44" i="18" s="1"/>
  <c r="BW66" i="18"/>
  <c r="BX66" i="18" s="1"/>
  <c r="BY66" i="18" s="1"/>
  <c r="BW50" i="18"/>
  <c r="BX50" i="18" s="1"/>
  <c r="BY50" i="18" s="1"/>
  <c r="BB62" i="18"/>
  <c r="BE30" i="18"/>
  <c r="BC30" i="18" s="1"/>
  <c r="BP30" i="18" s="1"/>
  <c r="G79" i="19"/>
  <c r="F19" i="19"/>
  <c r="BB66" i="18"/>
  <c r="BE62" i="18"/>
  <c r="BC62" i="18" s="1"/>
  <c r="BW62" i="18"/>
  <c r="BX62" i="18" s="1"/>
  <c r="BY62" i="18" s="1"/>
  <c r="G89" i="19"/>
  <c r="F89" i="19"/>
  <c r="BE66" i="18"/>
  <c r="BC66" i="18" s="1"/>
  <c r="G19" i="19"/>
  <c r="G49" i="19"/>
  <c r="L5" i="20"/>
  <c r="F109" i="19"/>
  <c r="F39" i="19"/>
  <c r="F69" i="19"/>
  <c r="F59" i="19"/>
  <c r="G9" i="19"/>
  <c r="F49" i="19"/>
  <c r="G69" i="19"/>
  <c r="G59" i="19"/>
  <c r="F79" i="19"/>
  <c r="F9" i="19"/>
  <c r="F99" i="19"/>
  <c r="BW63" i="18"/>
  <c r="BX63" i="18" s="1"/>
  <c r="BY63" i="18" s="1"/>
  <c r="L7" i="26" s="1"/>
  <c r="BE67" i="18"/>
  <c r="BC67" i="18" s="1"/>
  <c r="BB34" i="18"/>
  <c r="BE63" i="18"/>
  <c r="BR63" i="18" s="1"/>
  <c r="BE56" i="18"/>
  <c r="BR56" i="18" s="1"/>
  <c r="BE34" i="18"/>
  <c r="BC34" i="18" s="1"/>
  <c r="L26" i="20"/>
  <c r="L17" i="20"/>
  <c r="L29" i="20"/>
  <c r="BY15" i="18"/>
  <c r="BR65" i="18"/>
  <c r="BR61" i="18"/>
  <c r="BR44" i="18"/>
  <c r="BT69" i="18"/>
  <c r="BT73" i="18"/>
  <c r="BT79" i="18"/>
  <c r="BR50" i="18"/>
  <c r="BT75" i="18"/>
  <c r="BT74" i="18"/>
  <c r="BT72" i="18"/>
  <c r="BT77" i="18"/>
  <c r="L23" i="20"/>
  <c r="K23" i="20"/>
  <c r="K5" i="20"/>
  <c r="K11" i="20"/>
  <c r="K20" i="20"/>
  <c r="K29" i="20"/>
  <c r="L2" i="20"/>
  <c r="BR60" i="18"/>
  <c r="L32" i="20"/>
  <c r="L20" i="20"/>
  <c r="K2" i="20"/>
  <c r="K14" i="20"/>
  <c r="K26" i="20"/>
  <c r="K32" i="20"/>
  <c r="L14" i="20"/>
  <c r="L11" i="20"/>
  <c r="BR30" i="18" l="1"/>
  <c r="BR62" i="18"/>
  <c r="BR66" i="18"/>
  <c r="BR68" i="18"/>
  <c r="BR41" i="18"/>
  <c r="BR34" i="18"/>
  <c r="BR67" i="18"/>
  <c r="BS67" i="18" s="1"/>
  <c r="BQ67" i="18" s="1"/>
  <c r="BC15" i="18"/>
  <c r="BP15" i="18" s="1"/>
  <c r="BR24" i="18"/>
  <c r="BS24" i="18" s="1"/>
  <c r="BQ24" i="18" s="1"/>
  <c r="F29" i="19"/>
  <c r="M17" i="20"/>
  <c r="F17" i="20" s="1"/>
  <c r="K8" i="20"/>
  <c r="N8" i="20" s="1"/>
  <c r="BC56" i="18"/>
  <c r="BP56" i="18" s="1"/>
  <c r="BC63" i="18"/>
  <c r="BP63" i="18" s="1"/>
  <c r="I7" i="26" s="1"/>
  <c r="I72" i="26" s="1"/>
  <c r="BP34" i="18"/>
  <c r="BP67" i="18"/>
  <c r="BP66" i="18"/>
  <c r="BP62" i="18"/>
  <c r="BP44" i="18"/>
  <c r="BP65" i="18"/>
  <c r="J7" i="24" a="1"/>
  <c r="J7" i="24" s="1"/>
  <c r="H13" i="23" s="1"/>
  <c r="BS34" i="18"/>
  <c r="BQ34" i="18" s="1"/>
  <c r="BS41" i="18"/>
  <c r="BQ41" i="18" s="1"/>
  <c r="BS44" i="18"/>
  <c r="BQ44" i="18" s="1"/>
  <c r="BS50" i="18"/>
  <c r="BQ50" i="18" s="1"/>
  <c r="BS56" i="18"/>
  <c r="BQ56" i="18" s="1"/>
  <c r="BS64" i="18"/>
  <c r="BQ64" i="18" s="1"/>
  <c r="G8" i="26" s="1"/>
  <c r="BS61" i="18"/>
  <c r="BQ61" i="18" s="1"/>
  <c r="BS62" i="18"/>
  <c r="BQ62" i="18" s="1"/>
  <c r="BS63" i="18"/>
  <c r="BQ63" i="18" s="1"/>
  <c r="G7" i="26" s="1"/>
  <c r="BS68" i="18"/>
  <c r="BQ68" i="18" s="1"/>
  <c r="BS65" i="18"/>
  <c r="BQ65" i="18" s="1"/>
  <c r="BS66" i="18"/>
  <c r="BT66" i="18" s="1"/>
  <c r="N14" i="20"/>
  <c r="M14" i="20"/>
  <c r="F14" i="20" s="1"/>
  <c r="BS60" i="18"/>
  <c r="N11" i="20"/>
  <c r="M11" i="20"/>
  <c r="F11" i="20" s="1"/>
  <c r="N26" i="20"/>
  <c r="M26" i="20"/>
  <c r="F26" i="20" s="1"/>
  <c r="N5" i="20"/>
  <c r="M5" i="20"/>
  <c r="F5" i="20" s="1"/>
  <c r="M29" i="20"/>
  <c r="F29" i="20" s="1"/>
  <c r="N29" i="20"/>
  <c r="N23" i="20"/>
  <c r="M23" i="20"/>
  <c r="F23" i="20" s="1"/>
  <c r="BS15" i="18"/>
  <c r="BT15" i="18" s="1"/>
  <c r="N20" i="20"/>
  <c r="M20" i="20"/>
  <c r="F20" i="20" s="1"/>
  <c r="BS30" i="18"/>
  <c r="BT30" i="18" s="1"/>
  <c r="N32" i="20"/>
  <c r="M32" i="20"/>
  <c r="F32" i="20" s="1"/>
  <c r="M2" i="20"/>
  <c r="F2" i="20" s="1"/>
  <c r="N2" i="20"/>
  <c r="M7" i="24" l="1"/>
  <c r="BT41" i="18"/>
  <c r="G72" i="26"/>
  <c r="L72" i="26" s="1"/>
  <c r="BT24" i="18"/>
  <c r="BQ60" i="18"/>
  <c r="L8" i="20" s="1"/>
  <c r="K7" i="24" s="1" a="1"/>
  <c r="K7" i="24" s="1"/>
  <c r="G29" i="19"/>
  <c r="BT60" i="18"/>
  <c r="BT67" i="18"/>
  <c r="BT65" i="18"/>
  <c r="BT63" i="18"/>
  <c r="BT61" i="18"/>
  <c r="BT56" i="18"/>
  <c r="BT44" i="18"/>
  <c r="BT34" i="18"/>
  <c r="BQ30" i="18"/>
  <c r="BQ15" i="18"/>
  <c r="BQ66" i="18"/>
  <c r="BT68" i="18"/>
  <c r="BT62" i="18"/>
  <c r="BT64" i="18"/>
  <c r="BT50" i="18"/>
  <c r="I13" i="23" l="1"/>
  <c r="L7" i="24"/>
  <c r="M8" i="20"/>
  <c r="F8" i="20" s="1"/>
  <c r="BD22" i="18"/>
  <c r="AY22" i="18" s="1"/>
  <c r="BD26" i="18"/>
  <c r="AY26" i="18" s="1"/>
  <c r="BD51" i="18"/>
  <c r="AY51" i="18" s="1"/>
  <c r="BD58" i="18"/>
  <c r="AY58" i="18" s="1"/>
  <c r="BD70" i="18"/>
  <c r="AY70" i="18" s="1"/>
  <c r="J13" i="23" l="1"/>
  <c r="BW51" i="18"/>
  <c r="BX51" i="18" s="1"/>
  <c r="BY51" i="18" s="1"/>
  <c r="BB51" i="18"/>
  <c r="BB22" i="18"/>
  <c r="BW22" i="18"/>
  <c r="BX22" i="18" s="1"/>
  <c r="BY22" i="18" s="1"/>
  <c r="BE51" i="18"/>
  <c r="BR51" i="18" s="1"/>
  <c r="BE22" i="18"/>
  <c r="BR22" i="18" s="1"/>
  <c r="BE70" i="18"/>
  <c r="BR70" i="18" s="1"/>
  <c r="BB70" i="18"/>
  <c r="BW70" i="18"/>
  <c r="BX70" i="18" s="1"/>
  <c r="BY70" i="18" s="1"/>
  <c r="BW58" i="18"/>
  <c r="BX58" i="18" s="1"/>
  <c r="BY58" i="18" s="1"/>
  <c r="BB58" i="18"/>
  <c r="BW26" i="18"/>
  <c r="BX26" i="18" s="1"/>
  <c r="BY26" i="18" s="1"/>
  <c r="BB26" i="18"/>
  <c r="BE58" i="18"/>
  <c r="BE26" i="18"/>
  <c r="BC26" i="18" s="1"/>
  <c r="BC51" i="18" l="1"/>
  <c r="BC58" i="18"/>
  <c r="BP58" i="18" s="1"/>
  <c r="BC22" i="18"/>
  <c r="BP22" i="18" s="1"/>
  <c r="BC70" i="18"/>
  <c r="BP70" i="18" s="1"/>
  <c r="BS22" i="18"/>
  <c r="BT22" i="18" s="1"/>
  <c r="BS51" i="18"/>
  <c r="BQ51" i="18" s="1"/>
  <c r="BP51" i="18"/>
  <c r="BP26" i="18"/>
  <c r="BR26" i="18"/>
  <c r="BR58" i="18"/>
  <c r="BS70" i="18"/>
  <c r="BQ70" i="18" s="1"/>
  <c r="BQ22" i="18" l="1"/>
  <c r="BT51" i="18"/>
  <c r="BT70" i="18"/>
  <c r="BS26" i="18"/>
  <c r="BT26" i="18" s="1"/>
  <c r="BS58" i="18"/>
  <c r="BQ58" i="18" s="1"/>
  <c r="BT58" i="18" l="1"/>
  <c r="BQ26" i="18"/>
  <c r="BD9" i="18"/>
  <c r="BE9" i="18" s="1"/>
  <c r="BD11" i="18"/>
  <c r="AY11" i="18" s="1"/>
  <c r="BD12" i="18"/>
  <c r="BE12" i="18" s="1"/>
  <c r="BD13" i="18"/>
  <c r="AY13" i="18" s="1"/>
  <c r="BD16" i="18"/>
  <c r="BE16" i="18" s="1"/>
  <c r="BD19" i="18"/>
  <c r="AY19" i="18" s="1"/>
  <c r="BD21" i="18"/>
  <c r="BE21" i="18" s="1"/>
  <c r="BD29" i="18"/>
  <c r="AY29" i="18" s="1"/>
  <c r="BD37" i="18"/>
  <c r="BE37" i="18" s="1"/>
  <c r="BD38" i="18"/>
  <c r="AY38" i="18" s="1"/>
  <c r="BD42" i="18"/>
  <c r="BE42" i="18" s="1"/>
  <c r="BD45" i="18"/>
  <c r="AY45" i="18" s="1"/>
  <c r="BD47" i="18"/>
  <c r="BE47" i="18" s="1"/>
  <c r="BD52" i="18"/>
  <c r="AY52" i="18" s="1"/>
  <c r="BD54" i="18"/>
  <c r="AY54" i="18" s="1"/>
  <c r="BD55" i="18"/>
  <c r="AY55" i="18" s="1"/>
  <c r="BB38" i="18" l="1"/>
  <c r="BB19" i="18"/>
  <c r="BB11" i="18"/>
  <c r="BB52" i="18"/>
  <c r="BB55" i="18"/>
  <c r="BB45" i="18"/>
  <c r="BB29" i="18"/>
  <c r="BB13" i="18"/>
  <c r="BB54" i="18"/>
  <c r="BE45" i="18"/>
  <c r="BR45" i="18" s="1"/>
  <c r="BE52" i="18"/>
  <c r="BE19" i="18"/>
  <c r="BR19" i="18" s="1"/>
  <c r="BE13" i="18"/>
  <c r="BR13" i="18" s="1"/>
  <c r="BE55" i="18"/>
  <c r="BE29" i="18"/>
  <c r="BE38" i="18"/>
  <c r="BR38" i="18" s="1"/>
  <c r="BE11" i="18"/>
  <c r="BR11" i="18" s="1"/>
  <c r="BW38" i="18"/>
  <c r="BX38" i="18" s="1"/>
  <c r="BY38" i="18" s="1"/>
  <c r="BW11" i="18"/>
  <c r="BX11" i="18" s="1"/>
  <c r="BY11" i="18" s="1"/>
  <c r="BE54" i="18"/>
  <c r="BR54" i="18" s="1"/>
  <c r="BW52" i="18"/>
  <c r="BX52" i="18" s="1"/>
  <c r="BY52" i="18" s="1"/>
  <c r="BW45" i="18"/>
  <c r="BX45" i="18" s="1"/>
  <c r="BY45" i="18" s="1"/>
  <c r="BW13" i="18"/>
  <c r="BX13" i="18" s="1"/>
  <c r="BY13" i="18" s="1"/>
  <c r="BW54" i="18"/>
  <c r="BX54" i="18" s="1"/>
  <c r="BY54" i="18" s="1"/>
  <c r="BW19" i="18"/>
  <c r="BX19" i="18" s="1"/>
  <c r="BY19" i="18" s="1"/>
  <c r="BW55" i="18"/>
  <c r="BX55" i="18" s="1"/>
  <c r="BY55" i="18" s="1"/>
  <c r="BW29" i="18"/>
  <c r="BX29" i="18" s="1"/>
  <c r="BY29" i="18" s="1"/>
  <c r="AY47" i="18"/>
  <c r="AY42" i="18"/>
  <c r="BC42" i="18" s="1"/>
  <c r="AY37" i="18"/>
  <c r="BC37" i="18" s="1"/>
  <c r="AY21" i="18"/>
  <c r="BC21" i="18" s="1"/>
  <c r="AY16" i="18"/>
  <c r="BC16" i="18" s="1"/>
  <c r="AY12" i="18"/>
  <c r="BC12" i="18" s="1"/>
  <c r="AY9" i="18"/>
  <c r="BC9" i="18" s="1"/>
  <c r="BC47" i="18" l="1"/>
  <c r="AZ1" i="18"/>
  <c r="J30" i="20" s="1"/>
  <c r="BC13" i="18"/>
  <c r="BP13" i="18" s="1"/>
  <c r="BC45" i="18"/>
  <c r="BP45" i="18" s="1"/>
  <c r="BC52" i="18"/>
  <c r="BP52" i="18" s="1"/>
  <c r="BC19" i="18"/>
  <c r="BP19" i="18" s="1"/>
  <c r="BC54" i="18"/>
  <c r="BP54" i="18" s="1"/>
  <c r="BC29" i="18"/>
  <c r="BP29" i="18" s="1"/>
  <c r="BC55" i="18"/>
  <c r="BP55" i="18" s="1"/>
  <c r="BC11" i="18"/>
  <c r="BP11" i="18" s="1"/>
  <c r="BC38" i="18"/>
  <c r="BP38" i="18" s="1"/>
  <c r="BR29" i="18"/>
  <c r="BS29" i="18" s="1"/>
  <c r="BQ29" i="18" s="1"/>
  <c r="BR52" i="18"/>
  <c r="BS52" i="18" s="1"/>
  <c r="BQ52" i="18" s="1"/>
  <c r="BR55" i="18"/>
  <c r="BS54" i="18"/>
  <c r="BQ54" i="18" s="1"/>
  <c r="BR9" i="18"/>
  <c r="BW9" i="18"/>
  <c r="BX9" i="18" s="1"/>
  <c r="L24" i="20"/>
  <c r="L25" i="20" s="1"/>
  <c r="J35" i="20"/>
  <c r="J15" i="24"/>
  <c r="M15" i="24" s="1"/>
  <c r="E118" i="19"/>
  <c r="G5" i="21" s="1"/>
  <c r="H30" i="23"/>
  <c r="K30" i="23" s="1"/>
  <c r="E116" i="19"/>
  <c r="H14" i="24"/>
  <c r="K12" i="20"/>
  <c r="K15" i="20"/>
  <c r="K33" i="20"/>
  <c r="F10" i="19"/>
  <c r="F11" i="19" s="1"/>
  <c r="F50" i="19"/>
  <c r="F51" i="19" s="1"/>
  <c r="F70" i="19"/>
  <c r="F71" i="19" s="1"/>
  <c r="F90" i="19"/>
  <c r="F91" i="19" s="1"/>
  <c r="F110" i="19"/>
  <c r="F111" i="19" s="1"/>
  <c r="I14" i="24"/>
  <c r="E50" i="19"/>
  <c r="E120" i="19"/>
  <c r="J18" i="20"/>
  <c r="E30" i="23"/>
  <c r="H32" i="23"/>
  <c r="J16" i="24"/>
  <c r="K24" i="20"/>
  <c r="J9" i="20"/>
  <c r="J36" i="20"/>
  <c r="J14" i="24"/>
  <c r="M14" i="24" s="1"/>
  <c r="E30" i="19"/>
  <c r="E80" i="19"/>
  <c r="E110" i="19"/>
  <c r="E32" i="23"/>
  <c r="D35" i="23" s="1"/>
  <c r="L12" i="20"/>
  <c r="L13" i="20" s="1"/>
  <c r="K6" i="20"/>
  <c r="K27" i="20"/>
  <c r="F20" i="19"/>
  <c r="F21" i="19" s="1"/>
  <c r="F80" i="19"/>
  <c r="F81" i="19" s="1"/>
  <c r="F100" i="19"/>
  <c r="F101" i="19" s="1"/>
  <c r="L3" i="20"/>
  <c r="L15" i="20"/>
  <c r="L16" i="20" s="1"/>
  <c r="L21" i="20"/>
  <c r="L22" i="20" s="1"/>
  <c r="BP9" i="18"/>
  <c r="J15" i="20"/>
  <c r="J37" i="20"/>
  <c r="E10" i="19"/>
  <c r="E60" i="19"/>
  <c r="E90" i="19"/>
  <c r="F30" i="23"/>
  <c r="I10" i="21"/>
  <c r="F32" i="23"/>
  <c r="I32" i="23" s="1"/>
  <c r="I15" i="24"/>
  <c r="K30" i="20"/>
  <c r="L27" i="20"/>
  <c r="L28" i="20" s="1"/>
  <c r="L33" i="20"/>
  <c r="L34" i="20" s="1"/>
  <c r="G110" i="19"/>
  <c r="G111" i="19" s="1"/>
  <c r="G50" i="19"/>
  <c r="G51" i="19" s="1"/>
  <c r="G20" i="19"/>
  <c r="G21" i="19" s="1"/>
  <c r="G30" i="23"/>
  <c r="G16" i="24"/>
  <c r="E31" i="23"/>
  <c r="D26" i="23" s="1"/>
  <c r="G100" i="19"/>
  <c r="G101" i="19" s="1"/>
  <c r="G14" i="24"/>
  <c r="F31" i="23"/>
  <c r="BB9" i="18"/>
  <c r="K35" i="23"/>
  <c r="G40" i="19"/>
  <c r="G41" i="19" s="1"/>
  <c r="L6" i="20"/>
  <c r="L7" i="20" s="1"/>
  <c r="L30" i="20"/>
  <c r="L31" i="20" s="1"/>
  <c r="G90" i="19"/>
  <c r="G91" i="19" s="1"/>
  <c r="G31" i="23"/>
  <c r="F50" i="21"/>
  <c r="G32" i="23"/>
  <c r="J32" i="23" s="1"/>
  <c r="D44" i="23" s="1"/>
  <c r="G18" i="24"/>
  <c r="K3" i="20"/>
  <c r="G80" i="19"/>
  <c r="G81" i="19" s="1"/>
  <c r="G10" i="19"/>
  <c r="G11" i="19" s="1"/>
  <c r="K21" i="20"/>
  <c r="F40" i="19"/>
  <c r="F41" i="19" s="1"/>
  <c r="G70" i="19"/>
  <c r="G71" i="19" s="1"/>
  <c r="G15" i="24"/>
  <c r="H31" i="23"/>
  <c r="K31" i="23" s="1"/>
  <c r="F10" i="21"/>
  <c r="D3" i="23" s="1"/>
  <c r="BR21" i="18"/>
  <c r="BW21" i="18"/>
  <c r="BX21" i="18" s="1"/>
  <c r="BY21" i="18" s="1"/>
  <c r="BP21" i="18"/>
  <c r="BB21" i="18"/>
  <c r="BS19" i="18"/>
  <c r="BQ19" i="18" s="1"/>
  <c r="BS11" i="18"/>
  <c r="BQ11" i="18" s="1"/>
  <c r="BS45" i="18"/>
  <c r="BQ45" i="18" s="1"/>
  <c r="BR42" i="18"/>
  <c r="BW42" i="18"/>
  <c r="BX42" i="18" s="1"/>
  <c r="BY42" i="18" s="1"/>
  <c r="BP42" i="18"/>
  <c r="BB42" i="18"/>
  <c r="BS13" i="18"/>
  <c r="BQ13" i="18" s="1"/>
  <c r="BR37" i="18"/>
  <c r="BW37" i="18"/>
  <c r="BX37" i="18" s="1"/>
  <c r="BY37" i="18" s="1"/>
  <c r="BP37" i="18"/>
  <c r="BB37" i="18"/>
  <c r="BS55" i="18"/>
  <c r="BQ55" i="18" s="1"/>
  <c r="BR12" i="18"/>
  <c r="BW12" i="18"/>
  <c r="BX12" i="18" s="1"/>
  <c r="BY12" i="18" s="1"/>
  <c r="BP12" i="18"/>
  <c r="I16" i="24" s="1"/>
  <c r="BB12" i="18"/>
  <c r="BR16" i="18"/>
  <c r="BW16" i="18"/>
  <c r="BX16" i="18" s="1"/>
  <c r="BY16" i="18" s="1"/>
  <c r="BP16" i="18"/>
  <c r="BB16" i="18"/>
  <c r="BR47" i="18"/>
  <c r="BW47" i="18"/>
  <c r="BX47" i="18" s="1"/>
  <c r="BY47" i="18" s="1"/>
  <c r="BP47" i="18"/>
  <c r="BB47" i="18"/>
  <c r="BS38" i="18"/>
  <c r="BQ38" i="18" s="1"/>
  <c r="L15" i="24" l="1"/>
  <c r="J30" i="23"/>
  <c r="E100" i="19"/>
  <c r="J33" i="20"/>
  <c r="E20" i="19"/>
  <c r="E70" i="19"/>
  <c r="J3" i="20"/>
  <c r="J27" i="20"/>
  <c r="E40" i="19"/>
  <c r="I30" i="23"/>
  <c r="J24" i="20"/>
  <c r="J21" i="20"/>
  <c r="J12" i="20"/>
  <c r="I8" i="24" s="1" a="1"/>
  <c r="I8" i="24" s="1"/>
  <c r="E39" i="19"/>
  <c r="J2" i="20"/>
  <c r="J26" i="20"/>
  <c r="J11" i="20"/>
  <c r="I7" i="24" s="1" a="1"/>
  <c r="I7" i="24" s="1"/>
  <c r="G13" i="23" s="1"/>
  <c r="J17" i="20"/>
  <c r="J19" i="20" s="1"/>
  <c r="E9" i="19"/>
  <c r="E11" i="19" s="1"/>
  <c r="E29" i="19"/>
  <c r="E31" i="19" s="1"/>
  <c r="J29" i="20"/>
  <c r="D29" i="20" s="1"/>
  <c r="E69" i="19"/>
  <c r="J14" i="20"/>
  <c r="J16" i="20" s="1"/>
  <c r="J23" i="20"/>
  <c r="D23" i="20" s="1"/>
  <c r="E109" i="19"/>
  <c r="E111" i="19" s="1"/>
  <c r="E89" i="19"/>
  <c r="E91" i="19" s="1"/>
  <c r="E19" i="19"/>
  <c r="E59" i="19"/>
  <c r="E61" i="19" s="1"/>
  <c r="E99" i="19"/>
  <c r="J5" i="20"/>
  <c r="J32" i="20"/>
  <c r="J20" i="20"/>
  <c r="E79" i="19"/>
  <c r="E81" i="19" s="1"/>
  <c r="E49" i="19"/>
  <c r="E51" i="19" s="1"/>
  <c r="J8" i="20"/>
  <c r="J10" i="20" s="1"/>
  <c r="J6" i="20"/>
  <c r="M12" i="20"/>
  <c r="F12" i="20" s="1"/>
  <c r="D36" i="23"/>
  <c r="H10" i="21"/>
  <c r="K10" i="21" s="1"/>
  <c r="I18" i="24"/>
  <c r="I55" i="25" s="1"/>
  <c r="BT45" i="18"/>
  <c r="BT55" i="18"/>
  <c r="BT29" i="18"/>
  <c r="K14" i="24"/>
  <c r="BT38" i="18"/>
  <c r="BT13" i="18"/>
  <c r="K18" i="20"/>
  <c r="E17" i="20" s="1"/>
  <c r="F60" i="19"/>
  <c r="F61" i="19" s="1"/>
  <c r="G55" i="19" s="1"/>
  <c r="D6" i="25"/>
  <c r="B4" i="25"/>
  <c r="C19" i="25"/>
  <c r="E15" i="27"/>
  <c r="D55" i="25"/>
  <c r="B17" i="25"/>
  <c r="B15" i="27"/>
  <c r="F1" i="24"/>
  <c r="K31" i="20"/>
  <c r="E29" i="20"/>
  <c r="N30" i="20"/>
  <c r="M30" i="20"/>
  <c r="F30" i="20" s="1"/>
  <c r="BS47" i="18"/>
  <c r="BQ47" i="18" s="1"/>
  <c r="BS12" i="18"/>
  <c r="BT12" i="18" s="1"/>
  <c r="BT52" i="18"/>
  <c r="K9" i="20"/>
  <c r="J8" i="24" s="1" a="1"/>
  <c r="J8" i="24" s="1"/>
  <c r="G95" i="19"/>
  <c r="G103" i="19"/>
  <c r="E26" i="20"/>
  <c r="N27" i="20"/>
  <c r="M27" i="20"/>
  <c r="F27" i="20" s="1"/>
  <c r="K28" i="20"/>
  <c r="BS16" i="18"/>
  <c r="BQ16" i="18" s="1"/>
  <c r="BT11" i="18"/>
  <c r="BT19" i="18"/>
  <c r="K22" i="20"/>
  <c r="N21" i="20"/>
  <c r="M21" i="20"/>
  <c r="F21" i="20" s="1"/>
  <c r="E20" i="20"/>
  <c r="K4" i="20"/>
  <c r="E2" i="20"/>
  <c r="N3" i="20"/>
  <c r="M3" i="20"/>
  <c r="F3" i="20" s="1"/>
  <c r="J31" i="23"/>
  <c r="I31" i="23"/>
  <c r="G83" i="19"/>
  <c r="G75" i="19"/>
  <c r="K7" i="20"/>
  <c r="E5" i="20"/>
  <c r="N6" i="20"/>
  <c r="M6" i="20"/>
  <c r="F6" i="20" s="1"/>
  <c r="D45" i="23"/>
  <c r="D27" i="23"/>
  <c r="D37" i="23"/>
  <c r="M16" i="24"/>
  <c r="L14" i="24"/>
  <c r="G113" i="19"/>
  <c r="G105" i="19"/>
  <c r="G5" i="19"/>
  <c r="G13" i="19"/>
  <c r="BX90" i="18"/>
  <c r="BY9" i="18"/>
  <c r="F30" i="19"/>
  <c r="F31" i="19" s="1"/>
  <c r="D34" i="23"/>
  <c r="K32" i="23"/>
  <c r="D43" i="23"/>
  <c r="G93" i="19"/>
  <c r="G85" i="19"/>
  <c r="E11" i="20"/>
  <c r="K13" i="20"/>
  <c r="N12" i="20"/>
  <c r="BS9" i="18"/>
  <c r="BT9" i="18" s="1"/>
  <c r="BR90" i="18"/>
  <c r="BS42" i="18"/>
  <c r="BQ42" i="18" s="1"/>
  <c r="G65" i="19"/>
  <c r="G73" i="19"/>
  <c r="K34" i="20"/>
  <c r="M33" i="20"/>
  <c r="F33" i="20" s="1"/>
  <c r="N33" i="20"/>
  <c r="E32" i="20"/>
  <c r="BT54" i="18"/>
  <c r="BS37" i="18"/>
  <c r="BQ37" i="18" s="1"/>
  <c r="BS21" i="18"/>
  <c r="BQ21" i="18" s="1"/>
  <c r="BP90" i="18"/>
  <c r="BP93" i="18" s="1"/>
  <c r="L4" i="20"/>
  <c r="G23" i="19"/>
  <c r="G15" i="19"/>
  <c r="G35" i="19"/>
  <c r="G43" i="19"/>
  <c r="E23" i="20"/>
  <c r="K25" i="20"/>
  <c r="N24" i="20"/>
  <c r="M24" i="20"/>
  <c r="F24" i="20" s="1"/>
  <c r="G53" i="19"/>
  <c r="G45" i="19"/>
  <c r="E14" i="20"/>
  <c r="K16" i="20"/>
  <c r="M15" i="20"/>
  <c r="F15" i="20" s="1"/>
  <c r="N15" i="20"/>
  <c r="L16" i="24"/>
  <c r="F5" i="24"/>
  <c r="D11" i="23" s="1"/>
  <c r="BC90" i="18"/>
  <c r="E101" i="19" l="1"/>
  <c r="D32" i="20"/>
  <c r="D34" i="20" s="1"/>
  <c r="E71" i="19"/>
  <c r="E41" i="19"/>
  <c r="J4" i="20"/>
  <c r="D26" i="20"/>
  <c r="E21" i="19"/>
  <c r="D17" i="20"/>
  <c r="J28" i="20"/>
  <c r="D14" i="20"/>
  <c r="D20" i="20"/>
  <c r="D21" i="20" s="1"/>
  <c r="J13" i="20"/>
  <c r="D11" i="20"/>
  <c r="J39" i="20"/>
  <c r="J31" i="20"/>
  <c r="J25" i="20"/>
  <c r="D2" i="20"/>
  <c r="I9" i="24"/>
  <c r="G14" i="23"/>
  <c r="G15" i="23" s="1"/>
  <c r="D2" i="23" s="1"/>
  <c r="J22" i="20"/>
  <c r="J34" i="20"/>
  <c r="J38" i="20"/>
  <c r="J40" i="20" s="1"/>
  <c r="G41" i="20" s="1"/>
  <c r="G44" i="20" s="1"/>
  <c r="D8" i="20"/>
  <c r="D9" i="20" s="1"/>
  <c r="D5" i="20"/>
  <c r="D6" i="20" s="1"/>
  <c r="J7" i="20"/>
  <c r="H14" i="23"/>
  <c r="M8" i="24"/>
  <c r="M9" i="24" s="1"/>
  <c r="J9" i="24"/>
  <c r="G122" i="19"/>
  <c r="N18" i="20"/>
  <c r="K19" i="20"/>
  <c r="N19" i="20" s="1"/>
  <c r="K39" i="20"/>
  <c r="N39" i="20" s="1"/>
  <c r="E15" i="20"/>
  <c r="E16" i="20"/>
  <c r="D19" i="20"/>
  <c r="D18" i="20"/>
  <c r="D27" i="20"/>
  <c r="D28" i="20"/>
  <c r="M16" i="20"/>
  <c r="F16" i="20" s="1"/>
  <c r="N16" i="20"/>
  <c r="BT37" i="18"/>
  <c r="N34" i="20"/>
  <c r="M34" i="20"/>
  <c r="F34" i="20" s="1"/>
  <c r="D12" i="20"/>
  <c r="D13" i="20"/>
  <c r="M7" i="20"/>
  <c r="F7" i="20" s="1"/>
  <c r="N7" i="20"/>
  <c r="E4" i="20"/>
  <c r="E3" i="20"/>
  <c r="BT16" i="18"/>
  <c r="N28" i="20"/>
  <c r="M28" i="20"/>
  <c r="F28" i="20" s="1"/>
  <c r="E8" i="20"/>
  <c r="K10" i="20"/>
  <c r="N9" i="20"/>
  <c r="BT47" i="18"/>
  <c r="N31" i="20"/>
  <c r="M31" i="20"/>
  <c r="F31" i="20" s="1"/>
  <c r="E18" i="20"/>
  <c r="E19" i="20"/>
  <c r="BY90" i="18"/>
  <c r="BX91" i="18"/>
  <c r="D25" i="20"/>
  <c r="E49" i="20" s="1"/>
  <c r="D24" i="20"/>
  <c r="M4" i="20"/>
  <c r="F4" i="20" s="1"/>
  <c r="N4" i="20"/>
  <c r="M22" i="20"/>
  <c r="F22" i="20" s="1"/>
  <c r="N22" i="20"/>
  <c r="BP94" i="18"/>
  <c r="BP99" i="18"/>
  <c r="G25" i="19"/>
  <c r="E24" i="20"/>
  <c r="E25" i="20"/>
  <c r="C49" i="20" s="1"/>
  <c r="BT21" i="18"/>
  <c r="BT42" i="18"/>
  <c r="BQ9" i="18"/>
  <c r="BS90" i="18"/>
  <c r="BT90" i="18" s="1"/>
  <c r="L18" i="20"/>
  <c r="G60" i="19"/>
  <c r="G61" i="19" s="1"/>
  <c r="G63" i="19" s="1"/>
  <c r="K38" i="20"/>
  <c r="E22" i="20"/>
  <c r="E21" i="20"/>
  <c r="M25" i="20"/>
  <c r="F25" i="20" s="1"/>
  <c r="D49" i="20" s="1"/>
  <c r="D48" i="20" s="1"/>
  <c r="N25" i="20"/>
  <c r="E34" i="20"/>
  <c r="E33" i="20"/>
  <c r="E12" i="20"/>
  <c r="E13" i="20"/>
  <c r="D3" i="20"/>
  <c r="D4" i="20"/>
  <c r="M13" i="20"/>
  <c r="F13" i="20" s="1"/>
  <c r="N13" i="20"/>
  <c r="D16" i="20"/>
  <c r="D15" i="20"/>
  <c r="D30" i="20"/>
  <c r="D31" i="20"/>
  <c r="E6" i="20"/>
  <c r="E7" i="20"/>
  <c r="E27" i="20"/>
  <c r="E28" i="20"/>
  <c r="BQ12" i="18"/>
  <c r="G30" i="19"/>
  <c r="G31" i="19" s="1"/>
  <c r="G33" i="19" s="1"/>
  <c r="E30" i="20"/>
  <c r="E31" i="20"/>
  <c r="D33" i="20" l="1"/>
  <c r="D22" i="20"/>
  <c r="E123" i="19"/>
  <c r="D7" i="20"/>
  <c r="D10" i="20"/>
  <c r="F4" i="24"/>
  <c r="D10" i="23" s="1"/>
  <c r="L9" i="20"/>
  <c r="L10" i="20" s="1"/>
  <c r="M10" i="20" s="1"/>
  <c r="F10" i="20" s="1"/>
  <c r="H16" i="24"/>
  <c r="K16" i="24" s="1"/>
  <c r="G10" i="21"/>
  <c r="J10" i="21" s="1"/>
  <c r="H18" i="24"/>
  <c r="G55" i="25" s="1"/>
  <c r="H15" i="24"/>
  <c r="K15" i="24" s="1"/>
  <c r="B2" i="24"/>
  <c r="F11" i="24"/>
  <c r="F19" i="24"/>
  <c r="K14" i="23"/>
  <c r="H15" i="23"/>
  <c r="K40" i="20"/>
  <c r="H29" i="19"/>
  <c r="H80" i="19"/>
  <c r="H70" i="19"/>
  <c r="H99" i="19"/>
  <c r="H90" i="19"/>
  <c r="H40" i="19"/>
  <c r="H49" i="19"/>
  <c r="H20" i="19"/>
  <c r="H109" i="19"/>
  <c r="F49" i="20"/>
  <c r="G48" i="20" s="1"/>
  <c r="H19" i="19"/>
  <c r="H89" i="19"/>
  <c r="H10" i="19"/>
  <c r="H50" i="19"/>
  <c r="H100" i="19"/>
  <c r="H110" i="19"/>
  <c r="H39" i="19"/>
  <c r="H60" i="19"/>
  <c r="H9" i="19"/>
  <c r="H59" i="19"/>
  <c r="H69" i="19"/>
  <c r="H79" i="19"/>
  <c r="H30" i="19"/>
  <c r="L39" i="20"/>
  <c r="M39" i="20" s="1"/>
  <c r="L19" i="20"/>
  <c r="M19" i="20" s="1"/>
  <c r="F19" i="20" s="1"/>
  <c r="M18" i="20"/>
  <c r="F18" i="20" s="1"/>
  <c r="E10" i="20"/>
  <c r="F7" i="21" s="1"/>
  <c r="E9" i="20"/>
  <c r="G43" i="20"/>
  <c r="G49" i="20"/>
  <c r="N38" i="20"/>
  <c r="BQ90" i="18"/>
  <c r="BQ93" i="18" s="1"/>
  <c r="J17" i="24"/>
  <c r="J18" i="24" s="1"/>
  <c r="BF92" i="18"/>
  <c r="J25" i="24"/>
  <c r="BP95" i="18"/>
  <c r="N10" i="20"/>
  <c r="H71" i="19" l="1"/>
  <c r="H41" i="19"/>
  <c r="H81" i="19"/>
  <c r="L38" i="20"/>
  <c r="M38" i="20" s="1"/>
  <c r="H91" i="19"/>
  <c r="H21" i="19"/>
  <c r="M9" i="20"/>
  <c r="F9" i="20" s="1"/>
  <c r="K8" i="24" a="1"/>
  <c r="K8" i="24" s="1"/>
  <c r="M18" i="24"/>
  <c r="F34" i="24"/>
  <c r="H11" i="19"/>
  <c r="H61" i="19"/>
  <c r="D16" i="23"/>
  <c r="F10" i="24"/>
  <c r="H101" i="19"/>
  <c r="N40" i="20"/>
  <c r="G46" i="20"/>
  <c r="B4" i="24"/>
  <c r="E20" i="25"/>
  <c r="B3" i="24"/>
  <c r="J55" i="25"/>
  <c r="E29" i="25"/>
  <c r="E26" i="25"/>
  <c r="B17" i="27"/>
  <c r="K18" i="24"/>
  <c r="J32" i="24" s="1"/>
  <c r="L18" i="24"/>
  <c r="BQ99" i="18"/>
  <c r="BQ94" i="18"/>
  <c r="BP96" i="18"/>
  <c r="BP97" i="18" s="1"/>
  <c r="H51" i="19"/>
  <c r="H111" i="19"/>
  <c r="H31" i="19"/>
  <c r="I14" i="23" l="1"/>
  <c r="K9" i="24"/>
  <c r="L9" i="24" s="1"/>
  <c r="L8" i="24"/>
  <c r="BP98" i="18"/>
  <c r="BP100" i="18" s="1"/>
  <c r="BP101" i="18" s="1"/>
  <c r="F31" i="24"/>
  <c r="BQ95" i="18"/>
  <c r="F28" i="27"/>
  <c r="L55" i="25"/>
  <c r="E17" i="27"/>
  <c r="K42" i="24"/>
  <c r="K43" i="24" s="1"/>
  <c r="C3" i="24"/>
  <c r="I15" i="23" l="1"/>
  <c r="J15" i="23" s="1"/>
  <c r="J14" i="23"/>
  <c r="F3" i="24"/>
  <c r="F46" i="24"/>
  <c r="BQ96" i="18"/>
  <c r="BQ97" i="18" s="1"/>
  <c r="BQ98" i="18" l="1"/>
  <c r="BQ100" i="18" s="1"/>
  <c r="BQ101" i="18" s="1"/>
</calcChain>
</file>

<file path=xl/sharedStrings.xml><?xml version="1.0" encoding="utf-8"?>
<sst xmlns="http://schemas.openxmlformats.org/spreadsheetml/2006/main" count="1969" uniqueCount="847">
  <si>
    <t>DESCRIPTION</t>
  </si>
  <si>
    <t>RFQ DETAILS</t>
  </si>
  <si>
    <t xml:space="preserve">Aviation Equipment </t>
  </si>
  <si>
    <t>L1 DETAILS</t>
  </si>
  <si>
    <t>ESTIMATION DETAILS</t>
  </si>
  <si>
    <t>PRICE ANALYSIS</t>
  </si>
  <si>
    <t>Sl 
No</t>
  </si>
  <si>
    <t>IND. Sl. No.</t>
  </si>
  <si>
    <t>PART NO</t>
  </si>
  <si>
    <t xml:space="preserve">QTY </t>
  </si>
  <si>
    <t>QTY</t>
  </si>
  <si>
    <t>Total Price
(USD)</t>
  </si>
  <si>
    <t>L1   
AGENCY</t>
  </si>
  <si>
    <t>OFFER 
TYPE</t>
  </si>
  <si>
    <t>Total L1 
 PRICE (USD)</t>
  </si>
  <si>
    <t>REF 
SA</t>
  </si>
  <si>
    <t>REF 
SA 
Date</t>
  </si>
  <si>
    <t>Total</t>
  </si>
  <si>
    <t>HEADING</t>
  </si>
  <si>
    <t>Stage</t>
  </si>
  <si>
    <t>File number</t>
  </si>
  <si>
    <t xml:space="preserve">Indent NO </t>
  </si>
  <si>
    <t>Indent Date</t>
  </si>
  <si>
    <t>Project</t>
  </si>
  <si>
    <t>Type of File</t>
  </si>
  <si>
    <t>Tender Floated on Vendors</t>
  </si>
  <si>
    <t>Tender Opening date</t>
  </si>
  <si>
    <t>Reason for deletion of LInes</t>
  </si>
  <si>
    <t>TEC</t>
  </si>
  <si>
    <t>Conversion  1USD = INR</t>
  </si>
  <si>
    <t>Comm Offer Date</t>
  </si>
  <si>
    <t>Comm Offer Validity</t>
  </si>
  <si>
    <t>Delivery Schedule</t>
  </si>
  <si>
    <t>Negotiation Date</t>
  </si>
  <si>
    <t>Note Sheet</t>
  </si>
  <si>
    <t>Date</t>
  </si>
  <si>
    <t>N1</t>
  </si>
  <si>
    <t>N2</t>
  </si>
  <si>
    <t>N3</t>
  </si>
  <si>
    <t>N4</t>
  </si>
  <si>
    <t>E No</t>
  </si>
  <si>
    <t>RFQ</t>
  </si>
  <si>
    <t>Fleet</t>
  </si>
  <si>
    <t>TEC Letter No</t>
  </si>
  <si>
    <t>N5</t>
  </si>
  <si>
    <t>N6</t>
  </si>
  <si>
    <t>N7</t>
  </si>
  <si>
    <t>N8</t>
  </si>
  <si>
    <t>N9</t>
  </si>
  <si>
    <t>N10</t>
  </si>
  <si>
    <t>CST</t>
  </si>
  <si>
    <t>Comm Offer Letter No.</t>
  </si>
  <si>
    <t>Payment term</t>
  </si>
  <si>
    <t>PNC</t>
  </si>
  <si>
    <t>Non Deputation letter with date</t>
  </si>
  <si>
    <t>PP</t>
  </si>
  <si>
    <t>Purchase proposal No. (PP No)</t>
  </si>
  <si>
    <t>Draft Contract No</t>
  </si>
  <si>
    <t>Draft Contract Date</t>
  </si>
  <si>
    <t>Draft Contract Forwarding Letter No</t>
  </si>
  <si>
    <t>DC Forwarding Letter Date</t>
  </si>
  <si>
    <t>Bottom line Discount % (if Any)</t>
  </si>
  <si>
    <t>Avitronic Ltd, Russia</t>
  </si>
  <si>
    <t>SL
NO</t>
  </si>
  <si>
    <t>INDENT PART NO</t>
  </si>
  <si>
    <t>Ref Unit Basic Price (USD)</t>
  </si>
  <si>
    <t>Avi. Equip.</t>
  </si>
  <si>
    <t>Avitronic</t>
  </si>
  <si>
    <t>DGL</t>
  </si>
  <si>
    <t>IRAL</t>
  </si>
  <si>
    <t>STE</t>
  </si>
  <si>
    <t>Revised</t>
  </si>
  <si>
    <t xml:space="preserve">Unit
 Price
(USD) </t>
  </si>
  <si>
    <t>REF 
Unit 
Price
 (USD)</t>
  </si>
  <si>
    <t xml:space="preserve"> Offered Price w.r.t 
Est Price
 (in%)</t>
  </si>
  <si>
    <t>Vendor</t>
  </si>
  <si>
    <t>Upto</t>
  </si>
  <si>
    <t>DP1</t>
  </si>
  <si>
    <t>DP2</t>
  </si>
  <si>
    <t>LLP REF SA Price</t>
  </si>
  <si>
    <t>LLP REF 
SA</t>
  </si>
  <si>
    <t>LLP REF 
SA 
Date</t>
  </si>
  <si>
    <t>Duty calculation under CTH  :88039000</t>
  </si>
  <si>
    <t>Assessable value (100% of import value)   (A X 100% in INR) =(B)</t>
  </si>
  <si>
    <t xml:space="preserve">Basic Custom Duty @ 10% on assassable value   (B X 10%) =(C) </t>
  </si>
  <si>
    <t>Social Welfare Surcharge on Basic Cutom duty @ 10% on BCD   (C X 10%) =(D)</t>
  </si>
  <si>
    <t>IGST @ 5% on   (B+C+D) X 5%  =(E)</t>
  </si>
  <si>
    <t xml:space="preserve">Total Customs and other duties in INR   (C+D+E)  =(F) </t>
  </si>
  <si>
    <r>
      <t xml:space="preserve">F &amp; I (1.26% of BasicTotal Cost in INR)   (A X 1.26%) =(G)     
</t>
    </r>
    <r>
      <rPr>
        <sz val="12"/>
        <color theme="1"/>
        <rFont val="Arial"/>
        <family val="2"/>
      </rPr>
      <t>(For transport from Mumbai to Ojhar, Nasik. However payment will be made on actuals)</t>
    </r>
    <r>
      <rPr>
        <b/>
        <sz val="12"/>
        <color theme="1"/>
        <rFont val="Arial"/>
        <family val="2"/>
      </rPr>
      <t xml:space="preserve">  </t>
    </r>
  </si>
  <si>
    <t>Final Landed Cost in INR   (A+F+G)  =(H)</t>
  </si>
  <si>
    <t>Final Landed Cost in INR Lakhs    =(I)</t>
  </si>
  <si>
    <t>M. H. Kokitkar
DGM (IMM-O)</t>
  </si>
  <si>
    <t>S.D. Pande
AGM (IMM)-O</t>
  </si>
  <si>
    <t>Price Recoverability</t>
  </si>
  <si>
    <t>E1</t>
  </si>
  <si>
    <t>Price Level</t>
  </si>
  <si>
    <t>Due Date Ext Letter</t>
  </si>
  <si>
    <t>Approved upto</t>
  </si>
  <si>
    <t>80% within 30 days of receipt. Remaining 20% after acceptance but  within 45 days of receipt</t>
  </si>
  <si>
    <t>TO</t>
  </si>
  <si>
    <t>Tender Due Extension request letter</t>
  </si>
  <si>
    <t>Tender Extension request letter upto</t>
  </si>
  <si>
    <t>Negotiation approval notesheet</t>
  </si>
  <si>
    <t xml:space="preserve"> Basic Total Cost in INR @ 1USD = 75.64 INR  =(A) </t>
  </si>
  <si>
    <t>Revised INDENT QTY</t>
  </si>
  <si>
    <t>INDENT
QTY</t>
  </si>
  <si>
    <t>REF SA</t>
  </si>
  <si>
    <t>Ref. SA DATE</t>
  </si>
  <si>
    <t>Expenditure is fully recoverable in accordance with GOI, MOD letter No. Air HQ/95357/71/09-10/NSK/Fin P/AF/US(S)/D(Air-IV(I)/14 dated 12.09.2014, as applicable for BOI supplies against RMSO..</t>
  </si>
  <si>
    <t>Programme details (MFG/ROH/RMSO/ DRE/Others ):</t>
  </si>
  <si>
    <t>Year provisioned</t>
  </si>
  <si>
    <t>ROH</t>
  </si>
  <si>
    <t>Country</t>
  </si>
  <si>
    <t>INDIA</t>
  </si>
  <si>
    <t>APEX</t>
  </si>
  <si>
    <t>ADRYS Technologies (ADRYS)</t>
  </si>
  <si>
    <t>ADRYS</t>
  </si>
  <si>
    <t>AVIAZAPCHAST (AZP)</t>
  </si>
  <si>
    <t>AZP</t>
  </si>
  <si>
    <t>MiG/SUROH</t>
  </si>
  <si>
    <t>PIN</t>
  </si>
  <si>
    <t>PIPE</t>
  </si>
  <si>
    <t>SCREW</t>
  </si>
  <si>
    <t>DIODE</t>
  </si>
  <si>
    <t>TRANSISTOR</t>
  </si>
  <si>
    <t>CIRCUIT BREAKER</t>
  </si>
  <si>
    <t>SWITCH</t>
  </si>
  <si>
    <t>CAPACITOR</t>
  </si>
  <si>
    <t>RESISTOR</t>
  </si>
  <si>
    <t>CONTACTOR</t>
  </si>
  <si>
    <t>UNIT 08-01 TSG</t>
  </si>
  <si>
    <t>WAVEGUIDE</t>
  </si>
  <si>
    <t>CIRCULATOR</t>
  </si>
  <si>
    <t>Offer is valid for 120 days from the closing date of enquiry.</t>
  </si>
  <si>
    <t>100% payment within 30 days from the date of supply &amp; acceptance.</t>
  </si>
  <si>
    <t>UAC</t>
  </si>
  <si>
    <t>ESTIMATION DETAILS (LPP) if any</t>
  </si>
  <si>
    <t>APPROVED ESTIMATION DETAILS</t>
  </si>
  <si>
    <t>PRICE ANALYSIS AFTER PNC</t>
  </si>
  <si>
    <t xml:space="preserve">Revised QTY </t>
  </si>
  <si>
    <t xml:space="preserve">Unit Price
(USD) </t>
  </si>
  <si>
    <t>REF SA Price</t>
  </si>
  <si>
    <t xml:space="preserve"> Offered Price w.r.t Est Price (in%)</t>
  </si>
  <si>
    <t>After PNC
Deleted</t>
  </si>
  <si>
    <t>Price Change</t>
  </si>
  <si>
    <t>IGST @ 18% on   (B+C+D) X 18%  =(E)</t>
  </si>
  <si>
    <t>SUMMARY OF L-1 Offers</t>
  </si>
  <si>
    <t>Landed Cost in Rs.</t>
  </si>
  <si>
    <t>Lakh</t>
  </si>
  <si>
    <t>Total offered lines</t>
  </si>
  <si>
    <t>SL NO</t>
  </si>
  <si>
    <t>NO. OF OFFER TYPE</t>
  </si>
  <si>
    <t>More than 0% Lines</t>
  </si>
  <si>
    <t>SINGLE</t>
  </si>
  <si>
    <t>MULTIPLE</t>
  </si>
  <si>
    <t>TOTAL</t>
  </si>
  <si>
    <t>NO OFFER</t>
  </si>
  <si>
    <t>DELETED</t>
  </si>
  <si>
    <t>INDG</t>
  </si>
  <si>
    <t>TOTAL NUMBER OF LINES :-</t>
  </si>
  <si>
    <t>Line</t>
  </si>
  <si>
    <t>L1</t>
  </si>
  <si>
    <t>L1 Value</t>
  </si>
  <si>
    <t>L1 %</t>
  </si>
  <si>
    <t>Supplier</t>
  </si>
  <si>
    <t>Number of lines offered</t>
  </si>
  <si>
    <t>Type of Offer</t>
  </si>
  <si>
    <t>Number of           L-1 lines</t>
  </si>
  <si>
    <t>Total Offer Value (USD)</t>
  </si>
  <si>
    <t>Total Offer Value w.r.t. Est. Value by (%)</t>
  </si>
  <si>
    <t>Single</t>
  </si>
  <si>
    <t>Multiple</t>
  </si>
  <si>
    <t>Sub Total</t>
  </si>
  <si>
    <t>--</t>
  </si>
  <si>
    <t>Value</t>
  </si>
  <si>
    <t>Lines</t>
  </si>
  <si>
    <t>More</t>
  </si>
  <si>
    <t>N/E</t>
  </si>
  <si>
    <t>Nego</t>
  </si>
  <si>
    <t>Background</t>
  </si>
  <si>
    <t>DP3</t>
  </si>
  <si>
    <t>General</t>
  </si>
  <si>
    <t>PP/PNC</t>
  </si>
  <si>
    <t>After PNC</t>
  </si>
  <si>
    <t>No of lines</t>
  </si>
  <si>
    <t>HAL Estimates in USD</t>
  </si>
  <si>
    <t>Original offer in USD</t>
  </si>
  <si>
    <t>Offer after Negotiation</t>
  </si>
  <si>
    <t>Offer w.r.t. Estimates in %</t>
  </si>
  <si>
    <t>Savings in USD</t>
  </si>
  <si>
    <t>(A)</t>
  </si>
  <si>
    <t>(B)</t>
  </si>
  <si>
    <t>(C)</t>
  </si>
  <si>
    <t>D=(C-A)/A</t>
  </si>
  <si>
    <t>(E= B-C)</t>
  </si>
  <si>
    <t>PP LPP</t>
  </si>
  <si>
    <t xml:space="preserve">It is to be noted that while approval of provisioning CFA has made the following remarks: “The price reference of sources other than ROE may be used while evaluating quotes.” </t>
  </si>
  <si>
    <t>Comm Eval</t>
  </si>
  <si>
    <t>Tender Due Extension</t>
  </si>
  <si>
    <t xml:space="preserve">Avitronic Ltd, Russia </t>
  </si>
  <si>
    <t>Tender Extension upto</t>
  </si>
  <si>
    <t>Non Deputation Letter/Draft Cont</t>
  </si>
  <si>
    <t xml:space="preserve">Letter No </t>
  </si>
  <si>
    <t>Bottom line Discount %</t>
  </si>
  <si>
    <t>IRAL Draft</t>
  </si>
  <si>
    <t>PP No</t>
  </si>
  <si>
    <t>RFQ Clause</t>
  </si>
  <si>
    <t>Brief Summary of RFQ Clause</t>
  </si>
  <si>
    <t xml:space="preserve">Vendor Offer Reference No. </t>
  </si>
  <si>
    <t>Free from correction</t>
  </si>
  <si>
    <t>Yes</t>
  </si>
  <si>
    <t>PRICE</t>
  </si>
  <si>
    <t>HAL indent position number indicated</t>
  </si>
  <si>
    <t>Not Specifically mentioned</t>
  </si>
  <si>
    <t>Discount (conditional/ unconditional)</t>
  </si>
  <si>
    <t>QUALITY</t>
  </si>
  <si>
    <t xml:space="preserve">PAYMENT </t>
  </si>
  <si>
    <t>DELIVERY</t>
  </si>
  <si>
    <t>CIP Mumbai</t>
  </si>
  <si>
    <t>LD Clause</t>
  </si>
  <si>
    <t>WARRANTY</t>
  </si>
  <si>
    <t>12 Months from the date of delivery.</t>
  </si>
  <si>
    <t>OTHER  CONDITIONS</t>
  </si>
  <si>
    <t>Immunity to Government of India</t>
  </si>
  <si>
    <t>Fall Clause</t>
  </si>
  <si>
    <t>Confidentiality</t>
  </si>
  <si>
    <t>Repeat Order</t>
  </si>
  <si>
    <t>Settlement of dispute</t>
  </si>
  <si>
    <t>PNC RECOMMENDATIONS</t>
  </si>
  <si>
    <t xml:space="preserve">Division: AOD Nasik </t>
  </si>
  <si>
    <t>ITEM DESCRIPTION</t>
  </si>
  <si>
    <t>APPROVAL REFERENCE AND PNC MEMBERS</t>
  </si>
  <si>
    <t xml:space="preserve">GM (AOD) </t>
  </si>
  <si>
    <t>:</t>
  </si>
  <si>
    <t>Head of Division-Chairman of PNC</t>
  </si>
  <si>
    <t>AGM (F)-Mig Complex</t>
  </si>
  <si>
    <t>Head of Complex Finance</t>
  </si>
  <si>
    <t>AGM (FIN-OH)</t>
  </si>
  <si>
    <t>Head of Divisional Finance</t>
  </si>
  <si>
    <t>AGM (IMM-OH)</t>
  </si>
  <si>
    <t>Head of IMM (Member Secretary)</t>
  </si>
  <si>
    <t>BACKGROUND OF PROPOSAL/ANALYSIS OF QUOTED PRICE</t>
  </si>
  <si>
    <t>Total Est Value (USD)</t>
  </si>
  <si>
    <t>PROGRESS OF NEGOTIATION</t>
  </si>
  <si>
    <t>Prices:</t>
  </si>
  <si>
    <t>HAL informed that prices quoted for 24 lines are higher than the estimated prices of HAL and requested to reduce the prices. DGL reviewed the prices for all the lines and reduced the prices for 12 lines (Enclosed). Further HAL requested to provide more discount as the prices are still higher than the HAL expectations. DGL informed that the prices are best and final and further discount is possible only after discussions with OEMs. DGL will revert back by 23 Mar 2020 with revised prices. HAL agreed for the same</t>
  </si>
  <si>
    <t>Payment Terms:</t>
  </si>
  <si>
    <t>HAL requested IRAL that our standard payment term is direct payment only i.e. 100 % payment within 30 days after acceptance of items at Indian side. IRAL requested that payment to be made as mentioned in the offer i.e. 80 % within 30 days of receipt of items and balance 20% on inspection and acceptance but within 45 days of receipt. IRAL also informed that this is in line with previous contract signed with HAL. 
Both the sides agreed for the same.</t>
  </si>
  <si>
    <t>Delivery Term:</t>
  </si>
  <si>
    <t>As per RFQ delivery terms is CIP Mumbai, however IRAL has offered delivery terms as CIP / CIF Mumbai basis on signing of High Sea Sale Agreement by both the parties. Both the sides agreed for delivery terms as CIP / CIF Mumbai basis on signing of High Sea Sale Agreement.</t>
  </si>
  <si>
    <t>Other terms and conditions:</t>
  </si>
  <si>
    <t>FINAL OFFER AFTER                    NEGOTIATIONS</t>
  </si>
  <si>
    <t>Types of Offer</t>
  </si>
  <si>
    <t xml:space="preserve">OBSERVATIONS ON FINAL OFFER/ REASONS FOR ACCEPTANCE OF PROPOSAL. </t>
  </si>
  <si>
    <t>The estimates are based on the previous procurement from STE, IRAL, DGL etc and in the present proposal offer was also made by these suppliers but on exorbitantly higher prices  w.r.t. the previous procurement prices duly escalated.</t>
  </si>
  <si>
    <t xml:space="preserve">These lines are mandatory / high failure lines of RMAs and not indigenized at present.  </t>
  </si>
  <si>
    <t>SAVINGS/ ACHIEVEMENTS OF NEGOTIATION.</t>
  </si>
  <si>
    <t xml:space="preserve">RECOMMENDATIONS OF PNC </t>
  </si>
  <si>
    <t>Signature</t>
  </si>
  <si>
    <t>Designation</t>
  </si>
  <si>
    <t>S.D. Pande
AGM (IMM-OH)</t>
  </si>
  <si>
    <t>U.C. Mohanty 
AGM (Fin-OH)</t>
  </si>
  <si>
    <t>S.K. Mehta
GM (Fin-MiG Complex)</t>
  </si>
  <si>
    <t>Saket Chaturvedi
GM (AOD)</t>
  </si>
  <si>
    <t>Member Secretary</t>
  </si>
  <si>
    <t>Member Head of Divisional finance</t>
  </si>
  <si>
    <t>Member Head of Complex Finance</t>
  </si>
  <si>
    <t>Chairman 
Head of the Division</t>
  </si>
  <si>
    <t>DIVISION: AOD Nasik
MiG Complex</t>
  </si>
  <si>
    <t>Proposal</t>
  </si>
  <si>
    <t>Numbers of           L-1 lines</t>
  </si>
  <si>
    <t>Landed Cost</t>
  </si>
  <si>
    <t>E6</t>
  </si>
  <si>
    <t>Bottom line Discount in USD</t>
  </si>
  <si>
    <t>0.00%</t>
  </si>
  <si>
    <t>Provisioning</t>
  </si>
  <si>
    <t>Tendering</t>
  </si>
  <si>
    <t xml:space="preserve">Limited Tendering on Single Bid basis. </t>
  </si>
  <si>
    <t>Technical Evaluation</t>
  </si>
  <si>
    <t>Commercial Evaluation</t>
  </si>
  <si>
    <r>
      <t xml:space="preserve">CST &amp; commercial evaluation is placed at </t>
    </r>
    <r>
      <rPr>
        <b/>
        <sz val="11"/>
        <color theme="1"/>
        <rFont val="Times New Roman"/>
        <family val="1"/>
      </rPr>
      <t>E-8</t>
    </r>
    <r>
      <rPr>
        <sz val="11"/>
        <color theme="1"/>
        <rFont val="Times New Roman"/>
        <family val="1"/>
      </rPr>
      <t xml:space="preserve"> &amp; </t>
    </r>
    <r>
      <rPr>
        <b/>
        <sz val="11"/>
        <color theme="1"/>
        <rFont val="Times New Roman"/>
        <family val="1"/>
      </rPr>
      <t xml:space="preserve">E-9 </t>
    </r>
    <r>
      <rPr>
        <sz val="11"/>
        <color theme="1"/>
        <rFont val="Times New Roman"/>
        <family val="1"/>
      </rPr>
      <t>respectively.</t>
    </r>
  </si>
  <si>
    <t>Price Reasonability</t>
  </si>
  <si>
    <r>
      <t>Recommendation</t>
    </r>
    <r>
      <rPr>
        <u/>
        <sz val="11"/>
        <color theme="1"/>
        <rFont val="Times New Roman"/>
        <family val="1"/>
      </rPr>
      <t>:</t>
    </r>
  </si>
  <si>
    <t>Negotiation(if required)</t>
  </si>
  <si>
    <t>PNC Recommendation</t>
  </si>
  <si>
    <t>Delivery/Lead Time</t>
  </si>
  <si>
    <t>Payment Terms</t>
  </si>
  <si>
    <t>Performance Budget Reference</t>
  </si>
  <si>
    <t>Year</t>
  </si>
  <si>
    <t>BE 2019-20</t>
  </si>
  <si>
    <t>Head/category</t>
  </si>
  <si>
    <t xml:space="preserve">Procurement from CIS </t>
  </si>
  <si>
    <t>Budget Amt. Approved</t>
  </si>
  <si>
    <t>Rs.</t>
  </si>
  <si>
    <t>Lakhs</t>
  </si>
  <si>
    <t>Committed so far</t>
  </si>
  <si>
    <t>Commitment now proposed</t>
  </si>
  <si>
    <t>Balance after this</t>
  </si>
  <si>
    <t>Validity of offer</t>
  </si>
  <si>
    <t>Reference to DOP</t>
  </si>
  <si>
    <t>CFA as per applicable DoP-2018 clause Annexure III (c) 2 (b) is GM (AOD).</t>
  </si>
  <si>
    <t>Recommendation</t>
  </si>
  <si>
    <t>DIVISION</t>
  </si>
  <si>
    <t>ROUTING</t>
  </si>
  <si>
    <t>DEALING OFFICER</t>
  </si>
  <si>
    <t xml:space="preserve">HEAD OF PURCHASE </t>
  </si>
  <si>
    <t>HEAD OF IMM</t>
  </si>
  <si>
    <t>PREPARED BY</t>
  </si>
  <si>
    <t>SECTION HEAD</t>
  </si>
  <si>
    <t xml:space="preserve">SIGNATURE
NAME/
DESIGNATION </t>
  </si>
  <si>
    <t>ABHISHEK SWARNKAR 
SM (MPU)</t>
  </si>
  <si>
    <t>RAMESH HATHILE
SM (IMM-OH)</t>
  </si>
  <si>
    <t>M. H. KOKITKAR
AGM (IMM-OH)</t>
  </si>
  <si>
    <t>S.D. PANDE
AGM (IMM-OH)</t>
  </si>
  <si>
    <t>HEAD OF FIN. CONCURRED</t>
  </si>
  <si>
    <t>HEAD OF DIVISION CONCURRED</t>
  </si>
  <si>
    <t>U.C. MOHANTY 
AGM (FIN-OH)</t>
  </si>
  <si>
    <t>U.B. SINGH 
GM (AOD)</t>
  </si>
  <si>
    <t>COMPLEX</t>
  </si>
  <si>
    <t>HEAD OF COMPLEX FINANCE CONCURRED</t>
  </si>
  <si>
    <t>CEO (MIG COMPLEX) APPROVED</t>
  </si>
  <si>
    <t xml:space="preserve">SIGNATURE
NAME/
DESIGNATION </t>
  </si>
  <si>
    <t>S. K. MEHTA
GM(FINANCE)
MiG COMPLEX</t>
  </si>
  <si>
    <t>Bh. V. SESHAGIRI RAO
CHIEF EXECUTIVE OFFICER
(MIG COMPLEX)</t>
  </si>
  <si>
    <t>Enclosure-1</t>
  </si>
  <si>
    <t>TECHNICAL EVALUATION STATEMENT &amp; RECOMMENDATION</t>
  </si>
  <si>
    <t>SL. NO.</t>
  </si>
  <si>
    <t>AS PER RFQ</t>
  </si>
  <si>
    <t>Remarks</t>
  </si>
  <si>
    <r>
      <t>A)</t>
    </r>
    <r>
      <rPr>
        <sz val="7"/>
        <color theme="1"/>
        <rFont val="Times New Roman"/>
        <family val="1"/>
      </rPr>
      <t xml:space="preserve">   </t>
    </r>
    <r>
      <rPr>
        <u/>
        <sz val="11"/>
        <color theme="1"/>
        <rFont val="Times New Roman"/>
        <family val="1"/>
      </rPr>
      <t>SPECIFICATION:</t>
    </r>
    <r>
      <rPr>
        <sz val="11"/>
        <color theme="1"/>
        <rFont val="Times New Roman"/>
        <family val="1"/>
      </rPr>
      <t xml:space="preserve">   </t>
    </r>
  </si>
  <si>
    <t>-</t>
  </si>
  <si>
    <r>
      <t xml:space="preserve">B)  </t>
    </r>
    <r>
      <rPr>
        <u/>
        <sz val="11"/>
        <color theme="1"/>
        <rFont val="Times New Roman"/>
        <family val="1"/>
      </rPr>
      <t>TECHNICAL RECOMMENDATION</t>
    </r>
    <r>
      <rPr>
        <sz val="11"/>
        <color theme="1"/>
        <rFont val="Times New Roman"/>
        <family val="1"/>
      </rPr>
      <t xml:space="preserve"> :</t>
    </r>
  </si>
  <si>
    <r>
      <t xml:space="preserve">I)  </t>
    </r>
    <r>
      <rPr>
        <u/>
        <sz val="11"/>
        <color theme="1"/>
        <rFont val="Times New Roman"/>
        <family val="1"/>
      </rPr>
      <t>REJECTED OFFERS</t>
    </r>
    <r>
      <rPr>
        <sz val="11"/>
        <color theme="1"/>
        <rFont val="Times New Roman"/>
        <family val="1"/>
      </rPr>
      <t xml:space="preserve"> :
    VENDOR  :    
     REASON  :  </t>
    </r>
  </si>
  <si>
    <t>No</t>
  </si>
  <si>
    <r>
      <t xml:space="preserve">II) </t>
    </r>
    <r>
      <rPr>
        <u/>
        <sz val="11"/>
        <color theme="1"/>
        <rFont val="Times New Roman"/>
        <family val="1"/>
      </rPr>
      <t>ACCEPTED OFFERS</t>
    </r>
    <r>
      <rPr>
        <sz val="11"/>
        <color theme="1"/>
        <rFont val="Times New Roman"/>
        <family val="1"/>
      </rPr>
      <t xml:space="preserve"> :
    VENDOR:  </t>
    </r>
  </si>
  <si>
    <t xml:space="preserve">Confirmation whether the Vendor meets all RFQ specs     
(Highlight exceptions)                      </t>
  </si>
  <si>
    <t>Signatures of Members of  Technical Evaluation Committee</t>
  </si>
  <si>
    <t>Name
Designation</t>
  </si>
  <si>
    <t>M.S. Chauhan
CM (Mat. Planning)</t>
  </si>
  <si>
    <t>Saket Chaturvedi
General Manager (AOD)</t>
  </si>
  <si>
    <t>Enclosure-2</t>
  </si>
  <si>
    <t xml:space="preserve">COMPARATIVE STATEMENT OF PRICES </t>
  </si>
  <si>
    <t>SL.NO.</t>
  </si>
  <si>
    <t>DETAILS</t>
  </si>
  <si>
    <r>
      <t>Pricing</t>
    </r>
    <r>
      <rPr>
        <b/>
        <sz val="11"/>
        <color theme="1"/>
        <rFont val="Times New Roman"/>
        <family val="1"/>
      </rPr>
      <t>:</t>
    </r>
  </si>
  <si>
    <t>Quoted Price: (In Foreign Currency) USD Less discount, if any</t>
  </si>
  <si>
    <r>
      <t>Exchange Rate:</t>
    </r>
    <r>
      <rPr>
        <b/>
        <sz val="11"/>
        <color theme="1"/>
        <rFont val="Times New Roman"/>
        <family val="1"/>
      </rPr>
      <t xml:space="preserve">   </t>
    </r>
    <r>
      <rPr>
        <sz val="11"/>
        <color theme="1"/>
        <rFont val="Times New Roman"/>
        <family val="1"/>
      </rPr>
      <t xml:space="preserve"> </t>
    </r>
  </si>
  <si>
    <r>
      <t>Loadings for Price Leveling:</t>
    </r>
    <r>
      <rPr>
        <b/>
        <sz val="11"/>
        <color theme="1"/>
        <rFont val="Times New Roman"/>
        <family val="1"/>
      </rPr>
      <t xml:space="preserve">      </t>
    </r>
  </si>
  <si>
    <t>-For price variation (Escalation)</t>
  </si>
  <si>
    <t>NIL</t>
  </si>
  <si>
    <t>- Packing - Forwarding</t>
  </si>
  <si>
    <t xml:space="preserve">- Freight &amp; Insurance                                          </t>
  </si>
  <si>
    <t>- Others - specify</t>
  </si>
  <si>
    <t xml:space="preserve">Evaluated Price: </t>
  </si>
  <si>
    <t>Vendor’s relative price position L1, L2, L3 etc.</t>
  </si>
  <si>
    <t>TERMS &amp; CONDITIONS:</t>
  </si>
  <si>
    <t>- Pricing Terms (FOB/Ex-works etc)</t>
  </si>
  <si>
    <t>- Firm/variable – escalation formula</t>
  </si>
  <si>
    <t>Firm</t>
  </si>
  <si>
    <t>- Payment Terms (Bank Guarantee if required)</t>
  </si>
  <si>
    <t>- Delivery</t>
  </si>
  <si>
    <t>- Liquidated Damages</t>
  </si>
  <si>
    <t>0.5% per week to max 10%</t>
  </si>
  <si>
    <t>- Warranty</t>
  </si>
  <si>
    <t>Signature:</t>
  </si>
  <si>
    <t>Designation:</t>
  </si>
  <si>
    <t>U.C. MOHANTY
AGM(FIN-OH)</t>
  </si>
  <si>
    <t>Enclosure-3</t>
  </si>
  <si>
    <t>COMMERCIAL EVALUATION STATEMENT</t>
  </si>
  <si>
    <t>(RFQ Clauses)</t>
  </si>
  <si>
    <t>SL.N0</t>
  </si>
  <si>
    <t>CLAUSES AS PER RFQ</t>
  </si>
  <si>
    <t xml:space="preserve">
Name
Designation 
Date:</t>
  </si>
  <si>
    <t>U.C.MOHANTY
AGM (FIN-OH)</t>
  </si>
  <si>
    <t>Enclosure-4</t>
  </si>
  <si>
    <t>SI NO</t>
  </si>
  <si>
    <t>INDENT POS NO</t>
  </si>
  <si>
    <t>DESCRIPTION OF ITEMS WITH PART NO.</t>
  </si>
  <si>
    <t>LAST PURCHASE</t>
  </si>
  <si>
    <t>CURRENT PURCHASE</t>
  </si>
  <si>
    <t>% INCREASE</t>
  </si>
  <si>
    <t>NO. OF YEARS BETWEEN LAST PURCHASE &amp; CURRENT PURCHASE</t>
  </si>
  <si>
    <t>% INCREASE PER YEAR</t>
  </si>
  <si>
    <t>P.O. &amp; DATE</t>
  </si>
  <si>
    <t>TOTAL LAST PRICE (DULY ESCALATED IN USD)
(2020 level)*</t>
  </si>
  <si>
    <t xml:space="preserve">YEAR </t>
  </si>
  <si>
    <t>TOTAL PRICE BEFORE NEGOTIAION* in USD</t>
  </si>
  <si>
    <t>TOTAL PRICE AFTER NEGOTIATION* in USD</t>
  </si>
  <si>
    <t xml:space="preserve"> Signature:
Name
Designation
Date:</t>
  </si>
  <si>
    <t>(M. H. KOKITKAR)
ADDITIONAL GENERAL MANAGER (IMM)-OH
HEAD OF IMM</t>
  </si>
  <si>
    <t>U.C.MOHANTY
ADDITIONAL GENERAL MANAGER (FIN-OH)
HEAD OF FINANCE</t>
  </si>
  <si>
    <t>NOTE:   *1. Indicate the total value for the present quantity.</t>
  </si>
  <si>
    <t>2. Incase previous orders are not available / item is being procured for the first time, comparison to be made with the estimates.</t>
  </si>
  <si>
    <t>3. To be signed by Head of IMM/Finance where CFA of the proposal is MD/CH/PSC/Board</t>
  </si>
  <si>
    <t>Enclosure-5</t>
  </si>
  <si>
    <t>AGENDA FOR NEGOTIATION</t>
  </si>
  <si>
    <t>TERMS &amp; CONDITIONS AS PER RFQ</t>
  </si>
  <si>
    <t>TERMS &amp; CONDITIONS
AS PER VENDOR’S OFFER</t>
  </si>
  <si>
    <t>COMMENTS OF DIVISION</t>
  </si>
  <si>
    <t>Signature 
Name:
/Designation
Date</t>
  </si>
  <si>
    <t>(M. H. KOKITKAR)
ADDITIONAL GENERAL MANAGER (IMM-OH)</t>
  </si>
  <si>
    <t>(U.C.MOHANTY)
ADDITIONAL GENERAL MANAGER (FIN-OH)</t>
  </si>
  <si>
    <r>
      <t>Please check below box should be</t>
    </r>
    <r>
      <rPr>
        <sz val="16"/>
        <color theme="1"/>
        <rFont val="Calibri"/>
        <family val="2"/>
        <scheme val="minor"/>
      </rPr>
      <t xml:space="preserve"> Zero</t>
    </r>
  </si>
  <si>
    <t>Annexure-I</t>
  </si>
  <si>
    <t>(To be submitted to Corporate Office for fund clearance)</t>
  </si>
  <si>
    <t>Format for providing information for Project /Non Project Materials for the requirement beyond 2020-21</t>
  </si>
  <si>
    <t>Complex: MiG Complex</t>
  </si>
  <si>
    <t>Division:   AOD Nashik</t>
  </si>
  <si>
    <t>Project :</t>
  </si>
  <si>
    <t>Name of the Customer:</t>
  </si>
  <si>
    <t>IAF</t>
  </si>
  <si>
    <t>For ROH Provisioning:</t>
  </si>
  <si>
    <t>Indicate Firm Task or Forecast Task</t>
  </si>
  <si>
    <t xml:space="preserve">     Years of Requirement </t>
  </si>
  <si>
    <t xml:space="preserve">Type of tendering </t>
  </si>
  <si>
    <t>No of Offers received</t>
  </si>
  <si>
    <t>Vendor Name :</t>
  </si>
  <si>
    <t>Country :</t>
  </si>
  <si>
    <t>Limited</t>
  </si>
  <si>
    <t>No. of items :</t>
  </si>
  <si>
    <t>Type of items :</t>
  </si>
  <si>
    <t>Delivery Spread -From — To:</t>
  </si>
  <si>
    <t>Value (FE):</t>
  </si>
  <si>
    <t>Value in Rs. Lakhs (Landed Cost):</t>
  </si>
  <si>
    <t>Payment Term :</t>
  </si>
  <si>
    <t>DOP Ref:</t>
  </si>
  <si>
    <t>CFA :</t>
  </si>
  <si>
    <t>Validity of Offer:</t>
  </si>
  <si>
    <t>CFA as per applicable DoP-2018 clause Annexure III (c) 2 (b) is GM (AOD</t>
  </si>
  <si>
    <t>GM(AOD)</t>
  </si>
  <si>
    <t>Budget Ref:</t>
  </si>
  <si>
    <t>Commitment till this PO:</t>
  </si>
  <si>
    <t>Balance Budget:</t>
  </si>
  <si>
    <t xml:space="preserve">INR 1898.55 Lakhs </t>
  </si>
  <si>
    <t xml:space="preserve">INR 32901.45 Lakhs </t>
  </si>
  <si>
    <t>Extent of commitment already made excluding proposed commitment (in Rs. Crs):</t>
  </si>
  <si>
    <t>Extent of payment already received from Customer (in Rs. Crs) :</t>
  </si>
  <si>
    <t>Commitment by Outsourcing      –</t>
  </si>
  <si>
    <t xml:space="preserve">Commitment by MPU(Russian)  – </t>
  </si>
  <si>
    <t xml:space="preserve">Commitment by MPU(Indian)      – </t>
  </si>
  <si>
    <t>Estimates  (LPP/TE  etc) &amp; Ref no.</t>
  </si>
  <si>
    <t>% Increase/decrease with Estimates:</t>
  </si>
  <si>
    <t xml:space="preserve">Refer enclosed CST </t>
  </si>
  <si>
    <t xml:space="preserve"> Expected qtr/year of Payment to Supplier:</t>
  </si>
  <si>
    <t>Expected Qtr /year for conversion into Sales:</t>
  </si>
  <si>
    <t>July 2021 or on delivery &amp; acceptance of Material.</t>
  </si>
  <si>
    <t>July 2021 onwards after receipt of non-mandatory spares &amp; its consumption on delivered A/C.</t>
  </si>
  <si>
    <t>Reason for placement of order :</t>
  </si>
  <si>
    <t>Head of IMM :</t>
  </si>
  <si>
    <t>Head of Finance :</t>
  </si>
  <si>
    <t>Divisional Head :</t>
  </si>
  <si>
    <t>Note:  1. Signed Purchase Format along with price justification , CST and adequacy statement  to be enclosed with the proposal.</t>
  </si>
  <si>
    <t xml:space="preserve">           2  The requirement of RMSO-BOI for current year as well as subsequent year to be covered in this format  for fund clearance.</t>
  </si>
  <si>
    <t>Reason for deletion</t>
  </si>
  <si>
    <t>MOQ Status in Excess to Indent Qty</t>
  </si>
  <si>
    <t xml:space="preserve">(-) 78.06% </t>
  </si>
  <si>
    <t>TOTAL LAST PRICE (DULY ESCALATED IN USD)
(2021 level)*</t>
  </si>
  <si>
    <t>Russia</t>
  </si>
  <si>
    <t>Bulgaria</t>
  </si>
  <si>
    <t>LAST PURCHASE (Approved)</t>
  </si>
  <si>
    <t>REF SA Price(USD)</t>
  </si>
  <si>
    <t>MICROCIRCUIT</t>
  </si>
  <si>
    <t>MOSFET</t>
  </si>
  <si>
    <t>THROTTLE</t>
  </si>
  <si>
    <t>MICROSWITCH</t>
  </si>
  <si>
    <t>ELECTRIC TIMER</t>
  </si>
  <si>
    <t>CABLE</t>
  </si>
  <si>
    <t>PLATE P-1</t>
  </si>
  <si>
    <t>PLATE P-2</t>
  </si>
  <si>
    <t>Refer technical estimates</t>
  </si>
  <si>
    <t>Procurement of BoI Spares &amp; Repair of KOPYO Cards</t>
  </si>
  <si>
    <t>EST</t>
  </si>
  <si>
    <t>VEKS-M</t>
  </si>
  <si>
    <t>Eurasia Special Technologies (EST)</t>
  </si>
  <si>
    <r>
      <t xml:space="preserve">Unit
 Price
</t>
    </r>
    <r>
      <rPr>
        <b/>
        <sz val="12"/>
        <color rgb="FFFF0000"/>
        <rFont val="Arial"/>
        <family val="2"/>
      </rPr>
      <t xml:space="preserve">(INR) </t>
    </r>
  </si>
  <si>
    <t xml:space="preserve">Unit Price
(INR) </t>
  </si>
  <si>
    <t>Within 16 months from the date of placement of order &amp; EUC.</t>
  </si>
  <si>
    <r>
      <t xml:space="preserve"> SUB TOTAL (</t>
    </r>
    <r>
      <rPr>
        <sz val="8"/>
        <color theme="1"/>
        <rFont val="Times New Roman"/>
        <family val="1"/>
      </rPr>
      <t>VALUE OF OFFERS QUOTED BY ADRYS &amp; EST in INR</t>
    </r>
    <r>
      <rPr>
        <b/>
        <sz val="8"/>
        <color theme="1"/>
        <rFont val="Times New Roman"/>
        <family val="1"/>
      </rPr>
      <t>)</t>
    </r>
  </si>
  <si>
    <t>Grand Total (in Rs)</t>
  </si>
  <si>
    <r>
      <t xml:space="preserve"> SUB TOTAL (</t>
    </r>
    <r>
      <rPr>
        <sz val="8"/>
        <color theme="1"/>
        <rFont val="Times New Roman"/>
        <family val="1"/>
      </rPr>
      <t>VALUE OF OFFERS QUOTED BY VENDORS(Except ADRYS &amp; EST in USD</t>
    </r>
    <r>
      <rPr>
        <b/>
        <sz val="8"/>
        <color theme="1"/>
        <rFont val="Times New Roman"/>
        <family val="1"/>
      </rPr>
      <t>)</t>
    </r>
  </si>
  <si>
    <t>NO. OF L1 LINE</t>
  </si>
  <si>
    <t>Total Offer Value [Adrys &amp; EST in INR and others in USD]</t>
  </si>
  <si>
    <t xml:space="preserve">Total Est Value [Adrys &amp; EST in INR and others in USD] @ 2022 level </t>
  </si>
  <si>
    <t>Risk-Purchase Clause</t>
  </si>
  <si>
    <t>60 days</t>
  </si>
  <si>
    <t>The certificate as per Russian Std will be provided</t>
  </si>
  <si>
    <t>In line with recd Indent</t>
  </si>
  <si>
    <t>Proof of Quality with OEM data will be provided</t>
  </si>
  <si>
    <t>12 months from date of supply if no specific clause is mentioned by OEM</t>
  </si>
  <si>
    <t>CoC and Russian OTK will be supplied</t>
  </si>
  <si>
    <t xml:space="preserve">FoR Destination </t>
  </si>
  <si>
    <t>52-60 weeks from the date of receipt of PO.</t>
  </si>
  <si>
    <t>18% IGST extra</t>
  </si>
  <si>
    <t>DDP Terms</t>
  </si>
  <si>
    <t>Offer not recd, Clauses are compared in line with Price Catalog 73K dtd 17.03.2017</t>
  </si>
  <si>
    <t>in line with Price Catalog</t>
  </si>
  <si>
    <t>CIP Mumbai –Incoterms -2010</t>
  </si>
  <si>
    <t>In line with recently concluded contract between HAL &amp; STE</t>
  </si>
  <si>
    <t>Items of current manufacture</t>
  </si>
  <si>
    <t>12 months from date of AWB or 18 months from the date shipment whichever is earlier whichever is earlier</t>
  </si>
  <si>
    <t>Current year manufacture</t>
  </si>
  <si>
    <t>Level
Unit
Cost (INR.)</t>
  </si>
  <si>
    <t>Total
 Price
(CTC)
(INR)</t>
  </si>
  <si>
    <t>L1 Unit PRICE (USD/INR)</t>
  </si>
  <si>
    <t>L1 Total PRICE (USD/INR)</t>
  </si>
  <si>
    <t>Level L1 Unit PRICE (INR)</t>
  </si>
  <si>
    <t>Level L1 Total PRICE (INR)</t>
  </si>
  <si>
    <t xml:space="preserve">               </t>
  </si>
  <si>
    <t>Note : 1.  If the MOQ offered results in excess qty.&lt;=  20% of tender qty. then L-1 is determined based on the Levelled unit price 
&amp; for &gt; 20% of tender qty then the L-1 is determined by making comparison of the Levelled total price</t>
  </si>
  <si>
    <t xml:space="preserve">          2.  All offers received from Vendors are in USD except EST and Adrys on DDP destination basis with IGST exta as applicable. </t>
  </si>
  <si>
    <t>Prices quoted should be INR / USD or any other convertible foreign currency</t>
  </si>
  <si>
    <t>6(i)</t>
  </si>
  <si>
    <t>15(vi)</t>
  </si>
  <si>
    <t>6(v)</t>
  </si>
  <si>
    <t>6(ii)</t>
  </si>
  <si>
    <t>certificate of quality and guarantee from OEM to be provided</t>
  </si>
  <si>
    <t>4(i)</t>
  </si>
  <si>
    <t>12(i)</t>
  </si>
  <si>
    <t>Shipment Term: CIP-MUMBAI/ DDP-NASIK (as per INCOTERM-2010)</t>
  </si>
  <si>
    <t xml:space="preserve">100% payment will be made within 30 days from the date of receipt &amp; acceptance of items at HAL, Nasik </t>
  </si>
  <si>
    <t>Bidders have to bear all taxes, duties and levies payable outside Indian Territory and HAL will bear all statutory levies, other than withholding tax and service tax, payable in India.</t>
  </si>
  <si>
    <t>Exit Clause</t>
  </si>
  <si>
    <t>Yes(18% IGST extra)</t>
  </si>
  <si>
    <t>TOTAL L1 VALUE(Landing Cost)</t>
  </si>
  <si>
    <t>TOTAL ESTIMATED  VALUE(Landing Cost)</t>
  </si>
  <si>
    <t>RAMESH HATHILE
CM(PURCHASE)</t>
  </si>
  <si>
    <t xml:space="preserve">          3.  Taxes &amp; Duties at 32.24% is assumed for calculatiing landing cost for the offers recd on CIP/CIF-Mumbai basis, while 18% GST is assumed for calculating landing cost for the offers recd on DDP destination basis. </t>
  </si>
  <si>
    <t xml:space="preserve">                However actual taxes and duties will be paid during payment as per prevailing rules.</t>
  </si>
  <si>
    <t xml:space="preserve">U C Mohanty
AGM(Fin-OH)
     </t>
  </si>
  <si>
    <t xml:space="preserve">      M H Kokitkar
     AGM (IMM-OH)
</t>
  </si>
  <si>
    <t>Ramesh Hathile
CM (Purchase)</t>
  </si>
  <si>
    <t>BE 2021-2022</t>
  </si>
  <si>
    <t>MIG &amp; SUROH</t>
  </si>
  <si>
    <t>INR IN LAKHS</t>
  </si>
  <si>
    <r>
      <t xml:space="preserve">PROJ CELL-
Capacity Enhancement-Airframe </t>
    </r>
    <r>
      <rPr>
        <b/>
        <sz val="11"/>
        <color rgb="FF3333FF"/>
        <rFont val="Calibri"/>
        <family val="2"/>
        <scheme val="minor"/>
      </rPr>
      <t>DRE</t>
    </r>
  </si>
  <si>
    <t>GSE/GHE-203
Maintenance</t>
  </si>
  <si>
    <t>FH-099
(Repair &amp; Maintenance of Equipment)</t>
  </si>
  <si>
    <t>2021-22</t>
  </si>
  <si>
    <t>2020-21</t>
  </si>
  <si>
    <t>Savings after PNC</t>
  </si>
  <si>
    <t>U.C Mohanty
AGM(Fin-OH)</t>
  </si>
  <si>
    <t>M H Kokitkar
AGM (IMM-OH)</t>
  </si>
  <si>
    <t>Value in INR in Lakhs</t>
  </si>
  <si>
    <t xml:space="preserve">    </t>
  </si>
  <si>
    <t>Techncal Estimate File no</t>
  </si>
  <si>
    <t>File No.</t>
  </si>
  <si>
    <t>USD</t>
  </si>
  <si>
    <t xml:space="preserve">Bidders should clearly mention whether the prices hold good when the full quantity of enquiry is not ordered but only a part of it. </t>
  </si>
  <si>
    <t>CIP/CIF Mumbai on signing of 
High sea sales agreement</t>
  </si>
  <si>
    <t>warranty shall be 18 months from the date of delivery and 12 month from date of installation of items at HAL</t>
  </si>
  <si>
    <t>U C Mohanty
AGM(Fin-OH)</t>
  </si>
  <si>
    <t xml:space="preserve">             Ramesh Hathile                                                                    M H Kokitkar
               CM(Purchase)                                                                      AGM(IMM-OH)</t>
  </si>
  <si>
    <t xml:space="preserve">Alok Parida  
SM(Purchase)    </t>
  </si>
  <si>
    <t xml:space="preserve">                            </t>
  </si>
  <si>
    <t>Offer validity (Min 120 days)</t>
  </si>
  <si>
    <t>Commercial Evaluation of Final offer(Draft Contract)</t>
  </si>
  <si>
    <t>MPR No.</t>
  </si>
  <si>
    <t>MPR Date</t>
  </si>
  <si>
    <t>11.08.2023</t>
  </si>
  <si>
    <t>IASL/205(NK)/2023-24/0723001/095</t>
  </si>
  <si>
    <t>GIS</t>
  </si>
  <si>
    <t>94/08-356 In</t>
  </si>
  <si>
    <t>825/RM-27286</t>
  </si>
  <si>
    <t>Within 09 months from the date of signing the contract.</t>
  </si>
  <si>
    <t>100% DBT in  equivalent RUB.</t>
  </si>
  <si>
    <t>ADTS/QUOTE/0720/HAL/IN-123001/23</t>
  </si>
  <si>
    <t>IASL</t>
  </si>
  <si>
    <t>INDO AVIA SERVICES LTD</t>
  </si>
  <si>
    <t xml:space="preserve">EST Unit Price (USD) @ 2024 level </t>
  </si>
  <si>
    <t xml:space="preserve">Levelled
EST Unit Price (Rs) @ 2024 level </t>
  </si>
  <si>
    <t xml:space="preserve">LLP EST Unit Price (USD) @ 2024 level </t>
  </si>
  <si>
    <t xml:space="preserve">Levelled
LPP Unit Price (Rs) @ 2024 level </t>
  </si>
  <si>
    <t>Currency</t>
  </si>
  <si>
    <t xml:space="preserve">EST Unit Basic Price (USD) @ 2024 level </t>
  </si>
  <si>
    <t xml:space="preserve"> L1 TOTAL
BASIC VAL
 (USD)                @ 2024 level </t>
  </si>
  <si>
    <t xml:space="preserve">EST.TOTAL
BASIC VAL 
(USD)                   @ 2024 level   </t>
  </si>
  <si>
    <t xml:space="preserve">VEKSM 
Unit  Price 
(USD) </t>
  </si>
  <si>
    <r>
      <t>Remarks(</t>
    </r>
    <r>
      <rPr>
        <b/>
        <sz val="12"/>
        <color rgb="FFFF0000"/>
        <rFont val="Arial"/>
        <family val="2"/>
      </rPr>
      <t>Do not Delete)</t>
    </r>
  </si>
  <si>
    <t xml:space="preserve">EST Unit Price (USD/INR) @ 2024 level </t>
  </si>
  <si>
    <t xml:space="preserve">Levelled
EST Unit Price (INR) @ 2024 level </t>
  </si>
  <si>
    <t xml:space="preserve">L1 TOTAL Price (USD) @ 2024 level </t>
  </si>
  <si>
    <t xml:space="preserve">EST.TOTAL Price (USD) @ 2024 level   </t>
  </si>
  <si>
    <t xml:space="preserve">Levelled
 L1 TOTAL Price (INR) @ 2024 level </t>
  </si>
  <si>
    <t xml:space="preserve">Levelled
EST.TOTAL Apprvd Estimated Price (INR) @ 2024 level   </t>
  </si>
  <si>
    <t xml:space="preserve"> L1 UNIT
Price
 (USD/RS)                
@ 2024 level </t>
  </si>
  <si>
    <t xml:space="preserve"> L1 TOTAL
Price
 (USD/Rs) @ 2024 level </t>
  </si>
  <si>
    <t xml:space="preserve">Levelled
 L1 UNIT
Price
 (Rs) @ 2024 level </t>
  </si>
  <si>
    <t xml:space="preserve">Levelled
L1 TOTAL
Price
(Rs) @ 2024 level   </t>
  </si>
  <si>
    <t xml:space="preserve">Levelled
EST.TOTAL LPP Price (INR) @ 2024 level   </t>
  </si>
  <si>
    <t>OPERATIONAL AMPLIFIER</t>
  </si>
  <si>
    <t>MICROCIRCUIT OF KOPYO RADAR</t>
  </si>
  <si>
    <t>IC  (Integrated Circuit )</t>
  </si>
  <si>
    <t>COLLIMATOR HEAD KG-3R-4M2</t>
  </si>
  <si>
    <t>27V LAMP FOR RET ASSIY</t>
  </si>
  <si>
    <t>PHOTO RESISTOR</t>
  </si>
  <si>
    <t>SECURING NUT</t>
  </si>
  <si>
    <t>MOTOR</t>
  </si>
  <si>
    <t>FUSE HOLDER</t>
  </si>
  <si>
    <t>HIGH VOLTAGE SEALENT</t>
  </si>
  <si>
    <t xml:space="preserve">UNIT 08-11 UFTI / FORMER </t>
  </si>
  <si>
    <t>FRAME</t>
  </si>
  <si>
    <t>ARTICLE CONDOR-1</t>
  </si>
  <si>
    <t>TRUBKA PICTURE TUBE OF MFD</t>
  </si>
  <si>
    <t>RELAY RS4.569.435-04.01 RS0.459.006 TU</t>
  </si>
  <si>
    <t>BACKELITE CONNECTOR</t>
  </si>
  <si>
    <t xml:space="preserve">  RESISTOR</t>
  </si>
  <si>
    <t>UNIT PICTURE TUBE</t>
  </si>
  <si>
    <t>RUBBER PART</t>
  </si>
  <si>
    <t>P1 CIRCUIT</t>
  </si>
  <si>
    <t>Wave Guide Addaptor</t>
  </si>
  <si>
    <t>BACKELITE COVER</t>
  </si>
  <si>
    <t>TRAVELING WAVETUBE</t>
  </si>
  <si>
    <t>HIGH VOLTAGE RECTIFIER</t>
  </si>
  <si>
    <t>UNIT 08-07 US / UNIT</t>
  </si>
  <si>
    <t>UNIT 08-03 UF / UNIT</t>
  </si>
  <si>
    <t>UNIT 08-04 MOD NKN / MODULATOR</t>
  </si>
  <si>
    <t>UNIT 08-06 MP-N / UNIT</t>
  </si>
  <si>
    <t>UNIT 08-05 OZU</t>
  </si>
  <si>
    <t>UNIT 08-10 SHK / CABINET</t>
  </si>
  <si>
    <t>UNIT 08-02 SJ / UNIT</t>
  </si>
  <si>
    <t>BACKELITE PLATE</t>
  </si>
  <si>
    <t xml:space="preserve">GASKET </t>
  </si>
  <si>
    <t>PRESSURE ADAPTER</t>
  </si>
  <si>
    <t>CUP WASHER</t>
  </si>
  <si>
    <t>CONTACT PACKING</t>
  </si>
  <si>
    <t>ARTICLE DOCTOR</t>
  </si>
  <si>
    <t>MAGNET AMPLIFIER</t>
  </si>
  <si>
    <t xml:space="preserve">Bushing </t>
  </si>
  <si>
    <t xml:space="preserve">Collet </t>
  </si>
  <si>
    <t>Handle</t>
  </si>
  <si>
    <t>Total Price
(INR)</t>
  </si>
  <si>
    <t>NASC (NASC)</t>
  </si>
  <si>
    <t>NASC</t>
  </si>
  <si>
    <t>AEC (AEC)</t>
  </si>
  <si>
    <t>AEC</t>
  </si>
  <si>
    <t>ROE (ROE)</t>
  </si>
  <si>
    <t>ROE</t>
  </si>
  <si>
    <t>VSMPO (VSMPO)</t>
  </si>
  <si>
    <t>Tecnodinamika (TDK)</t>
  </si>
  <si>
    <t>VSMPO</t>
  </si>
  <si>
    <t>TDK</t>
  </si>
  <si>
    <t>TEC Rejected</t>
  </si>
  <si>
    <t>Annex-i</t>
  </si>
  <si>
    <t>ASC/HAL/092/23</t>
  </si>
  <si>
    <t xml:space="preserve">90 days </t>
  </si>
  <si>
    <t>12 months from the date of signing of contract.</t>
  </si>
  <si>
    <t>- NA-</t>
  </si>
  <si>
    <t>-NA-</t>
  </si>
  <si>
    <t>If order value is less than USD 100000, it will be clubbed with other contact.</t>
  </si>
  <si>
    <t>12 months from  the date of Shipment</t>
  </si>
  <si>
    <t>12 Months drom Date of Delivery</t>
  </si>
  <si>
    <t>19.07.2023</t>
  </si>
  <si>
    <t>India</t>
  </si>
  <si>
    <t>31(iv)</t>
  </si>
  <si>
    <t xml:space="preserve">New Manufactured items (Cat-A)
</t>
  </si>
  <si>
    <t>(Yes)</t>
  </si>
  <si>
    <t xml:space="preserve">Annex-I by 31.03.20224
Annex-II with in 2024
</t>
  </si>
  <si>
    <t xml:space="preserve">0.5%/week (max 10%) </t>
  </si>
  <si>
    <t>Agent / Agency Commission &amp; Non assignment of benefits to third party without HAL consent</t>
  </si>
  <si>
    <t>34A</t>
  </si>
  <si>
    <t>34B</t>
  </si>
  <si>
    <t>Remaining clauses will be discussed during CNC meeting or via Correspondence</t>
  </si>
  <si>
    <t>CIF-Nhavaseva for Ann-III &amp; CIP Mumbai for remaining items (Incoterms -2020)</t>
  </si>
  <si>
    <t>Email</t>
  </si>
  <si>
    <t>10.08.2023</t>
  </si>
  <si>
    <t>180 days from Tender opening Date</t>
  </si>
  <si>
    <t>Within 365 days from the date of Purchase order</t>
  </si>
  <si>
    <t>100% payment within 30 days of date of delivery</t>
  </si>
  <si>
    <t>Minimum Order Value is USD 771000</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</si>
  <si>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</si>
  <si>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</si>
  <si>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</si>
  <si>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</si>
  <si>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</si>
  <si>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</si>
  <si>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</si>
  <si>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</si>
  <si>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</si>
  <si>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</si>
  <si>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</si>
  <si>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</si>
  <si>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</si>
  <si>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</si>
  <si>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</si>
  <si>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</si>
  <si>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</si>
  <si>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</si>
  <si>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</si>
  <si>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</si>
  <si>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</si>
  <si>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</si>
  <si>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</si>
  <si>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</si>
  <si>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</si>
  <si>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</si>
  <si>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</si>
  <si>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</si>
  <si>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</si>
  <si>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</si>
  <si>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</si>
  <si>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</si>
  <si>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</si>
  <si>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</si>
  <si>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</si>
  <si>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</si>
  <si>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</si>
  <si>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</si>
  <si>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</si>
  <si>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</si>
  <si>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</si>
  <si>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</si>
  <si>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</si>
  <si>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</si>
  <si>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</si>
  <si>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</si>
  <si>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</si>
  <si>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</si>
  <si>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</si>
  <si>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</si>
  <si>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</si>
  <si>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</si>
  <si>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</si>
  <si>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</si>
  <si>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</si>
  <si>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</si>
  <si>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</si>
  <si>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</si>
  <si>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</si>
  <si>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</si>
  <si>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</si>
  <si>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</si>
  <si>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</si>
  <si>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</si>
  <si>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</si>
  <si>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</si>
  <si>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</si>
  <si>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</si>
  <si>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</si>
  <si>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</si>
  <si>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</si>
  <si>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</si>
  <si>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</si>
  <si>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</si>
  <si>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</si>
  <si>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</si>
  <si>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</si>
  <si>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</si>
  <si>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</si>
  <si>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</si>
  <si>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</si>
  <si>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</si>
  <si>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</si>
  <si>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</si>
  <si>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</si>
  <si>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INR</t>
  </si>
  <si>
    <t>29-12-2015</t>
  </si>
  <si>
    <t>30-06-2017</t>
  </si>
  <si>
    <t>24-12-2018</t>
  </si>
  <si>
    <t>28-07-2017</t>
  </si>
  <si>
    <t>CONTRACT-A1</t>
  </si>
  <si>
    <t>CONTRACT-A2</t>
  </si>
  <si>
    <t>CONTRACT-A3</t>
  </si>
  <si>
    <t>CONTRACT-A4</t>
  </si>
  <si>
    <t>CONTRACT-A5</t>
  </si>
  <si>
    <t>CONTRACT-A6</t>
  </si>
  <si>
    <t>CONTRACT-A7</t>
  </si>
  <si>
    <t>CONTRACT-A8</t>
  </si>
  <si>
    <t>CONTRACT-A9</t>
  </si>
  <si>
    <t>CONTRACT-A10</t>
  </si>
  <si>
    <t>CONTRACT-A11</t>
  </si>
  <si>
    <t>CONTRACT-A12</t>
  </si>
  <si>
    <t>CONTRACT-A13</t>
  </si>
  <si>
    <t>CONTRACT-A14</t>
  </si>
  <si>
    <t>CONTRACT-A15</t>
  </si>
  <si>
    <t>CONTRACT-A16</t>
  </si>
  <si>
    <t>CONTRACT-A17</t>
  </si>
  <si>
    <t>CONTRACT-A18</t>
  </si>
  <si>
    <t>CONTRACT-A19</t>
  </si>
  <si>
    <t>CONTRACT-A20</t>
  </si>
  <si>
    <t>CONTRACT-A21</t>
  </si>
  <si>
    <t>CONTRACT-A22</t>
  </si>
  <si>
    <t>CONTRACT-A23</t>
  </si>
  <si>
    <t>CONTRACT-A24</t>
  </si>
  <si>
    <t>CONTRACT-A25</t>
  </si>
  <si>
    <t>CONTRACT-A26</t>
  </si>
  <si>
    <t>CONTRACT-A27</t>
  </si>
  <si>
    <t>CONTRACT-A28</t>
  </si>
  <si>
    <t>CONTRACT-A29</t>
  </si>
  <si>
    <t>CONTRACT-A30</t>
  </si>
  <si>
    <t>CONTRACT-A31</t>
  </si>
  <si>
    <t>CONTRACT-A32</t>
  </si>
  <si>
    <t>CONTRACT-A33</t>
  </si>
  <si>
    <t>CONTRACT-A34</t>
  </si>
  <si>
    <t>CONTRACT-A35</t>
  </si>
  <si>
    <t>CONTRACT-A36</t>
  </si>
  <si>
    <t>CONTRACT-A37</t>
  </si>
  <si>
    <t>CONTRACT-A38</t>
  </si>
  <si>
    <t>CONTRACT-A39</t>
  </si>
  <si>
    <t>CONTRACT-A40</t>
  </si>
  <si>
    <t>CONTRACT-A41</t>
  </si>
  <si>
    <t>CONTRACT-A42</t>
  </si>
  <si>
    <t>CONTRACT-A43</t>
  </si>
  <si>
    <t>CONTRACT-A44</t>
  </si>
  <si>
    <t>CONTRACT-A45</t>
  </si>
  <si>
    <t>CONTRACT-A46</t>
  </si>
  <si>
    <t>CONTRACT-A47</t>
  </si>
  <si>
    <t>CONTRACT-A48</t>
  </si>
  <si>
    <t>CONTRACT-A49</t>
  </si>
  <si>
    <t>CONTRACT-A50</t>
  </si>
  <si>
    <t>CONTRACT-A51</t>
  </si>
  <si>
    <t>CONTRACT-A52</t>
  </si>
  <si>
    <t>CONTRACT-A53</t>
  </si>
  <si>
    <t>CONTRACT-A54</t>
  </si>
  <si>
    <t>CONTRACT-A55</t>
  </si>
  <si>
    <t>CONTRACT-A56</t>
  </si>
  <si>
    <t>CONTRACT-A57</t>
  </si>
  <si>
    <t>CONTRACT-A58</t>
  </si>
  <si>
    <t>CONTRACT-A59</t>
  </si>
  <si>
    <t>CONTRACT-A60</t>
  </si>
  <si>
    <t>CONTRACT-A61</t>
  </si>
  <si>
    <t>CONTRACT-A62</t>
  </si>
  <si>
    <t>CONTRACT-A63</t>
  </si>
  <si>
    <t>CONTRACT-A64</t>
  </si>
  <si>
    <t>CONTRACT-A65</t>
  </si>
  <si>
    <t>CONTRACT-A66</t>
  </si>
  <si>
    <t>CONTRACT-A67</t>
  </si>
  <si>
    <t>CONTRACT-A68</t>
  </si>
  <si>
    <t>CONTRACT-A69</t>
  </si>
  <si>
    <t>CONTRACT-A70</t>
  </si>
  <si>
    <t>CONTRACT-A71</t>
  </si>
  <si>
    <t>CONTRACT-A72</t>
  </si>
  <si>
    <t>CONTRACT-A73</t>
  </si>
  <si>
    <t>CONTRACT-A74</t>
  </si>
  <si>
    <t>CONTRACT-A75</t>
  </si>
  <si>
    <t>CONTRACT-A76</t>
  </si>
  <si>
    <t>CONTRACT-A77</t>
  </si>
  <si>
    <t>CONTRACT-A78</t>
  </si>
  <si>
    <t>CONTRACT-A79</t>
  </si>
  <si>
    <t>CONTRACT-A80</t>
  </si>
  <si>
    <t>CONTRACT-A81</t>
  </si>
  <si>
    <t>CONTRACT-A82</t>
  </si>
  <si>
    <t>CONTRACT-A83</t>
  </si>
  <si>
    <t>CONTRACT-A84</t>
  </si>
  <si>
    <t>CONTRACT-A85</t>
  </si>
  <si>
    <t xml:space="preserve">                 </t>
  </si>
  <si>
    <t>abcd001</t>
  </si>
  <si>
    <t>HAL/NK/MPU-AOD/xyz(208)/23/ dated 01.06.2023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</si>
</sst>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000"/>
    <numFmt numFmtId="166" formatCode="dd/mm/yy"/>
    <numFmt numFmtId="167" formatCode=";;;"/>
    <numFmt numFmtId="168" formatCode="0.00_);\(0.00\)"/>
    <numFmt numFmtId="169" formatCode="0.0"/>
    <numFmt numFmtId="170" formatCode="dd/mm/yy;@"/>
  </numFmts>
  <fonts count="98"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sz val="10"/>
      <name val="Arial"/>
      <family val="2"/>
    </font>
    <font>
      <b/>
      <u/>
      <sz val="14"/>
      <color theme="1"/>
      <name val="Arial"/>
      <family val="2"/>
    </font>
    <font>
      <b/>
      <sz val="14"/>
      <color theme="1"/>
      <name val="Arial"/>
      <family val="2"/>
    </font>
    <font>
      <b/>
      <sz val="12"/>
      <color theme="1"/>
      <name val="Arial"/>
      <family val="2"/>
    </font>
    <font>
      <sz val="12"/>
      <color theme="1"/>
      <name val="Arial"/>
      <family val="2"/>
    </font>
    <font>
      <sz val="14"/>
      <color theme="1"/>
      <name val="Arial"/>
      <family val="2"/>
    </font>
    <font>
      <sz val="10"/>
      <name val="Arial Cyr"/>
      <charset val="204"/>
    </font>
    <font>
      <sz val="11"/>
      <color indexed="8"/>
      <name val="Calibri"/>
      <family val="2"/>
    </font>
    <font>
      <b/>
      <sz val="11"/>
      <color theme="1"/>
      <name val="Calibri"/>
      <family val="2"/>
      <scheme val="minor"/>
    </font>
    <font>
      <b/>
      <i/>
      <sz val="12"/>
      <color rgb="FFFF0000"/>
      <name val="Times New Roman"/>
      <family val="1"/>
    </font>
    <font>
      <b/>
      <sz val="12"/>
      <color rgb="FFFF0000"/>
      <name val="Calibri"/>
      <family val="2"/>
      <scheme val="minor"/>
    </font>
    <font>
      <sz val="11"/>
      <color rgb="FFFF0000"/>
      <name val="Calibri"/>
      <family val="2"/>
      <scheme val="minor"/>
    </font>
    <font>
      <sz val="11"/>
      <color rgb="FF0000FF"/>
      <name val="Calibri"/>
      <family val="2"/>
      <scheme val="minor"/>
    </font>
    <font>
      <i/>
      <sz val="11"/>
      <color rgb="FF0000FF"/>
      <name val="Calibri"/>
      <family val="2"/>
      <scheme val="minor"/>
    </font>
    <font>
      <i/>
      <sz val="11"/>
      <color rgb="FF0000FF"/>
      <name val="Times New Roman"/>
      <family val="1"/>
    </font>
    <font>
      <b/>
      <i/>
      <sz val="8"/>
      <color rgb="FFFF0000"/>
      <name val="Times New Roman"/>
      <family val="1"/>
    </font>
    <font>
      <sz val="11"/>
      <name val="Arial"/>
      <family val="2"/>
    </font>
    <font>
      <sz val="12"/>
      <name val="Arial"/>
      <family val="2"/>
    </font>
    <font>
      <b/>
      <sz val="16"/>
      <color theme="1"/>
      <name val="Arial"/>
      <family val="2"/>
    </font>
    <font>
      <i/>
      <sz val="11"/>
      <color rgb="FFFF0000"/>
      <name val="Calibri"/>
      <family val="2"/>
      <scheme val="minor"/>
    </font>
    <font>
      <i/>
      <sz val="11"/>
      <color rgb="FF7030A0"/>
      <name val="Calibri"/>
      <family val="2"/>
      <scheme val="minor"/>
    </font>
    <font>
      <i/>
      <sz val="11"/>
      <color rgb="FFC00000"/>
      <name val="Calibri"/>
      <family val="2"/>
      <scheme val="minor"/>
    </font>
    <font>
      <sz val="11"/>
      <color rgb="FFC00000"/>
      <name val="Calibri"/>
      <family val="2"/>
      <scheme val="minor"/>
    </font>
    <font>
      <sz val="16"/>
      <color theme="1"/>
      <name val="Calibri"/>
      <family val="2"/>
      <scheme val="minor"/>
    </font>
    <font>
      <b/>
      <sz val="14"/>
      <name val="Arial"/>
      <family val="2"/>
    </font>
    <font>
      <b/>
      <sz val="9"/>
      <name val="Arial"/>
      <family val="2"/>
    </font>
    <font>
      <b/>
      <u/>
      <sz val="15"/>
      <name val="Arial"/>
      <family val="2"/>
    </font>
    <font>
      <b/>
      <sz val="10"/>
      <name val="Arial"/>
      <family val="2"/>
    </font>
    <font>
      <sz val="14"/>
      <name val="Arial"/>
      <family val="2"/>
    </font>
    <font>
      <b/>
      <sz val="12"/>
      <name val="Arial"/>
      <family val="2"/>
    </font>
    <font>
      <b/>
      <sz val="13"/>
      <name val="Arial"/>
      <family val="2"/>
    </font>
    <font>
      <b/>
      <sz val="20"/>
      <name val="Arial"/>
      <family val="2"/>
    </font>
    <font>
      <sz val="11"/>
      <color theme="1"/>
      <name val="Times New Roman"/>
      <family val="1"/>
    </font>
    <font>
      <b/>
      <sz val="11"/>
      <color theme="1"/>
      <name val="Times New Roman"/>
      <family val="1"/>
    </font>
    <font>
      <b/>
      <sz val="14"/>
      <color theme="1"/>
      <name val="Calibri"/>
      <family val="2"/>
      <scheme val="minor"/>
    </font>
    <font>
      <sz val="11"/>
      <name val="Times New Roman"/>
      <family val="1"/>
    </font>
    <font>
      <sz val="11"/>
      <name val="Calibri"/>
      <family val="2"/>
      <scheme val="minor"/>
    </font>
    <font>
      <sz val="10"/>
      <color theme="1"/>
      <name val="Arial"/>
      <family val="2"/>
    </font>
    <font>
      <b/>
      <u/>
      <sz val="11"/>
      <color theme="1"/>
      <name val="Calibri"/>
      <family val="2"/>
      <scheme val="minor"/>
    </font>
    <font>
      <b/>
      <u/>
      <sz val="11"/>
      <color theme="1"/>
      <name val="Times New Roman"/>
      <family val="1"/>
    </font>
    <font>
      <sz val="11"/>
      <color rgb="FFFF0000"/>
      <name val="Times New Roman"/>
      <family val="1"/>
    </font>
    <font>
      <b/>
      <sz val="16"/>
      <color rgb="FFFF0000"/>
      <name val="Calibri"/>
      <family val="2"/>
      <scheme val="minor"/>
    </font>
    <font>
      <sz val="11"/>
      <color rgb="FF000000"/>
      <name val="Times New Roman"/>
      <family val="1"/>
    </font>
    <font>
      <u/>
      <sz val="11"/>
      <color theme="1"/>
      <name val="Times New Roman"/>
      <family val="1"/>
    </font>
    <font>
      <sz val="18"/>
      <color theme="1"/>
      <name val="Calibri"/>
      <family val="2"/>
      <scheme val="minor"/>
    </font>
    <font>
      <u/>
      <sz val="16"/>
      <color theme="1"/>
      <name val="Times New Roman"/>
      <family val="1"/>
    </font>
    <font>
      <b/>
      <sz val="12"/>
      <color theme="1"/>
      <name val="Times New Roman"/>
      <family val="1"/>
    </font>
    <font>
      <sz val="7"/>
      <color theme="1"/>
      <name val="Times New Roman"/>
      <family val="1"/>
    </font>
    <font>
      <b/>
      <u/>
      <sz val="12"/>
      <color theme="1"/>
      <name val="Times New Roman"/>
      <family val="1"/>
    </font>
    <font>
      <sz val="12"/>
      <color theme="1"/>
      <name val="Times New Roman"/>
      <family val="1"/>
    </font>
    <font>
      <b/>
      <u/>
      <sz val="14"/>
      <color theme="1"/>
      <name val="Times New Roman"/>
      <family val="1"/>
    </font>
    <font>
      <b/>
      <sz val="10"/>
      <color theme="1"/>
      <name val="Times New Roman"/>
      <family val="1"/>
    </font>
    <font>
      <sz val="10"/>
      <color theme="1"/>
      <name val="Times New Roman"/>
      <family val="1"/>
    </font>
    <font>
      <sz val="20"/>
      <color theme="1"/>
      <name val="Calibri"/>
      <family val="2"/>
      <scheme val="minor"/>
    </font>
    <font>
      <b/>
      <u/>
      <sz val="12"/>
      <color theme="1"/>
      <name val="Arial"/>
      <family val="2"/>
    </font>
    <font>
      <b/>
      <u/>
      <sz val="12"/>
      <color rgb="FF1A151B"/>
      <name val="Arial"/>
      <family val="2"/>
    </font>
    <font>
      <b/>
      <sz val="12"/>
      <color rgb="FF1A151B"/>
      <name val="Arial"/>
      <family val="2"/>
    </font>
    <font>
      <sz val="12"/>
      <color rgb="FF1A151B"/>
      <name val="Arial"/>
      <family val="2"/>
    </font>
    <font>
      <b/>
      <sz val="8"/>
      <color rgb="FF1A151B"/>
      <name val="Arial"/>
      <family val="2"/>
    </font>
    <font>
      <sz val="10"/>
      <color rgb="FF1A151B"/>
      <name val="Arial"/>
      <family val="2"/>
    </font>
    <font>
      <b/>
      <sz val="8"/>
      <color theme="1"/>
      <name val="Times New Roman"/>
      <family val="1"/>
    </font>
    <font>
      <sz val="8"/>
      <color theme="1"/>
      <name val="Times New Roman"/>
      <family val="1"/>
    </font>
    <font>
      <sz val="12"/>
      <color theme="1"/>
      <name val="Calibri"/>
      <family val="2"/>
      <scheme val="minor"/>
    </font>
    <font>
      <sz val="10"/>
      <color theme="1"/>
      <name val="Calibri"/>
      <family val="2"/>
      <scheme val="minor"/>
    </font>
    <font>
      <b/>
      <sz val="16"/>
      <name val="Calibri"/>
      <family val="2"/>
      <scheme val="minor"/>
    </font>
    <font>
      <b/>
      <sz val="10"/>
      <color theme="1"/>
      <name val="Calibri"/>
      <family val="2"/>
      <scheme val="minor"/>
    </font>
    <font>
      <b/>
      <sz val="11"/>
      <color rgb="FF7030A0"/>
      <name val="Times New Roman"/>
      <family val="1"/>
    </font>
    <font>
      <b/>
      <sz val="12"/>
      <color rgb="FFFF0000"/>
      <name val="Arial"/>
      <family val="2"/>
    </font>
    <font>
      <sz val="12"/>
      <name val="Calibri"/>
      <family val="2"/>
      <scheme val="minor"/>
    </font>
    <font>
      <b/>
      <sz val="8"/>
      <color theme="1"/>
      <name val="Arial"/>
      <family val="2"/>
    </font>
    <font>
      <b/>
      <sz val="18"/>
      <color theme="1"/>
      <name val="Arial"/>
      <family val="2"/>
    </font>
    <font>
      <sz val="18"/>
      <color theme="1"/>
      <name val="Arial"/>
      <family val="2"/>
    </font>
    <font>
      <b/>
      <sz val="14"/>
      <color theme="1"/>
      <name val="Verdana"/>
      <family val="2"/>
    </font>
    <font>
      <sz val="9"/>
      <name val="Arial"/>
      <family val="2"/>
    </font>
    <font>
      <b/>
      <sz val="17"/>
      <color theme="1"/>
      <name val="Arial"/>
      <family val="2"/>
    </font>
    <font>
      <b/>
      <sz val="20"/>
      <color theme="1"/>
      <name val="Arial"/>
      <family val="2"/>
    </font>
    <font>
      <b/>
      <sz val="20"/>
      <color theme="1"/>
      <name val="Calibri"/>
      <family val="2"/>
      <scheme val="minor"/>
    </font>
    <font>
      <b/>
      <sz val="11"/>
      <color theme="1"/>
      <name val="Calibri"/>
      <family val="2"/>
    </font>
    <font>
      <sz val="11"/>
      <color theme="1"/>
      <name val="Calibri"/>
      <family val="2"/>
    </font>
    <font>
      <b/>
      <sz val="11"/>
      <color rgb="FF3333FF"/>
      <name val="Arial"/>
      <family val="2"/>
    </font>
    <font>
      <b/>
      <sz val="11"/>
      <color rgb="FF3333FF"/>
      <name val="Calibri"/>
      <family val="2"/>
      <scheme val="minor"/>
    </font>
    <font>
      <b/>
      <sz val="36"/>
      <color theme="1"/>
      <name val="Arial"/>
      <family val="2"/>
    </font>
    <font>
      <b/>
      <sz val="30"/>
      <color theme="1"/>
      <name val="Arial"/>
      <family val="2"/>
    </font>
    <font>
      <sz val="36"/>
      <color theme="1"/>
      <name val="Arial"/>
      <family val="2"/>
    </font>
    <font>
      <b/>
      <sz val="24"/>
      <color theme="1"/>
      <name val="Arial"/>
      <family val="2"/>
    </font>
    <font>
      <b/>
      <sz val="40"/>
      <color theme="1"/>
      <name val="Arial"/>
      <family val="2"/>
    </font>
    <font>
      <sz val="40"/>
      <color theme="1"/>
      <name val="Arial"/>
      <family val="2"/>
    </font>
    <font>
      <b/>
      <sz val="48"/>
      <color theme="1"/>
      <name val="Arial"/>
      <family val="2"/>
    </font>
    <font>
      <b/>
      <sz val="26"/>
      <color theme="1"/>
      <name val="Arial"/>
      <family val="2"/>
    </font>
    <font>
      <sz val="24"/>
      <color theme="1"/>
      <name val="Arial"/>
      <family val="2"/>
    </font>
    <font>
      <sz val="11"/>
      <color rgb="FF000000"/>
      <name val="Arial"/>
      <family val="2"/>
    </font>
    <font>
      <b/>
      <sz val="12"/>
      <color rgb="FF3333FF"/>
      <name val="Arial"/>
      <family val="2"/>
    </font>
    <font>
      <b/>
      <sz val="12"/>
      <color theme="1"/>
      <name val="Calibri"/>
      <family val="2"/>
      <scheme val="minor"/>
    </font>
    <font>
      <strike/>
      <sz val="12"/>
      <color theme="1"/>
      <name val="Arial"/>
      <family val="2"/>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6" tint="0.39997558519241921"/>
        <bgColor indexed="64"/>
      </patternFill>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rgb="FFFFFFFF"/>
        <bgColor indexed="64"/>
      </patternFill>
    </fill>
    <fill>
      <patternFill patternType="solid">
        <fgColor theme="4" tint="0.39997558519241921"/>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medium">
        <color indexed="64"/>
      </left>
      <right style="hair">
        <color auto="1"/>
      </right>
      <top style="medium">
        <color indexed="64"/>
      </top>
      <bottom style="hair">
        <color auto="1"/>
      </bottom>
      <diagonal/>
    </border>
    <border>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medium">
        <color indexed="64"/>
      </left>
      <right style="hair">
        <color auto="1"/>
      </right>
      <top style="hair">
        <color auto="1"/>
      </top>
      <bottom style="medium">
        <color indexed="64"/>
      </bottom>
      <diagonal/>
    </border>
    <border>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medium">
        <color indexed="64"/>
      </left>
      <right style="hair">
        <color auto="1"/>
      </right>
      <top style="hair">
        <color auto="1"/>
      </top>
      <bottom style="hair">
        <color auto="1"/>
      </bottom>
      <diagonal/>
    </border>
    <border>
      <left style="medium">
        <color indexed="64"/>
      </left>
      <right style="hair">
        <color auto="1"/>
      </right>
      <top style="hair">
        <color auto="1"/>
      </top>
      <bottom/>
      <diagonal/>
    </border>
    <border>
      <left/>
      <right style="hair">
        <color auto="1"/>
      </right>
      <top style="hair">
        <color auto="1"/>
      </top>
      <bottom/>
      <diagonal/>
    </border>
    <border>
      <left style="hair">
        <color auto="1"/>
      </left>
      <right style="hair">
        <color auto="1"/>
      </right>
      <top/>
      <bottom style="hair">
        <color auto="1"/>
      </bottom>
      <diagonal/>
    </border>
    <border>
      <left/>
      <right/>
      <top style="hair">
        <color auto="1"/>
      </top>
      <bottom style="hair">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auto="1"/>
      </left>
      <right style="medium">
        <color indexed="64"/>
      </right>
      <top style="medium">
        <color indexed="64"/>
      </top>
      <bottom style="hair">
        <color auto="1"/>
      </bottom>
      <diagonal/>
    </border>
    <border>
      <left style="hair">
        <color auto="1"/>
      </left>
      <right style="medium">
        <color indexed="64"/>
      </right>
      <top style="hair">
        <color auto="1"/>
      </top>
      <bottom style="medium">
        <color indexed="64"/>
      </bottom>
      <diagonal/>
    </border>
    <border>
      <left style="hair">
        <color auto="1"/>
      </left>
      <right style="medium">
        <color indexed="64"/>
      </right>
      <top style="hair">
        <color auto="1"/>
      </top>
      <bottom style="hair">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indexed="64"/>
      </right>
      <top style="medium">
        <color rgb="FF000000"/>
      </top>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style="medium">
        <color indexed="64"/>
      </right>
      <top style="medium">
        <color rgb="FF000000"/>
      </top>
      <bottom style="medium">
        <color indexed="64"/>
      </bottom>
      <diagonal/>
    </border>
    <border>
      <left/>
      <right style="medium">
        <color rgb="FF000000"/>
      </right>
      <top style="medium">
        <color indexed="64"/>
      </top>
      <bottom/>
      <diagonal/>
    </border>
    <border>
      <left/>
      <right style="medium">
        <color rgb="FF000000"/>
      </right>
      <top style="medium">
        <color indexed="64"/>
      </top>
      <bottom style="medium">
        <color rgb="FF000000"/>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style="medium">
        <color rgb="FF000000"/>
      </right>
      <top/>
      <bottom style="medium">
        <color indexed="64"/>
      </bottom>
      <diagonal/>
    </border>
    <border>
      <left style="medium">
        <color indexed="64"/>
      </left>
      <right style="medium">
        <color rgb="FF000000"/>
      </right>
      <top/>
      <bottom style="medium">
        <color indexed="64"/>
      </bottom>
      <diagonal/>
    </border>
    <border>
      <left style="thin">
        <color indexed="64"/>
      </left>
      <right style="thin">
        <color indexed="64"/>
      </right>
      <top style="thin">
        <color theme="1"/>
      </top>
      <bottom style="thin">
        <color theme="1"/>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s>
  <cellStyleXfs count="24">
    <xf numFmtId="0" fontId="0" fillId="0" borderId="0"/>
    <xf numFmtId="0" fontId="4" fillId="0" borderId="0"/>
    <xf numFmtId="0" fontId="4" fillId="0" borderId="0"/>
    <xf numFmtId="0" fontId="1"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9" fontId="1" fillId="0" borderId="0" applyFont="0" applyFill="0" applyBorder="0" applyAlignment="0" applyProtection="0"/>
  </cellStyleXfs>
  <cellXfs count="1086">
    <xf numFmtId="0" fontId="0" fillId="0" borderId="0" xfId="0"/>
    <xf numFmtId="0" fontId="6" fillId="2" borderId="0" xfId="1" applyFont="1" applyFill="1"/>
    <xf numFmtId="0" fontId="7" fillId="2" borderId="0" xfId="1" applyFont="1" applyFill="1"/>
    <xf numFmtId="2" fontId="7" fillId="4" borderId="9" xfId="1" applyNumberFormat="1" applyFont="1" applyFill="1" applyBorder="1" applyAlignment="1">
      <alignment horizontal="center" vertical="center" wrapText="1"/>
    </xf>
    <xf numFmtId="0" fontId="7" fillId="2" borderId="0" xfId="1" applyFont="1" applyFill="1" applyAlignment="1">
      <alignment horizontal="center" vertical="center" wrapText="1"/>
    </xf>
    <xf numFmtId="2" fontId="3" fillId="4" borderId="1" xfId="1" applyNumberFormat="1" applyFont="1" applyFill="1" applyBorder="1" applyAlignment="1">
      <alignment horizontal="right" vertical="center" wrapText="1"/>
    </xf>
    <xf numFmtId="2" fontId="3" fillId="2" borderId="1" xfId="3"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3" fillId="2" borderId="1" xfId="1" applyNumberFormat="1" applyFont="1" applyFill="1" applyBorder="1" applyAlignment="1">
      <alignment horizontal="right" vertical="center" wrapText="1"/>
    </xf>
    <xf numFmtId="10" fontId="2" fillId="2" borderId="1" xfId="1" applyNumberFormat="1" applyFont="1" applyFill="1" applyBorder="1" applyAlignment="1">
      <alignment horizontal="right" vertical="center"/>
    </xf>
    <xf numFmtId="0" fontId="8" fillId="2" borderId="0" xfId="1" applyFont="1" applyFill="1" applyBorder="1" applyAlignment="1">
      <alignment horizontal="center" vertical="center" wrapText="1"/>
    </xf>
    <xf numFmtId="0" fontId="3" fillId="2" borderId="0" xfId="1" applyFont="1" applyFill="1" applyBorder="1" applyAlignment="1">
      <alignment vertical="center" wrapText="1"/>
    </xf>
    <xf numFmtId="0" fontId="3" fillId="2" borderId="0" xfId="1" applyFont="1" applyFill="1" applyBorder="1" applyAlignment="1">
      <alignment horizontal="center" vertical="center" wrapText="1"/>
    </xf>
    <xf numFmtId="2" fontId="3" fillId="3" borderId="0" xfId="1" applyNumberFormat="1" applyFont="1" applyFill="1" applyBorder="1" applyAlignment="1">
      <alignment horizontal="right" vertical="center" wrapText="1"/>
    </xf>
    <xf numFmtId="2" fontId="2" fillId="0" borderId="0" xfId="1" applyNumberFormat="1" applyFont="1" applyFill="1" applyBorder="1" applyAlignment="1">
      <alignment horizontal="right" vertical="center" wrapText="1"/>
    </xf>
    <xf numFmtId="2" fontId="2" fillId="2" borderId="0" xfId="1" applyNumberFormat="1" applyFont="1" applyFill="1" applyBorder="1" applyAlignment="1">
      <alignment horizontal="right" vertical="center" wrapText="1"/>
    </xf>
    <xf numFmtId="2" fontId="2" fillId="2" borderId="0" xfId="1" applyNumberFormat="1" applyFont="1" applyFill="1" applyBorder="1" applyAlignment="1">
      <alignment horizontal="center" vertical="center" wrapText="1"/>
    </xf>
    <xf numFmtId="2" fontId="7" fillId="3" borderId="0" xfId="1" applyNumberFormat="1" applyFont="1" applyFill="1" applyBorder="1" applyAlignment="1">
      <alignment vertical="center" wrapText="1"/>
    </xf>
    <xf numFmtId="2" fontId="7" fillId="2" borderId="0" xfId="1" applyNumberFormat="1" applyFont="1" applyFill="1" applyBorder="1" applyAlignment="1">
      <alignment horizontal="right" vertical="center" wrapText="1"/>
    </xf>
    <xf numFmtId="2" fontId="7" fillId="2" borderId="0" xfId="1" applyNumberFormat="1" applyFont="1" applyFill="1" applyBorder="1" applyAlignment="1">
      <alignment horizontal="center" vertical="center" wrapText="1"/>
    </xf>
    <xf numFmtId="2" fontId="7" fillId="0" borderId="0" xfId="1" applyNumberFormat="1" applyFont="1" applyFill="1" applyBorder="1" applyAlignment="1">
      <alignment horizontal="center" vertical="center" wrapText="1"/>
    </xf>
    <xf numFmtId="2" fontId="6" fillId="2" borderId="0" xfId="1" applyNumberFormat="1" applyFont="1" applyFill="1" applyAlignment="1">
      <alignment horizontal="right"/>
    </xf>
    <xf numFmtId="2" fontId="6" fillId="0" borderId="0" xfId="1" applyNumberFormat="1" applyFont="1" applyFill="1" applyAlignment="1">
      <alignment horizontal="right"/>
    </xf>
    <xf numFmtId="2" fontId="9" fillId="2" borderId="0" xfId="1" applyNumberFormat="1" applyFont="1" applyFill="1" applyAlignment="1">
      <alignment horizontal="center"/>
    </xf>
    <xf numFmtId="2" fontId="6" fillId="2" borderId="0" xfId="1" applyNumberFormat="1" applyFont="1" applyFill="1"/>
    <xf numFmtId="1" fontId="9" fillId="2" borderId="0" xfId="1" applyNumberFormat="1" applyFont="1" applyFill="1"/>
    <xf numFmtId="2" fontId="6" fillId="2" borderId="0" xfId="1" applyNumberFormat="1" applyFont="1" applyFill="1" applyAlignment="1"/>
    <xf numFmtId="1" fontId="6" fillId="2" borderId="0" xfId="1" applyNumberFormat="1" applyFont="1" applyFill="1" applyAlignment="1">
      <alignment horizontal="center"/>
    </xf>
    <xf numFmtId="2" fontId="9" fillId="3" borderId="0" xfId="1" applyNumberFormat="1" applyFont="1" applyFill="1" applyAlignment="1"/>
    <xf numFmtId="2" fontId="9" fillId="0" borderId="0" xfId="1" applyNumberFormat="1" applyFont="1" applyFill="1" applyAlignment="1">
      <alignment horizontal="right"/>
    </xf>
    <xf numFmtId="2" fontId="9" fillId="2" borderId="0" xfId="1" applyNumberFormat="1" applyFont="1" applyFill="1" applyAlignment="1">
      <alignment horizontal="right"/>
    </xf>
    <xf numFmtId="0" fontId="6" fillId="2" borderId="0" xfId="1" applyFont="1" applyFill="1" applyAlignment="1">
      <alignment horizontal="center"/>
    </xf>
    <xf numFmtId="2" fontId="6" fillId="3" borderId="0" xfId="1" applyNumberFormat="1" applyFont="1" applyFill="1" applyAlignment="1">
      <alignment horizontal="right"/>
    </xf>
    <xf numFmtId="2" fontId="6" fillId="2" borderId="0" xfId="1" applyNumberFormat="1" applyFont="1" applyFill="1" applyAlignment="1">
      <alignment horizontal="center"/>
    </xf>
    <xf numFmtId="14" fontId="13" fillId="5" borderId="11" xfId="0" applyNumberFormat="1" applyFont="1" applyFill="1" applyBorder="1" applyAlignment="1">
      <alignment horizontal="center" vertical="center" wrapText="1"/>
    </xf>
    <xf numFmtId="0" fontId="12" fillId="6" borderId="11" xfId="0" applyFont="1" applyFill="1" applyBorder="1" applyAlignment="1">
      <alignment vertical="center" wrapText="1"/>
    </xf>
    <xf numFmtId="0" fontId="0" fillId="0" borderId="11" xfId="0" applyBorder="1" applyAlignment="1">
      <alignment vertical="center" wrapText="1"/>
    </xf>
    <xf numFmtId="0" fontId="14" fillId="5" borderId="11" xfId="0" applyFont="1" applyFill="1" applyBorder="1" applyAlignment="1">
      <alignment vertical="center" wrapText="1"/>
    </xf>
    <xf numFmtId="0" fontId="0" fillId="7" borderId="11" xfId="0" applyFill="1" applyBorder="1" applyAlignment="1">
      <alignment vertical="center" wrapText="1"/>
    </xf>
    <xf numFmtId="0" fontId="0" fillId="4" borderId="11" xfId="0" applyFill="1" applyBorder="1" applyAlignment="1">
      <alignment horizontal="center" vertical="center" wrapText="1"/>
    </xf>
    <xf numFmtId="0" fontId="16" fillId="7" borderId="11" xfId="0" applyFont="1" applyFill="1" applyBorder="1" applyAlignment="1">
      <alignment horizontal="center" vertical="center" wrapText="1"/>
    </xf>
    <xf numFmtId="0" fontId="16" fillId="7" borderId="0" xfId="0" applyFont="1" applyFill="1" applyAlignment="1">
      <alignment horizontal="center" vertical="center"/>
    </xf>
    <xf numFmtId="0" fontId="16" fillId="7" borderId="0" xfId="0" applyFont="1" applyFill="1" applyBorder="1" applyAlignment="1">
      <alignment horizontal="center" vertical="center" wrapText="1"/>
    </xf>
    <xf numFmtId="0" fontId="12" fillId="6" borderId="0" xfId="0" applyFont="1" applyFill="1" applyAlignment="1">
      <alignment vertical="center"/>
    </xf>
    <xf numFmtId="0" fontId="14" fillId="5" borderId="11" xfId="0" applyFont="1" applyFill="1" applyBorder="1" applyAlignment="1">
      <alignment horizontal="center" vertical="center" wrapText="1"/>
    </xf>
    <xf numFmtId="0" fontId="0" fillId="0" borderId="0" xfId="0" applyAlignment="1">
      <alignment vertical="center"/>
    </xf>
    <xf numFmtId="14" fontId="19" fillId="5" borderId="11" xfId="0" applyNumberFormat="1" applyFont="1" applyFill="1" applyBorder="1" applyAlignment="1">
      <alignment horizontal="center" vertical="center" wrapText="1"/>
    </xf>
    <xf numFmtId="0" fontId="0" fillId="4" borderId="11" xfId="0" applyFill="1" applyBorder="1" applyAlignment="1">
      <alignment horizontal="center" vertical="center"/>
    </xf>
    <xf numFmtId="0" fontId="16" fillId="7" borderId="11" xfId="0" applyFont="1" applyFill="1" applyBorder="1" applyAlignment="1">
      <alignment horizontal="center" vertical="center"/>
    </xf>
    <xf numFmtId="0" fontId="12" fillId="6" borderId="11" xfId="0" applyFont="1" applyFill="1" applyBorder="1" applyAlignment="1">
      <alignment vertical="center"/>
    </xf>
    <xf numFmtId="0" fontId="0" fillId="0" borderId="11" xfId="0" applyBorder="1" applyAlignment="1">
      <alignment vertical="center"/>
    </xf>
    <xf numFmtId="0" fontId="0" fillId="4" borderId="14" xfId="0" applyFill="1" applyBorder="1" applyAlignment="1">
      <alignment horizontal="center" vertical="center" wrapText="1"/>
    </xf>
    <xf numFmtId="0" fontId="16" fillId="7" borderId="14" xfId="0" applyFont="1" applyFill="1" applyBorder="1" applyAlignment="1">
      <alignment horizontal="center" vertical="center" wrapText="1"/>
    </xf>
    <xf numFmtId="0" fontId="12" fillId="6" borderId="14" xfId="0" applyFont="1" applyFill="1" applyBorder="1" applyAlignment="1">
      <alignment vertical="center" wrapText="1"/>
    </xf>
    <xf numFmtId="0" fontId="0" fillId="7" borderId="14" xfId="0" applyFill="1" applyBorder="1" applyAlignment="1">
      <alignment vertical="center" wrapText="1"/>
    </xf>
    <xf numFmtId="0" fontId="0" fillId="4" borderId="15" xfId="0" applyFill="1" applyBorder="1" applyAlignment="1">
      <alignment horizontal="center" vertical="center" wrapText="1"/>
    </xf>
    <xf numFmtId="0" fontId="16" fillId="7" borderId="16" xfId="0" applyFont="1" applyFill="1" applyBorder="1" applyAlignment="1">
      <alignment horizontal="center" vertical="center" wrapText="1"/>
    </xf>
    <xf numFmtId="0" fontId="12" fillId="6" borderId="17" xfId="0" applyFont="1" applyFill="1" applyBorder="1" applyAlignment="1">
      <alignment vertical="center" wrapText="1"/>
    </xf>
    <xf numFmtId="0" fontId="0" fillId="7" borderId="17" xfId="0" applyFill="1" applyBorder="1" applyAlignment="1">
      <alignment vertical="center" wrapText="1"/>
    </xf>
    <xf numFmtId="0" fontId="15" fillId="7" borderId="17" xfId="0" applyFont="1" applyFill="1" applyBorder="1" applyAlignment="1">
      <alignment horizontal="center" vertical="center" wrapText="1"/>
    </xf>
    <xf numFmtId="0" fontId="0" fillId="4" borderId="18" xfId="0" applyFill="1" applyBorder="1" applyAlignment="1">
      <alignment horizontal="center" vertical="center" wrapText="1"/>
    </xf>
    <xf numFmtId="0" fontId="16" fillId="7" borderId="19" xfId="0" applyFont="1" applyFill="1" applyBorder="1" applyAlignment="1">
      <alignment horizontal="center" vertical="center" wrapText="1"/>
    </xf>
    <xf numFmtId="0" fontId="12" fillId="6" borderId="20" xfId="0" applyFont="1" applyFill="1" applyBorder="1" applyAlignment="1">
      <alignment vertical="center" wrapText="1"/>
    </xf>
    <xf numFmtId="0" fontId="0" fillId="4" borderId="21" xfId="0" applyFill="1" applyBorder="1" applyAlignment="1">
      <alignment horizontal="center" vertical="center" wrapText="1"/>
    </xf>
    <xf numFmtId="0" fontId="16" fillId="7" borderId="13" xfId="0" applyFont="1" applyFill="1" applyBorder="1" applyAlignment="1">
      <alignment horizontal="center" vertical="center" wrapText="1"/>
    </xf>
    <xf numFmtId="0" fontId="0" fillId="4" borderId="22" xfId="0" applyFill="1" applyBorder="1" applyAlignment="1">
      <alignment horizontal="center" vertical="center" wrapText="1"/>
    </xf>
    <xf numFmtId="0" fontId="16" fillId="7" borderId="23" xfId="0" applyFont="1" applyFill="1" applyBorder="1" applyAlignment="1">
      <alignment horizontal="center" vertical="center" wrapText="1"/>
    </xf>
    <xf numFmtId="0" fontId="0" fillId="4" borderId="24" xfId="0" applyFill="1" applyBorder="1" applyAlignment="1">
      <alignment horizontal="center" vertical="center" wrapText="1"/>
    </xf>
    <xf numFmtId="0" fontId="16" fillId="7" borderId="24" xfId="0" applyFont="1" applyFill="1" applyBorder="1" applyAlignment="1">
      <alignment horizontal="center" vertical="center" wrapText="1"/>
    </xf>
    <xf numFmtId="0" fontId="12" fillId="6" borderId="24" xfId="0" applyFont="1" applyFill="1" applyBorder="1" applyAlignment="1">
      <alignment vertical="center" wrapText="1"/>
    </xf>
    <xf numFmtId="0" fontId="0" fillId="7" borderId="24" xfId="0" applyFill="1" applyBorder="1" applyAlignment="1">
      <alignment vertical="center" wrapText="1"/>
    </xf>
    <xf numFmtId="0" fontId="0" fillId="0" borderId="11" xfId="0" applyBorder="1" applyAlignment="1">
      <alignment horizontal="center" vertical="center" wrapText="1"/>
    </xf>
    <xf numFmtId="0" fontId="7" fillId="2" borderId="8" xfId="1" applyFont="1" applyFill="1" applyBorder="1" applyAlignment="1">
      <alignment horizontal="center" vertical="center" wrapText="1"/>
    </xf>
    <xf numFmtId="2" fontId="7" fillId="2" borderId="1" xfId="1" applyNumberFormat="1" applyFont="1" applyFill="1" applyBorder="1" applyAlignment="1">
      <alignment horizontal="right" vertical="center"/>
    </xf>
    <xf numFmtId="2" fontId="7" fillId="2" borderId="7" xfId="1" applyNumberFormat="1" applyFont="1" applyFill="1" applyBorder="1" applyAlignment="1">
      <alignment horizontal="center" vertical="center" wrapText="1"/>
    </xf>
    <xf numFmtId="1" fontId="3" fillId="3" borderId="0" xfId="1" applyNumberFormat="1" applyFont="1" applyFill="1" applyBorder="1" applyAlignment="1">
      <alignment horizontal="center" vertical="center" wrapText="1"/>
    </xf>
    <xf numFmtId="1" fontId="7" fillId="3" borderId="0" xfId="1" applyNumberFormat="1" applyFont="1" applyFill="1" applyBorder="1" applyAlignment="1">
      <alignment vertical="center" wrapText="1"/>
    </xf>
    <xf numFmtId="1" fontId="6" fillId="3" borderId="0" xfId="1" applyNumberFormat="1" applyFont="1" applyFill="1" applyAlignment="1">
      <alignment horizontal="center"/>
    </xf>
    <xf numFmtId="1" fontId="9" fillId="3" borderId="0" xfId="1" applyNumberFormat="1" applyFont="1" applyFill="1" applyAlignment="1"/>
    <xf numFmtId="0" fontId="17" fillId="7" borderId="11" xfId="0" applyFont="1" applyFill="1" applyBorder="1" applyAlignment="1">
      <alignment horizontal="center" vertical="center"/>
    </xf>
    <xf numFmtId="14" fontId="18" fillId="7" borderId="11" xfId="0" applyNumberFormat="1" applyFont="1" applyFill="1" applyBorder="1" applyAlignment="1">
      <alignment horizontal="center" vertical="center"/>
    </xf>
    <xf numFmtId="14" fontId="18" fillId="7" borderId="0" xfId="0" applyNumberFormat="1" applyFont="1" applyFill="1" applyAlignment="1">
      <alignment horizontal="center" vertical="center"/>
    </xf>
    <xf numFmtId="14" fontId="17" fillId="7" borderId="11" xfId="0" applyNumberFormat="1" applyFont="1" applyFill="1" applyBorder="1" applyAlignment="1">
      <alignment horizontal="center" vertical="center"/>
    </xf>
    <xf numFmtId="14" fontId="0" fillId="7" borderId="14" xfId="0" applyNumberFormat="1" applyFill="1" applyBorder="1" applyAlignment="1">
      <alignment vertical="center" wrapText="1"/>
    </xf>
    <xf numFmtId="0" fontId="18" fillId="7" borderId="0" xfId="0" applyNumberFormat="1" applyFont="1" applyFill="1" applyAlignment="1">
      <alignment horizontal="center" vertical="center"/>
    </xf>
    <xf numFmtId="0" fontId="7" fillId="2" borderId="3" xfId="1" applyFont="1" applyFill="1" applyBorder="1" applyAlignment="1">
      <alignment horizontal="center" vertical="center"/>
    </xf>
    <xf numFmtId="2" fontId="7"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2" fontId="7" fillId="2" borderId="1" xfId="2" applyNumberFormat="1" applyFont="1" applyFill="1" applyBorder="1" applyAlignment="1">
      <alignment horizontal="center" vertical="center" wrapText="1"/>
    </xf>
    <xf numFmtId="1" fontId="7" fillId="2" borderId="1" xfId="1" applyNumberFormat="1" applyFont="1" applyFill="1" applyBorder="1" applyAlignment="1">
      <alignment horizontal="center" vertical="center" wrapText="1"/>
    </xf>
    <xf numFmtId="14" fontId="7" fillId="2" borderId="1" xfId="1" applyNumberFormat="1" applyFont="1" applyFill="1" applyBorder="1" applyAlignment="1">
      <alignment horizontal="center" vertical="center" wrapText="1"/>
    </xf>
    <xf numFmtId="1" fontId="7" fillId="2" borderId="0" xfId="1" applyNumberFormat="1" applyFont="1" applyFill="1" applyBorder="1" applyAlignment="1">
      <alignment horizontal="right" vertical="center" wrapText="1"/>
    </xf>
    <xf numFmtId="2" fontId="3" fillId="0" borderId="0" xfId="1" applyNumberFormat="1" applyFont="1" applyFill="1" applyBorder="1" applyAlignment="1">
      <alignment horizontal="right" vertical="center" wrapText="1"/>
    </xf>
    <xf numFmtId="2" fontId="3" fillId="2" borderId="0" xfId="1" applyNumberFormat="1" applyFont="1" applyFill="1" applyBorder="1" applyAlignment="1">
      <alignment horizontal="right" vertical="center" wrapText="1"/>
    </xf>
    <xf numFmtId="2" fontId="3" fillId="2" borderId="0" xfId="1" applyNumberFormat="1" applyFont="1" applyFill="1" applyBorder="1" applyAlignment="1">
      <alignment horizontal="center" vertical="center" wrapText="1"/>
    </xf>
    <xf numFmtId="1" fontId="8" fillId="3" borderId="0" xfId="1" applyNumberFormat="1" applyFont="1" applyFill="1" applyBorder="1" applyAlignment="1">
      <alignment vertical="center" wrapText="1"/>
    </xf>
    <xf numFmtId="2" fontId="8" fillId="3" borderId="0" xfId="1" applyNumberFormat="1" applyFont="1" applyFill="1" applyBorder="1" applyAlignment="1">
      <alignment vertical="center" wrapText="1"/>
    </xf>
    <xf numFmtId="2" fontId="8" fillId="0" borderId="0" xfId="1" applyNumberFormat="1" applyFont="1" applyFill="1" applyBorder="1" applyAlignment="1">
      <alignment horizontal="right" vertical="center" wrapText="1"/>
    </xf>
    <xf numFmtId="1" fontId="8" fillId="2" borderId="0" xfId="1" applyNumberFormat="1" applyFont="1" applyFill="1" applyBorder="1" applyAlignment="1">
      <alignment horizontal="right" vertical="center" wrapText="1"/>
    </xf>
    <xf numFmtId="2" fontId="8" fillId="2" borderId="0" xfId="1" applyNumberFormat="1" applyFont="1" applyFill="1" applyBorder="1" applyAlignment="1">
      <alignment horizontal="right" vertical="center" wrapText="1"/>
    </xf>
    <xf numFmtId="2" fontId="8" fillId="2" borderId="0" xfId="1" applyNumberFormat="1" applyFont="1" applyFill="1" applyBorder="1" applyAlignment="1">
      <alignment horizontal="center" vertical="center" wrapText="1"/>
    </xf>
    <xf numFmtId="2" fontId="8" fillId="0" borderId="0" xfId="1" applyNumberFormat="1" applyFont="1" applyFill="1" applyBorder="1" applyAlignment="1">
      <alignment horizontal="center" vertical="center" wrapText="1"/>
    </xf>
    <xf numFmtId="2" fontId="7" fillId="2" borderId="1" xfId="4" applyNumberFormat="1" applyFont="1" applyFill="1" applyBorder="1" applyAlignment="1">
      <alignment horizontal="right" vertical="center"/>
    </xf>
    <xf numFmtId="10" fontId="7" fillId="2" borderId="0" xfId="1" applyNumberFormat="1" applyFont="1" applyFill="1" applyBorder="1" applyAlignment="1">
      <alignment horizontal="right" vertical="center"/>
    </xf>
    <xf numFmtId="0" fontId="7" fillId="2" borderId="0" xfId="1" applyFont="1" applyFill="1" applyAlignment="1">
      <alignment horizontal="center" vertical="center"/>
    </xf>
    <xf numFmtId="2" fontId="7" fillId="2" borderId="0" xfId="1" applyNumberFormat="1" applyFont="1" applyFill="1" applyBorder="1" applyAlignment="1">
      <alignment horizontal="center" vertical="center"/>
    </xf>
    <xf numFmtId="1" fontId="7" fillId="3" borderId="0" xfId="1" applyNumberFormat="1" applyFont="1" applyFill="1" applyBorder="1" applyAlignment="1">
      <alignment horizontal="center" vertical="center"/>
    </xf>
    <xf numFmtId="2" fontId="7" fillId="3" borderId="0" xfId="1" applyNumberFormat="1" applyFont="1" applyFill="1" applyBorder="1" applyAlignment="1">
      <alignment horizontal="right" vertical="center"/>
    </xf>
    <xf numFmtId="2" fontId="7" fillId="0" borderId="0" xfId="1" applyNumberFormat="1" applyFont="1" applyFill="1" applyBorder="1" applyAlignment="1">
      <alignment horizontal="right" vertical="center"/>
    </xf>
    <xf numFmtId="2" fontId="7" fillId="2" borderId="0" xfId="1" applyNumberFormat="1" applyFont="1" applyFill="1" applyBorder="1" applyAlignment="1">
      <alignment horizontal="right" vertical="center"/>
    </xf>
    <xf numFmtId="1" fontId="8" fillId="3" borderId="0" xfId="1" applyNumberFormat="1" applyFont="1" applyFill="1" applyBorder="1" applyAlignment="1">
      <alignment vertical="center"/>
    </xf>
    <xf numFmtId="2" fontId="8" fillId="3" borderId="0" xfId="1" applyNumberFormat="1" applyFont="1" applyFill="1" applyBorder="1" applyAlignment="1">
      <alignment vertical="center"/>
    </xf>
    <xf numFmtId="2" fontId="8" fillId="0" borderId="0" xfId="1" applyNumberFormat="1" applyFont="1" applyFill="1" applyBorder="1" applyAlignment="1">
      <alignment horizontal="right" vertical="center"/>
    </xf>
    <xf numFmtId="1" fontId="8" fillId="2" borderId="0" xfId="1" applyNumberFormat="1" applyFont="1" applyFill="1" applyBorder="1" applyAlignment="1">
      <alignment horizontal="right" vertical="center"/>
    </xf>
    <xf numFmtId="2" fontId="8" fillId="2" borderId="0" xfId="1" applyNumberFormat="1" applyFont="1" applyFill="1" applyBorder="1" applyAlignment="1">
      <alignment horizontal="right" vertical="center"/>
    </xf>
    <xf numFmtId="2" fontId="7" fillId="2" borderId="0" xfId="4" applyNumberFormat="1" applyFont="1" applyFill="1" applyBorder="1" applyAlignment="1">
      <alignment horizontal="center" vertical="center"/>
    </xf>
    <xf numFmtId="2" fontId="7" fillId="2" borderId="1" xfId="4" applyNumberFormat="1" applyFont="1" applyFill="1" applyBorder="1" applyAlignment="1">
      <alignment horizontal="right" vertical="center" wrapText="1"/>
    </xf>
    <xf numFmtId="2" fontId="7" fillId="2" borderId="0" xfId="4" applyNumberFormat="1" applyFont="1" applyFill="1" applyBorder="1" applyAlignment="1">
      <alignment horizontal="center" vertical="center" wrapText="1"/>
    </xf>
    <xf numFmtId="0" fontId="7" fillId="2" borderId="0" xfId="1" applyFont="1" applyFill="1" applyBorder="1"/>
    <xf numFmtId="2" fontId="8" fillId="2" borderId="0" xfId="1" applyNumberFormat="1" applyFont="1" applyFill="1" applyBorder="1" applyAlignment="1">
      <alignment horizontal="center" vertical="center"/>
    </xf>
    <xf numFmtId="2" fontId="8" fillId="0" borderId="0" xfId="1" applyNumberFormat="1" applyFont="1" applyFill="1" applyBorder="1" applyAlignment="1">
      <alignment horizontal="center" vertical="center"/>
    </xf>
    <xf numFmtId="0" fontId="6" fillId="2" borderId="0" xfId="1" applyFont="1" applyFill="1" applyAlignment="1">
      <alignment horizontal="center" vertical="center"/>
    </xf>
    <xf numFmtId="2" fontId="6" fillId="2" borderId="0" xfId="1" applyNumberFormat="1" applyFont="1" applyFill="1" applyBorder="1" applyAlignment="1">
      <alignment horizontal="center" vertical="center"/>
    </xf>
    <xf numFmtId="1" fontId="6" fillId="3" borderId="0" xfId="1" applyNumberFormat="1" applyFont="1" applyFill="1" applyBorder="1" applyAlignment="1">
      <alignment horizontal="center" vertical="center"/>
    </xf>
    <xf numFmtId="2" fontId="6" fillId="3" borderId="0" xfId="1" applyNumberFormat="1" applyFont="1" applyFill="1" applyBorder="1" applyAlignment="1">
      <alignment horizontal="right" vertical="center"/>
    </xf>
    <xf numFmtId="2" fontId="6" fillId="0" borderId="0" xfId="1" applyNumberFormat="1" applyFont="1" applyFill="1" applyBorder="1" applyAlignment="1">
      <alignment horizontal="right" vertical="center"/>
    </xf>
    <xf numFmtId="2" fontId="6" fillId="2" borderId="0" xfId="1" applyNumberFormat="1" applyFont="1" applyFill="1" applyBorder="1" applyAlignment="1">
      <alignment horizontal="right" vertical="center"/>
    </xf>
    <xf numFmtId="1" fontId="9" fillId="3" borderId="0" xfId="1" applyNumberFormat="1" applyFont="1" applyFill="1" applyBorder="1" applyAlignment="1">
      <alignment vertical="center"/>
    </xf>
    <xf numFmtId="2" fontId="9" fillId="3" borderId="0" xfId="1" applyNumberFormat="1" applyFont="1" applyFill="1" applyBorder="1" applyAlignment="1">
      <alignment vertical="center"/>
    </xf>
    <xf numFmtId="2" fontId="9" fillId="0" borderId="0" xfId="1" applyNumberFormat="1" applyFont="1" applyFill="1" applyBorder="1" applyAlignment="1">
      <alignment horizontal="right" vertical="center"/>
    </xf>
    <xf numFmtId="1" fontId="9" fillId="2" borderId="0" xfId="1" applyNumberFormat="1" applyFont="1" applyFill="1" applyBorder="1" applyAlignment="1">
      <alignment horizontal="right" vertical="center"/>
    </xf>
    <xf numFmtId="2" fontId="9" fillId="2" borderId="0" xfId="1" applyNumberFormat="1" applyFont="1" applyFill="1" applyBorder="1" applyAlignment="1">
      <alignment horizontal="right" vertical="center"/>
    </xf>
    <xf numFmtId="2" fontId="9" fillId="2" borderId="0" xfId="1" applyNumberFormat="1" applyFont="1" applyFill="1" applyBorder="1" applyAlignment="1">
      <alignment horizontal="center" vertical="center"/>
    </xf>
    <xf numFmtId="2" fontId="9" fillId="0" borderId="0" xfId="1" applyNumberFormat="1" applyFont="1" applyFill="1" applyBorder="1" applyAlignment="1">
      <alignment horizontal="center" vertical="center"/>
    </xf>
    <xf numFmtId="2" fontId="6" fillId="2" borderId="1" xfId="4" applyNumberFormat="1" applyFont="1" applyFill="1" applyBorder="1" applyAlignment="1">
      <alignment horizontal="right" vertical="center"/>
    </xf>
    <xf numFmtId="2" fontId="6" fillId="2" borderId="0" xfId="4" applyNumberFormat="1" applyFont="1" applyFill="1" applyBorder="1" applyAlignment="1">
      <alignment horizontal="center" vertical="center"/>
    </xf>
    <xf numFmtId="0" fontId="6" fillId="2" borderId="0" xfId="1" applyFont="1" applyFill="1" applyBorder="1"/>
    <xf numFmtId="2" fontId="6" fillId="2" borderId="0" xfId="1" applyNumberFormat="1" applyFont="1" applyFill="1" applyAlignment="1">
      <alignment horizontal="center" vertical="center"/>
    </xf>
    <xf numFmtId="0" fontId="1" fillId="2" borderId="0" xfId="0" applyFont="1" applyFill="1" applyBorder="1" applyAlignment="1">
      <alignment horizontal="right" vertical="center"/>
    </xf>
    <xf numFmtId="1" fontId="1" fillId="2" borderId="0" xfId="0" applyNumberFormat="1" applyFont="1" applyFill="1" applyBorder="1" applyAlignment="1">
      <alignment horizontal="right" vertical="center"/>
    </xf>
    <xf numFmtId="0" fontId="1" fillId="2" borderId="0" xfId="0" applyFont="1" applyFill="1" applyBorder="1" applyAlignment="1">
      <alignment horizontal="center" vertical="center"/>
    </xf>
    <xf numFmtId="2" fontId="6" fillId="2" borderId="0" xfId="4" applyNumberFormat="1" applyFont="1" applyFill="1" applyBorder="1" applyAlignment="1">
      <alignment horizontal="right" vertical="center"/>
    </xf>
    <xf numFmtId="2" fontId="6" fillId="2" borderId="0" xfId="1" applyNumberFormat="1" applyFont="1" applyFill="1" applyAlignment="1">
      <alignment horizontal="right" vertical="center"/>
    </xf>
    <xf numFmtId="2" fontId="6" fillId="2" borderId="0" xfId="1" applyNumberFormat="1" applyFont="1" applyFill="1" applyBorder="1" applyAlignment="1">
      <alignment vertical="center"/>
    </xf>
    <xf numFmtId="2" fontId="6" fillId="2" borderId="0" xfId="1" applyNumberFormat="1" applyFont="1" applyFill="1" applyAlignment="1">
      <alignment vertical="center"/>
    </xf>
    <xf numFmtId="1" fontId="9" fillId="2" borderId="0" xfId="1" applyNumberFormat="1" applyFont="1" applyFill="1" applyAlignment="1">
      <alignment vertical="center"/>
    </xf>
    <xf numFmtId="2" fontId="9" fillId="2" borderId="0" xfId="1" applyNumberFormat="1" applyFont="1" applyFill="1" applyAlignment="1">
      <alignment horizontal="center" vertical="center"/>
    </xf>
    <xf numFmtId="1" fontId="6" fillId="2" borderId="0" xfId="1" applyNumberFormat="1" applyFont="1" applyFill="1" applyAlignment="1">
      <alignment horizontal="center" vertical="center"/>
    </xf>
    <xf numFmtId="0" fontId="22" fillId="2" borderId="0"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22" fillId="2" borderId="0" xfId="4" applyFont="1" applyFill="1" applyAlignment="1">
      <alignment horizontal="center" vertical="center" wrapText="1"/>
    </xf>
    <xf numFmtId="0" fontId="6" fillId="2" borderId="0" xfId="5" applyFont="1" applyFill="1" applyAlignment="1">
      <alignment horizontal="center" wrapText="1"/>
    </xf>
    <xf numFmtId="0" fontId="6" fillId="2" borderId="0" xfId="3" applyFont="1" applyFill="1" applyBorder="1" applyAlignment="1">
      <alignment horizontal="center" vertical="center" wrapText="1"/>
    </xf>
    <xf numFmtId="0" fontId="6" fillId="2" borderId="0" xfId="5" applyFont="1" applyFill="1" applyAlignment="1">
      <alignment wrapText="1"/>
    </xf>
    <xf numFmtId="2" fontId="6" fillId="2" borderId="0" xfId="1" applyNumberFormat="1" applyFont="1" applyFill="1" applyBorder="1" applyAlignment="1">
      <alignment horizontal="right"/>
    </xf>
    <xf numFmtId="1" fontId="6" fillId="3" borderId="0" xfId="1" applyNumberFormat="1" applyFont="1" applyFill="1" applyBorder="1" applyAlignment="1">
      <alignment horizontal="center"/>
    </xf>
    <xf numFmtId="2" fontId="6" fillId="3" borderId="0" xfId="1" applyNumberFormat="1" applyFont="1" applyFill="1" applyBorder="1" applyAlignment="1">
      <alignment horizontal="right"/>
    </xf>
    <xf numFmtId="2" fontId="6" fillId="0" borderId="0" xfId="1" applyNumberFormat="1" applyFont="1" applyFill="1" applyBorder="1" applyAlignment="1">
      <alignment horizontal="right"/>
    </xf>
    <xf numFmtId="1" fontId="9" fillId="3" borderId="0" xfId="5" applyNumberFormat="1" applyFont="1" applyFill="1" applyAlignment="1">
      <alignment wrapText="1"/>
    </xf>
    <xf numFmtId="0" fontId="9" fillId="3" borderId="0" xfId="5" applyFont="1" applyFill="1" applyAlignment="1">
      <alignment wrapText="1"/>
    </xf>
    <xf numFmtId="0" fontId="9" fillId="0" borderId="0" xfId="5" applyFont="1" applyFill="1" applyAlignment="1">
      <alignment horizontal="right" wrapText="1"/>
    </xf>
    <xf numFmtId="1" fontId="9" fillId="2" borderId="0" xfId="5" applyNumberFormat="1" applyFont="1" applyFill="1" applyAlignment="1">
      <alignment horizontal="right" wrapText="1"/>
    </xf>
    <xf numFmtId="0" fontId="9" fillId="2" borderId="0" xfId="5" applyFont="1" applyFill="1" applyAlignment="1">
      <alignment horizontal="right" wrapText="1"/>
    </xf>
    <xf numFmtId="2" fontId="6" fillId="2" borderId="0" xfId="3" applyNumberFormat="1" applyFont="1" applyFill="1" applyBorder="1" applyAlignment="1">
      <alignment horizontal="center" vertical="center" wrapText="1"/>
    </xf>
    <xf numFmtId="0" fontId="6" fillId="0" borderId="0" xfId="3" applyFont="1" applyFill="1" applyBorder="1" applyAlignment="1">
      <alignment horizontal="center" vertical="center" wrapText="1"/>
    </xf>
    <xf numFmtId="1" fontId="9" fillId="2" borderId="0" xfId="5" applyNumberFormat="1" applyFont="1" applyFill="1" applyAlignment="1">
      <alignment wrapText="1"/>
    </xf>
    <xf numFmtId="2" fontId="9" fillId="2" borderId="0" xfId="5" applyNumberFormat="1" applyFont="1" applyFill="1" applyAlignment="1">
      <alignment horizontal="center" wrapText="1"/>
    </xf>
    <xf numFmtId="2" fontId="6" fillId="2" borderId="0" xfId="5" applyNumberFormat="1" applyFont="1" applyFill="1" applyAlignment="1">
      <alignment wrapText="1"/>
    </xf>
    <xf numFmtId="2" fontId="6" fillId="2" borderId="0" xfId="5" applyNumberFormat="1" applyFont="1" applyFill="1" applyAlignment="1">
      <alignment horizontal="center" wrapText="1"/>
    </xf>
    <xf numFmtId="0" fontId="6" fillId="0" borderId="0" xfId="5" applyFont="1" applyFill="1" applyAlignment="1">
      <alignment horizontal="center" wrapText="1"/>
    </xf>
    <xf numFmtId="1" fontId="9" fillId="2" borderId="0" xfId="1" applyNumberFormat="1" applyFont="1" applyFill="1" applyAlignment="1">
      <alignment horizontal="right"/>
    </xf>
    <xf numFmtId="0" fontId="17" fillId="7" borderId="0" xfId="0" applyFont="1" applyFill="1" applyAlignment="1">
      <alignment horizontal="center" vertical="center"/>
    </xf>
    <xf numFmtId="0" fontId="23" fillId="10" borderId="0" xfId="0" applyNumberFormat="1" applyFont="1" applyFill="1" applyAlignment="1">
      <alignment horizontal="left" vertical="center"/>
    </xf>
    <xf numFmtId="0" fontId="17" fillId="10" borderId="0" xfId="0" applyNumberFormat="1" applyFont="1" applyFill="1" applyAlignment="1">
      <alignment horizontal="left" vertical="center"/>
    </xf>
    <xf numFmtId="0" fontId="17" fillId="7" borderId="0" xfId="0" applyFont="1" applyFill="1" applyAlignment="1">
      <alignment vertical="center"/>
    </xf>
    <xf numFmtId="0" fontId="17" fillId="7" borderId="0" xfId="0" applyFont="1" applyFill="1" applyAlignment="1">
      <alignment vertical="center" wrapText="1"/>
    </xf>
    <xf numFmtId="0" fontId="17" fillId="7" borderId="0" xfId="0" applyNumberFormat="1" applyFont="1" applyFill="1" applyAlignment="1">
      <alignment horizontal="center" vertical="center"/>
    </xf>
    <xf numFmtId="0" fontId="16" fillId="7" borderId="12" xfId="0" applyFont="1" applyFill="1" applyBorder="1" applyAlignment="1">
      <alignment vertical="center"/>
    </xf>
    <xf numFmtId="0" fontId="16" fillId="7" borderId="25" xfId="0" applyFont="1" applyFill="1" applyBorder="1" applyAlignment="1">
      <alignment vertical="center"/>
    </xf>
    <xf numFmtId="0" fontId="16" fillId="7" borderId="13" xfId="0" applyFont="1" applyFill="1" applyBorder="1" applyAlignment="1">
      <alignment vertical="center"/>
    </xf>
    <xf numFmtId="0" fontId="24" fillId="7" borderId="11" xfId="0" applyFont="1" applyFill="1" applyBorder="1" applyAlignment="1">
      <alignment horizontal="center" vertical="center" wrapText="1"/>
    </xf>
    <xf numFmtId="14" fontId="25" fillId="7" borderId="11" xfId="0" applyNumberFormat="1" applyFont="1" applyFill="1" applyBorder="1" applyAlignment="1">
      <alignment horizontal="center" vertical="center"/>
    </xf>
    <xf numFmtId="0" fontId="17" fillId="7" borderId="11" xfId="0" applyFont="1" applyFill="1" applyBorder="1" applyAlignment="1">
      <alignment horizontal="center" vertical="center" wrapText="1"/>
    </xf>
    <xf numFmtId="14" fontId="25" fillId="7" borderId="11" xfId="0" applyNumberFormat="1" applyFont="1" applyFill="1" applyBorder="1" applyAlignment="1">
      <alignment horizontal="center" vertical="center" wrapText="1"/>
    </xf>
    <xf numFmtId="0" fontId="0" fillId="7" borderId="31" xfId="0" applyFill="1" applyBorder="1" applyAlignment="1">
      <alignment vertical="center" wrapText="1"/>
    </xf>
    <xf numFmtId="14" fontId="16" fillId="7" borderId="20" xfId="0" applyNumberFormat="1" applyFont="1" applyFill="1" applyBorder="1" applyAlignment="1">
      <alignment horizontal="center" vertical="center" wrapText="1"/>
    </xf>
    <xf numFmtId="0" fontId="26" fillId="7" borderId="32" xfId="0" applyFont="1" applyFill="1" applyBorder="1" applyAlignment="1">
      <alignment vertical="center" wrapText="1"/>
    </xf>
    <xf numFmtId="0" fontId="26" fillId="7" borderId="11" xfId="0" applyFont="1" applyFill="1" applyBorder="1" applyAlignment="1">
      <alignment vertical="center" wrapText="1"/>
    </xf>
    <xf numFmtId="0" fontId="26" fillId="7" borderId="33" xfId="0" applyFont="1" applyFill="1" applyBorder="1" applyAlignment="1">
      <alignment vertical="center" wrapText="1"/>
    </xf>
    <xf numFmtId="0" fontId="26" fillId="7" borderId="14" xfId="0" applyFont="1" applyFill="1" applyBorder="1" applyAlignment="1">
      <alignment vertical="center" wrapText="1"/>
    </xf>
    <xf numFmtId="0" fontId="26" fillId="7" borderId="20" xfId="0" applyFont="1" applyFill="1" applyBorder="1" applyAlignment="1">
      <alignment vertical="center" wrapText="1"/>
    </xf>
    <xf numFmtId="0" fontId="26" fillId="7" borderId="20" xfId="0" applyFont="1" applyFill="1" applyBorder="1" applyAlignment="1">
      <alignment horizontal="center" vertical="center" wrapText="1"/>
    </xf>
    <xf numFmtId="0" fontId="21" fillId="0" borderId="1" xfId="0" applyFont="1" applyFill="1" applyBorder="1" applyAlignment="1">
      <alignment horizontal="center" vertical="center"/>
    </xf>
    <xf numFmtId="0" fontId="7" fillId="0" borderId="1" xfId="0" applyFont="1" applyFill="1" applyBorder="1" applyAlignment="1">
      <alignment horizontal="center" vertical="center"/>
    </xf>
    <xf numFmtId="2" fontId="21" fillId="2" borderId="1" xfId="1" applyNumberFormat="1" applyFont="1" applyFill="1" applyBorder="1" applyAlignment="1">
      <alignment horizontal="right" vertical="center" wrapText="1"/>
    </xf>
    <xf numFmtId="2" fontId="8" fillId="5" borderId="1" xfId="0" applyNumberFormat="1" applyFont="1" applyFill="1" applyBorder="1"/>
    <xf numFmtId="49" fontId="8" fillId="5" borderId="1" xfId="0" applyNumberFormat="1" applyFont="1" applyFill="1" applyBorder="1"/>
    <xf numFmtId="14" fontId="8" fillId="5" borderId="1" xfId="0" applyNumberFormat="1" applyFont="1" applyFill="1" applyBorder="1"/>
    <xf numFmtId="2" fontId="8" fillId="5" borderId="1" xfId="0" applyNumberFormat="1" applyFont="1" applyFill="1" applyBorder="1" applyAlignment="1">
      <alignment vertical="center"/>
    </xf>
    <xf numFmtId="14" fontId="0" fillId="0" borderId="11" xfId="0" applyNumberFormat="1" applyBorder="1" applyAlignment="1">
      <alignment vertical="center" wrapText="1"/>
    </xf>
    <xf numFmtId="14" fontId="18" fillId="9" borderId="1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4" borderId="11" xfId="0" applyFill="1" applyBorder="1" applyAlignment="1" applyProtection="1">
      <alignment horizontal="center" vertical="center" wrapText="1"/>
      <protection hidden="1"/>
    </xf>
    <xf numFmtId="14" fontId="26" fillId="7" borderId="32" xfId="0" applyNumberFormat="1" applyFont="1" applyFill="1" applyBorder="1" applyAlignment="1">
      <alignment vertical="center" wrapText="1"/>
    </xf>
    <xf numFmtId="0" fontId="7" fillId="2" borderId="6" xfId="4" applyFont="1" applyFill="1" applyBorder="1" applyAlignment="1">
      <alignment horizontal="center" vertical="center" wrapText="1"/>
    </xf>
    <xf numFmtId="0" fontId="7" fillId="2" borderId="27" xfId="4" applyFont="1" applyFill="1" applyBorder="1" applyAlignment="1">
      <alignment horizontal="center" vertical="center" wrapText="1"/>
    </xf>
    <xf numFmtId="0" fontId="7" fillId="2" borderId="30" xfId="4" applyFont="1" applyFill="1" applyBorder="1" applyAlignment="1">
      <alignment horizontal="center" vertical="center" wrapText="1"/>
    </xf>
    <xf numFmtId="0" fontId="0" fillId="7" borderId="24" xfId="0" applyFill="1" applyBorder="1" applyAlignment="1">
      <alignment horizontal="center" vertical="center" wrapText="1"/>
    </xf>
    <xf numFmtId="0" fontId="6" fillId="2" borderId="0" xfId="1" applyFont="1" applyFill="1" applyAlignment="1">
      <alignment vertical="center"/>
    </xf>
    <xf numFmtId="0" fontId="6" fillId="2" borderId="0" xfId="5" applyFont="1" applyFill="1" applyAlignment="1">
      <alignment vertical="center" wrapText="1"/>
    </xf>
    <xf numFmtId="0" fontId="3" fillId="2" borderId="0" xfId="1" applyFont="1" applyFill="1" applyBorder="1" applyAlignment="1">
      <alignment horizontal="left" vertical="center" wrapText="1"/>
    </xf>
    <xf numFmtId="2" fontId="7" fillId="2" borderId="0" xfId="1" applyNumberFormat="1" applyFont="1" applyFill="1" applyBorder="1" applyAlignment="1">
      <alignment horizontal="left" vertical="center"/>
    </xf>
    <xf numFmtId="2" fontId="6" fillId="2" borderId="0" xfId="1" applyNumberFormat="1" applyFont="1" applyFill="1" applyBorder="1" applyAlignment="1">
      <alignment horizontal="left" vertical="center"/>
    </xf>
    <xf numFmtId="0" fontId="25" fillId="7" borderId="11" xfId="0" applyFont="1" applyFill="1" applyBorder="1" applyAlignment="1">
      <alignment horizontal="center" vertical="center" wrapText="1"/>
    </xf>
    <xf numFmtId="0" fontId="7" fillId="2" borderId="6" xfId="4" applyFont="1" applyFill="1" applyBorder="1" applyAlignment="1">
      <alignment horizontal="center" vertical="center" wrapText="1"/>
    </xf>
    <xf numFmtId="0" fontId="7" fillId="2" borderId="27" xfId="4" applyFont="1" applyFill="1" applyBorder="1" applyAlignment="1">
      <alignment horizontal="center" vertical="center" wrapText="1"/>
    </xf>
    <xf numFmtId="0" fontId="7" fillId="2" borderId="30" xfId="4" applyFont="1" applyFill="1" applyBorder="1" applyAlignment="1">
      <alignment horizontal="center" vertical="center" wrapText="1"/>
    </xf>
    <xf numFmtId="2" fontId="21" fillId="2" borderId="1" xfId="1" applyNumberFormat="1" applyFont="1" applyFill="1" applyBorder="1" applyAlignment="1">
      <alignment horizontal="center" vertical="center" wrapText="1"/>
    </xf>
    <xf numFmtId="2" fontId="6" fillId="0" borderId="0" xfId="1" applyNumberFormat="1" applyFont="1" applyFill="1" applyBorder="1" applyAlignment="1">
      <alignment horizontal="center" vertical="center"/>
    </xf>
    <xf numFmtId="2" fontId="6" fillId="0" borderId="0" xfId="1" applyNumberFormat="1" applyFont="1" applyFill="1" applyAlignment="1">
      <alignment horizontal="center"/>
    </xf>
    <xf numFmtId="0" fontId="7" fillId="2" borderId="6" xfId="4" applyFont="1" applyFill="1" applyBorder="1" applyAlignment="1">
      <alignment horizontal="center" vertical="center" wrapText="1"/>
    </xf>
    <xf numFmtId="0" fontId="7" fillId="2" borderId="27" xfId="4" applyFont="1" applyFill="1" applyBorder="1" applyAlignment="1">
      <alignment horizontal="center" vertical="center" wrapText="1"/>
    </xf>
    <xf numFmtId="0" fontId="7" fillId="2" borderId="30" xfId="4" applyFont="1" applyFill="1" applyBorder="1" applyAlignment="1">
      <alignment horizontal="center" vertical="center" wrapText="1"/>
    </xf>
    <xf numFmtId="0" fontId="22" fillId="2"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2" fontId="9" fillId="2" borderId="0" xfId="1" applyNumberFormat="1" applyFont="1" applyFill="1" applyAlignment="1">
      <alignment horizontal="center" vertical="center" wrapText="1"/>
    </xf>
    <xf numFmtId="0" fontId="22" fillId="2" borderId="0" xfId="0" applyFont="1" applyFill="1" applyBorder="1" applyAlignment="1">
      <alignment vertical="center" wrapText="1"/>
    </xf>
    <xf numFmtId="0" fontId="6" fillId="2" borderId="0" xfId="5" applyFont="1" applyFill="1" applyAlignment="1">
      <alignment horizontal="center" vertical="center" wrapText="1"/>
    </xf>
    <xf numFmtId="0" fontId="9" fillId="2" borderId="0" xfId="5" applyFont="1" applyFill="1" applyAlignment="1">
      <alignment horizontal="center" vertical="center" wrapText="1"/>
    </xf>
    <xf numFmtId="2" fontId="9" fillId="2" borderId="0" xfId="5" applyNumberFormat="1" applyFont="1" applyFill="1" applyAlignment="1">
      <alignment horizontal="center" vertical="center" wrapText="1"/>
    </xf>
    <xf numFmtId="2" fontId="6" fillId="2" borderId="0" xfId="5" applyNumberFormat="1" applyFont="1" applyFill="1" applyAlignment="1">
      <alignment horizontal="center" vertical="center" wrapText="1"/>
    </xf>
    <xf numFmtId="0" fontId="29" fillId="0" borderId="0" xfId="5" applyFont="1" applyAlignment="1">
      <alignment horizontal="center" vertical="center"/>
    </xf>
    <xf numFmtId="0" fontId="4" fillId="0" borderId="0" xfId="5" applyAlignment="1">
      <alignment vertical="center"/>
    </xf>
    <xf numFmtId="0" fontId="30" fillId="0" borderId="0" xfId="5" applyFont="1" applyAlignment="1">
      <alignment vertical="center"/>
    </xf>
    <xf numFmtId="0" fontId="4" fillId="0" borderId="0" xfId="5" applyAlignment="1">
      <alignment horizontal="center" vertical="center"/>
    </xf>
    <xf numFmtId="0" fontId="4" fillId="0" borderId="0" xfId="5" quotePrefix="1" applyAlignment="1">
      <alignment horizontal="center" vertical="center"/>
    </xf>
    <xf numFmtId="0" fontId="4" fillId="0" borderId="34" xfId="5" applyBorder="1" applyAlignment="1">
      <alignment vertical="center"/>
    </xf>
    <xf numFmtId="0" fontId="4" fillId="0" borderId="34" xfId="5" applyBorder="1" applyAlignment="1">
      <alignment horizontal="center" vertical="center"/>
    </xf>
    <xf numFmtId="2" fontId="30" fillId="0" borderId="35" xfId="5" applyNumberFormat="1" applyFont="1" applyBorder="1" applyAlignment="1">
      <alignment vertical="center"/>
    </xf>
    <xf numFmtId="0" fontId="30" fillId="0" borderId="36" xfId="5" applyFont="1" applyBorder="1" applyAlignment="1">
      <alignment vertical="center"/>
    </xf>
    <xf numFmtId="0" fontId="4" fillId="0" borderId="36" xfId="5" applyBorder="1" applyAlignment="1">
      <alignment vertical="center"/>
    </xf>
    <xf numFmtId="0" fontId="31" fillId="0" borderId="36" xfId="5" applyFont="1" applyBorder="1" applyAlignment="1">
      <alignment vertical="center"/>
    </xf>
    <xf numFmtId="0" fontId="32" fillId="0" borderId="36" xfId="5" applyFont="1" applyBorder="1" applyAlignment="1">
      <alignment vertical="center"/>
    </xf>
    <xf numFmtId="0" fontId="31" fillId="0" borderId="37" xfId="5" applyFont="1" applyBorder="1" applyAlignment="1">
      <alignment vertical="center"/>
    </xf>
    <xf numFmtId="167" fontId="4" fillId="0" borderId="38" xfId="5" applyNumberFormat="1" applyBorder="1" applyAlignment="1">
      <alignment vertical="center"/>
    </xf>
    <xf numFmtId="0" fontId="31" fillId="0" borderId="39" xfId="5" applyFont="1" applyBorder="1" applyAlignment="1">
      <alignment horizontal="center" vertical="center"/>
    </xf>
    <xf numFmtId="0" fontId="4" fillId="0" borderId="38" xfId="5" applyBorder="1" applyAlignment="1">
      <alignment vertical="center"/>
    </xf>
    <xf numFmtId="0" fontId="4" fillId="0" borderId="0" xfId="5" applyBorder="1" applyAlignment="1">
      <alignment vertical="center"/>
    </xf>
    <xf numFmtId="0" fontId="4" fillId="0" borderId="0" xfId="5" applyBorder="1" applyAlignment="1">
      <alignment horizontal="center" vertical="center"/>
    </xf>
    <xf numFmtId="0" fontId="31" fillId="0" borderId="1" xfId="5" applyFont="1" applyBorder="1" applyAlignment="1">
      <alignment horizontal="center" vertical="center" wrapText="1"/>
    </xf>
    <xf numFmtId="0" fontId="31" fillId="0" borderId="40" xfId="5" applyNumberFormat="1" applyFont="1" applyFill="1" applyBorder="1" applyAlignment="1">
      <alignment horizontal="center" vertical="center" wrapText="1"/>
    </xf>
    <xf numFmtId="0" fontId="4" fillId="0" borderId="38" xfId="5" applyBorder="1" applyAlignment="1">
      <alignment horizontal="center" vertical="center" wrapText="1"/>
    </xf>
    <xf numFmtId="2" fontId="31" fillId="0" borderId="40" xfId="5" applyNumberFormat="1" applyFont="1" applyFill="1" applyBorder="1" applyAlignment="1">
      <alignment horizontal="center" vertical="center" wrapText="1"/>
    </xf>
    <xf numFmtId="0" fontId="29" fillId="0" borderId="0" xfId="5" applyFont="1" applyAlignment="1">
      <alignment horizontal="center" vertical="center" wrapText="1"/>
    </xf>
    <xf numFmtId="0" fontId="4" fillId="0" borderId="1" xfId="5" applyBorder="1" applyAlignment="1">
      <alignment horizontal="center" vertical="center" wrapText="1"/>
    </xf>
    <xf numFmtId="1" fontId="4" fillId="0" borderId="1" xfId="5" applyNumberFormat="1" applyFont="1" applyBorder="1" applyAlignment="1">
      <alignment horizontal="center" vertical="center" wrapText="1"/>
    </xf>
    <xf numFmtId="0" fontId="4" fillId="0" borderId="40" xfId="5" applyNumberFormat="1" applyFont="1" applyFill="1" applyBorder="1" applyAlignment="1">
      <alignment horizontal="center" vertical="center" wrapText="1"/>
    </xf>
    <xf numFmtId="1" fontId="4" fillId="0" borderId="1" xfId="5" applyNumberFormat="1" applyBorder="1" applyAlignment="1">
      <alignment horizontal="center" vertical="center" wrapText="1"/>
    </xf>
    <xf numFmtId="0" fontId="33" fillId="0" borderId="38" xfId="5" applyFont="1" applyBorder="1" applyAlignment="1">
      <alignment vertical="center"/>
    </xf>
    <xf numFmtId="0" fontId="33" fillId="0" borderId="1" xfId="5" applyFont="1" applyBorder="1" applyAlignment="1">
      <alignment horizontal="center" vertical="center" wrapText="1"/>
    </xf>
    <xf numFmtId="0" fontId="33" fillId="0" borderId="40" xfId="5" applyFont="1" applyBorder="1" applyAlignment="1">
      <alignment horizontal="center" vertical="center"/>
    </xf>
    <xf numFmtId="0" fontId="33" fillId="0" borderId="0" xfId="5" applyFont="1" applyAlignment="1">
      <alignment vertical="center"/>
    </xf>
    <xf numFmtId="0" fontId="31" fillId="0" borderId="0" xfId="5" applyFont="1" applyBorder="1" applyAlignment="1">
      <alignment horizontal="right" vertical="center"/>
    </xf>
    <xf numFmtId="168" fontId="31" fillId="0" borderId="0" xfId="6" applyNumberFormat="1" applyFont="1" applyBorder="1" applyAlignment="1">
      <alignment horizontal="right" vertical="center"/>
    </xf>
    <xf numFmtId="2" fontId="29" fillId="0" borderId="0" xfId="5" applyNumberFormat="1" applyFont="1" applyAlignment="1">
      <alignment horizontal="center" vertical="center"/>
    </xf>
    <xf numFmtId="0" fontId="21" fillId="0" borderId="38" xfId="5" applyFont="1" applyBorder="1" applyAlignment="1">
      <alignment vertical="center"/>
    </xf>
    <xf numFmtId="0" fontId="21" fillId="0" borderId="0" xfId="5" applyFont="1" applyBorder="1" applyAlignment="1">
      <alignment vertical="center"/>
    </xf>
    <xf numFmtId="10" fontId="33" fillId="0" borderId="0" xfId="5" applyNumberFormat="1" applyFont="1" applyBorder="1" applyAlignment="1">
      <alignment vertical="center"/>
    </xf>
    <xf numFmtId="2" fontId="31" fillId="0" borderId="39" xfId="5" applyNumberFormat="1" applyFont="1" applyBorder="1" applyAlignment="1">
      <alignment horizontal="center" vertical="center"/>
    </xf>
    <xf numFmtId="0" fontId="4" fillId="0" borderId="41" xfId="5" applyBorder="1" applyAlignment="1">
      <alignment vertical="center"/>
    </xf>
    <xf numFmtId="0" fontId="4" fillId="0" borderId="42" xfId="5" applyBorder="1" applyAlignment="1">
      <alignment vertical="center"/>
    </xf>
    <xf numFmtId="0" fontId="4" fillId="0" borderId="42" xfId="5" applyBorder="1" applyAlignment="1">
      <alignment horizontal="center" vertical="center"/>
    </xf>
    <xf numFmtId="0" fontId="4" fillId="0" borderId="43" xfId="5" applyBorder="1" applyAlignment="1">
      <alignment vertical="center"/>
    </xf>
    <xf numFmtId="0" fontId="31" fillId="0" borderId="0" xfId="5" applyFont="1" applyBorder="1" applyAlignment="1">
      <alignment vertical="center"/>
    </xf>
    <xf numFmtId="0" fontId="32" fillId="0" borderId="0" xfId="5" applyFont="1" applyBorder="1" applyAlignment="1">
      <alignment vertical="center"/>
    </xf>
    <xf numFmtId="0" fontId="31" fillId="0" borderId="39" xfId="5" applyFont="1" applyBorder="1" applyAlignment="1">
      <alignment vertical="center"/>
    </xf>
    <xf numFmtId="0" fontId="30" fillId="0" borderId="38" xfId="5" applyFont="1" applyBorder="1" applyAlignment="1">
      <alignment vertical="center"/>
    </xf>
    <xf numFmtId="0" fontId="4" fillId="0" borderId="39" xfId="5" applyBorder="1" applyAlignment="1">
      <alignment horizontal="center" vertical="center"/>
    </xf>
    <xf numFmtId="0" fontId="33" fillId="0" borderId="40" xfId="5" applyNumberFormat="1" applyFont="1" applyFill="1" applyBorder="1" applyAlignment="1">
      <alignment horizontal="center" vertical="center" wrapText="1"/>
    </xf>
    <xf numFmtId="0" fontId="34" fillId="0" borderId="0" xfId="5" applyFont="1" applyBorder="1" applyAlignment="1">
      <alignment horizontal="center" vertical="center"/>
    </xf>
    <xf numFmtId="0" fontId="35" fillId="0" borderId="0" xfId="5" applyFont="1" applyBorder="1" applyAlignment="1">
      <alignment horizontal="center" vertical="center"/>
    </xf>
    <xf numFmtId="2" fontId="35" fillId="0" borderId="0" xfId="5" applyNumberFormat="1" applyFont="1" applyBorder="1" applyAlignment="1">
      <alignment vertical="center"/>
    </xf>
    <xf numFmtId="2" fontId="4" fillId="0" borderId="0" xfId="5" applyNumberFormat="1" applyAlignment="1">
      <alignment vertical="center"/>
    </xf>
    <xf numFmtId="0" fontId="4" fillId="0" borderId="44" xfId="5" applyFont="1" applyBorder="1" applyAlignment="1">
      <alignment vertical="center"/>
    </xf>
    <xf numFmtId="0" fontId="4" fillId="0" borderId="34" xfId="5" applyFont="1" applyBorder="1" applyAlignment="1">
      <alignment vertical="center"/>
    </xf>
    <xf numFmtId="0" fontId="4" fillId="0" borderId="34" xfId="5" applyFont="1" applyBorder="1" applyAlignment="1">
      <alignment horizontal="center" vertical="center"/>
    </xf>
    <xf numFmtId="0" fontId="31" fillId="0" borderId="34" xfId="5" applyFont="1" applyBorder="1" applyAlignment="1">
      <alignment vertical="center"/>
    </xf>
    <xf numFmtId="0" fontId="4" fillId="0" borderId="45" xfId="5" applyFont="1" applyBorder="1" applyAlignment="1">
      <alignment horizontal="center" vertical="center"/>
    </xf>
    <xf numFmtId="0" fontId="4" fillId="0" borderId="0" xfId="5" applyFont="1" applyAlignment="1">
      <alignment vertical="center"/>
    </xf>
    <xf numFmtId="0" fontId="0" fillId="0" borderId="0" xfId="0" applyAlignment="1">
      <alignment wrapText="1"/>
    </xf>
    <xf numFmtId="0" fontId="36" fillId="0" borderId="1" xfId="0" applyFont="1" applyBorder="1" applyAlignment="1">
      <alignment vertical="center" wrapText="1"/>
    </xf>
    <xf numFmtId="0" fontId="36" fillId="0" borderId="1" xfId="0" applyFont="1" applyBorder="1" applyAlignment="1">
      <alignment horizontal="center" vertical="center" wrapText="1"/>
    </xf>
    <xf numFmtId="2" fontId="0" fillId="0" borderId="0" xfId="0" applyNumberFormat="1" applyAlignment="1">
      <alignment horizontal="center" vertical="center"/>
    </xf>
    <xf numFmtId="10" fontId="0" fillId="0" borderId="0" xfId="23" applyNumberFormat="1" applyFont="1" applyAlignment="1">
      <alignment horizontal="center" vertical="center"/>
    </xf>
    <xf numFmtId="0" fontId="12" fillId="0" borderId="0" xfId="0" applyFont="1"/>
    <xf numFmtId="2" fontId="37" fillId="0" borderId="1" xfId="0" applyNumberFormat="1" applyFont="1" applyBorder="1" applyAlignment="1">
      <alignment horizontal="right" vertical="center" wrapText="1"/>
    </xf>
    <xf numFmtId="0" fontId="0" fillId="0" borderId="0" xfId="0" applyProtection="1"/>
    <xf numFmtId="0" fontId="0" fillId="0" borderId="0" xfId="0" applyAlignment="1">
      <alignment horizontal="center"/>
    </xf>
    <xf numFmtId="0" fontId="18" fillId="0" borderId="0" xfId="0" applyFont="1" applyAlignment="1">
      <alignment vertical="center"/>
    </xf>
    <xf numFmtId="14" fontId="36" fillId="0" borderId="0" xfId="0" applyNumberFormat="1" applyFont="1"/>
    <xf numFmtId="10" fontId="0" fillId="0" borderId="0" xfId="23" applyNumberFormat="1" applyFont="1" applyAlignment="1">
      <alignment vertical="center"/>
    </xf>
    <xf numFmtId="0" fontId="38" fillId="0" borderId="0" xfId="0" applyFont="1" applyAlignment="1">
      <alignment horizontal="center" vertical="center"/>
    </xf>
    <xf numFmtId="0" fontId="18" fillId="0" borderId="0" xfId="0" applyFont="1" applyAlignment="1">
      <alignment vertical="center" wrapText="1"/>
    </xf>
    <xf numFmtId="0" fontId="17" fillId="0" borderId="0" xfId="0" applyFont="1" applyAlignment="1">
      <alignment vertical="center"/>
    </xf>
    <xf numFmtId="0" fontId="17" fillId="0" borderId="0" xfId="0" applyFont="1" applyAlignment="1">
      <alignment vertical="center" wrapText="1"/>
    </xf>
    <xf numFmtId="0" fontId="0" fillId="0" borderId="0" xfId="0" applyAlignment="1">
      <alignment horizontal="left" vertical="center" wrapText="1"/>
    </xf>
    <xf numFmtId="0" fontId="36" fillId="0" borderId="47" xfId="0" applyFont="1" applyBorder="1" applyAlignment="1">
      <alignment horizontal="center" vertical="center" wrapText="1"/>
    </xf>
    <xf numFmtId="0" fontId="36" fillId="0" borderId="49" xfId="0" applyFont="1" applyBorder="1" applyAlignment="1">
      <alignment horizontal="center" vertical="center" wrapText="1"/>
    </xf>
    <xf numFmtId="0" fontId="36" fillId="0" borderId="48" xfId="0" applyFont="1" applyBorder="1" applyAlignment="1">
      <alignment horizontal="center" vertical="center" wrapText="1"/>
    </xf>
    <xf numFmtId="2" fontId="36" fillId="0" borderId="49" xfId="0" applyNumberFormat="1" applyFont="1" applyBorder="1" applyAlignment="1">
      <alignment horizontal="center" vertical="center" wrapText="1"/>
    </xf>
    <xf numFmtId="14" fontId="39" fillId="0" borderId="0" xfId="0" applyNumberFormat="1" applyFont="1" applyAlignment="1">
      <alignment horizontal="left" vertical="center" wrapText="1"/>
    </xf>
    <xf numFmtId="0" fontId="40" fillId="0" borderId="0" xfId="0" applyFont="1" applyAlignment="1">
      <alignment vertical="center" wrapText="1"/>
    </xf>
    <xf numFmtId="0" fontId="18" fillId="0" borderId="0" xfId="0" applyNumberFormat="1" applyFont="1" applyAlignment="1">
      <alignment horizontal="center" vertical="center"/>
    </xf>
    <xf numFmtId="14" fontId="18" fillId="0" borderId="0" xfId="0" applyNumberFormat="1" applyFont="1" applyAlignment="1">
      <alignment horizontal="center" vertical="center"/>
    </xf>
    <xf numFmtId="14" fontId="18" fillId="0" borderId="0" xfId="0" applyNumberFormat="1" applyFont="1" applyAlignment="1">
      <alignment horizontal="left" vertical="center"/>
    </xf>
    <xf numFmtId="14" fontId="13" fillId="5" borderId="0" xfId="0" applyNumberFormat="1" applyFont="1" applyFill="1" applyAlignment="1">
      <alignment horizontal="center" vertical="center"/>
    </xf>
    <xf numFmtId="0" fontId="14" fillId="5" borderId="0" xfId="0" applyFont="1" applyFill="1" applyAlignment="1">
      <alignment vertical="center"/>
    </xf>
    <xf numFmtId="0" fontId="36" fillId="0" borderId="50" xfId="0" applyFont="1" applyBorder="1" applyAlignment="1">
      <alignment horizontal="center" vertical="center" wrapText="1"/>
    </xf>
    <xf numFmtId="0" fontId="36" fillId="0" borderId="54" xfId="0" applyFont="1" applyBorder="1" applyAlignment="1">
      <alignment horizontal="center" vertical="center" wrapText="1"/>
    </xf>
    <xf numFmtId="0" fontId="36" fillId="0" borderId="0" xfId="0" applyFont="1" applyAlignment="1">
      <alignment horizontal="center" vertical="center" wrapText="1"/>
    </xf>
    <xf numFmtId="0" fontId="36" fillId="0" borderId="60" xfId="0" applyFont="1" applyBorder="1" applyAlignment="1">
      <alignment horizontal="center" vertical="center" wrapText="1"/>
    </xf>
    <xf numFmtId="0" fontId="36" fillId="0" borderId="50" xfId="0" applyFont="1" applyBorder="1" applyAlignment="1">
      <alignment vertical="center" wrapText="1"/>
    </xf>
    <xf numFmtId="2" fontId="36" fillId="0" borderId="50" xfId="0" applyNumberFormat="1" applyFont="1" applyBorder="1" applyAlignment="1">
      <alignment horizontal="right" vertical="center" wrapText="1"/>
    </xf>
    <xf numFmtId="0" fontId="36" fillId="0" borderId="50" xfId="0" applyFont="1" applyBorder="1" applyAlignment="1">
      <alignment horizontal="right" vertical="center" wrapText="1"/>
    </xf>
    <xf numFmtId="10" fontId="36" fillId="0" borderId="50" xfId="0" applyNumberFormat="1" applyFont="1" applyBorder="1" applyAlignment="1">
      <alignment horizontal="center" vertical="center" wrapText="1"/>
    </xf>
    <xf numFmtId="0" fontId="37" fillId="0" borderId="50" xfId="0" applyFont="1" applyBorder="1" applyAlignment="1">
      <alignment horizontal="center" vertical="center" wrapText="1"/>
    </xf>
    <xf numFmtId="2" fontId="37" fillId="0" borderId="50" xfId="0" applyNumberFormat="1" applyFont="1" applyBorder="1" applyAlignment="1">
      <alignment horizontal="right" vertical="center" wrapText="1"/>
    </xf>
    <xf numFmtId="0" fontId="37" fillId="0" borderId="50" xfId="0" applyFont="1" applyBorder="1" applyAlignment="1">
      <alignment horizontal="right" vertical="center" wrapText="1"/>
    </xf>
    <xf numFmtId="10" fontId="37" fillId="0" borderId="50" xfId="0" applyNumberFormat="1" applyFont="1" applyBorder="1" applyAlignment="1">
      <alignment horizontal="center" vertical="center" wrapText="1"/>
    </xf>
    <xf numFmtId="0" fontId="36" fillId="0" borderId="69" xfId="0" applyFont="1" applyBorder="1" applyAlignment="1">
      <alignment horizontal="center" vertical="center" wrapText="1"/>
    </xf>
    <xf numFmtId="0" fontId="36" fillId="0" borderId="70" xfId="0" applyFont="1" applyBorder="1" applyAlignment="1">
      <alignment horizontal="center" vertical="center" wrapText="1"/>
    </xf>
    <xf numFmtId="2" fontId="36" fillId="0" borderId="70" xfId="0" applyNumberFormat="1" applyFont="1" applyBorder="1" applyAlignment="1">
      <alignment horizontal="center" vertical="center" wrapText="1"/>
    </xf>
    <xf numFmtId="2" fontId="0" fillId="0" borderId="0" xfId="0" applyNumberFormat="1"/>
    <xf numFmtId="0" fontId="37" fillId="0" borderId="56" xfId="0" applyFont="1" applyBorder="1" applyAlignment="1">
      <alignment horizontal="center" vertical="center" wrapText="1"/>
    </xf>
    <xf numFmtId="0" fontId="37" fillId="0" borderId="55" xfId="0" applyFont="1" applyBorder="1" applyAlignment="1">
      <alignment vertical="center" wrapText="1"/>
    </xf>
    <xf numFmtId="0" fontId="36" fillId="0" borderId="71" xfId="0" applyFont="1" applyBorder="1" applyAlignment="1">
      <alignment horizontal="center" vertical="center" wrapText="1"/>
    </xf>
    <xf numFmtId="0" fontId="36" fillId="0" borderId="53" xfId="0" applyFont="1" applyBorder="1" applyAlignment="1">
      <alignment horizontal="center" vertical="center" wrapText="1"/>
    </xf>
    <xf numFmtId="2" fontId="36" fillId="0" borderId="73" xfId="0" applyNumberFormat="1" applyFont="1" applyBorder="1" applyAlignment="1">
      <alignment horizontal="center" vertical="center" wrapText="1"/>
    </xf>
    <xf numFmtId="0" fontId="36" fillId="0" borderId="73" xfId="0" applyFont="1" applyBorder="1" applyAlignment="1">
      <alignment horizontal="center" vertical="center" wrapText="1"/>
    </xf>
    <xf numFmtId="2" fontId="36" fillId="0" borderId="63" xfId="0" applyNumberFormat="1" applyFont="1" applyBorder="1" applyAlignment="1">
      <alignment horizontal="center" vertical="center" wrapText="1"/>
    </xf>
    <xf numFmtId="0" fontId="36" fillId="0" borderId="74" xfId="0" applyFont="1" applyBorder="1" applyAlignment="1">
      <alignment horizontal="center" vertical="center" wrapText="1"/>
    </xf>
    <xf numFmtId="0" fontId="36" fillId="0" borderId="75" xfId="0" applyFont="1" applyBorder="1" applyAlignment="1">
      <alignment horizontal="center" vertical="center" wrapText="1"/>
    </xf>
    <xf numFmtId="2" fontId="36" fillId="0" borderId="53" xfId="0" applyNumberFormat="1" applyFont="1" applyBorder="1" applyAlignment="1">
      <alignment horizontal="center" vertical="center" wrapText="1"/>
    </xf>
    <xf numFmtId="2" fontId="36" fillId="0" borderId="76" xfId="0" applyNumberFormat="1" applyFont="1" applyBorder="1" applyAlignment="1">
      <alignment horizontal="center" vertical="center" wrapText="1"/>
    </xf>
    <xf numFmtId="0" fontId="36" fillId="0" borderId="76" xfId="0" applyFont="1" applyBorder="1" applyAlignment="1">
      <alignment horizontal="center" vertical="center" wrapText="1"/>
    </xf>
    <xf numFmtId="2" fontId="36" fillId="0" borderId="45" xfId="0" applyNumberFormat="1" applyFont="1" applyBorder="1" applyAlignment="1">
      <alignment horizontal="center" vertical="center" wrapText="1"/>
    </xf>
    <xf numFmtId="0" fontId="37" fillId="0" borderId="53" xfId="0" applyFont="1" applyBorder="1" applyAlignment="1">
      <alignment vertical="center" wrapText="1"/>
    </xf>
    <xf numFmtId="0" fontId="37" fillId="0" borderId="54" xfId="0" applyFont="1" applyBorder="1" applyAlignment="1">
      <alignment horizontal="center" vertical="center" wrapText="1"/>
    </xf>
    <xf numFmtId="0" fontId="37" fillId="0" borderId="45" xfId="0" applyFont="1" applyBorder="1" applyAlignment="1">
      <alignment vertical="center" wrapText="1"/>
    </xf>
    <xf numFmtId="0" fontId="37" fillId="0" borderId="55" xfId="0" applyFont="1" applyBorder="1" applyAlignment="1">
      <alignment horizontal="center" vertical="center" wrapText="1"/>
    </xf>
    <xf numFmtId="0" fontId="37" fillId="0" borderId="51" xfId="0" applyFont="1" applyBorder="1" applyAlignment="1">
      <alignment vertical="center" wrapText="1"/>
    </xf>
    <xf numFmtId="0" fontId="44" fillId="0" borderId="51" xfId="0" applyFont="1" applyBorder="1" applyAlignment="1">
      <alignment horizontal="right" vertical="center" wrapText="1"/>
    </xf>
    <xf numFmtId="2" fontId="44" fillId="0" borderId="52" xfId="0" applyNumberFormat="1" applyFont="1" applyBorder="1" applyAlignment="1">
      <alignment vertical="center" wrapText="1"/>
    </xf>
    <xf numFmtId="0" fontId="44" fillId="0" borderId="53" xfId="0" applyFont="1" applyBorder="1" applyAlignment="1">
      <alignment vertical="center" wrapText="1"/>
    </xf>
    <xf numFmtId="0" fontId="44" fillId="0" borderId="52" xfId="0" applyFont="1" applyBorder="1" applyAlignment="1">
      <alignment vertical="center" wrapText="1"/>
    </xf>
    <xf numFmtId="0" fontId="39" fillId="0" borderId="51" xfId="0" applyFont="1" applyBorder="1" applyAlignment="1">
      <alignment horizontal="right" vertical="center" wrapText="1"/>
    </xf>
    <xf numFmtId="2" fontId="39" fillId="0" borderId="52" xfId="0" applyNumberFormat="1" applyFont="1" applyBorder="1" applyAlignment="1">
      <alignment vertical="center" wrapText="1"/>
    </xf>
    <xf numFmtId="0" fontId="39" fillId="0" borderId="53" xfId="0" applyFont="1" applyBorder="1" applyAlignment="1">
      <alignment vertical="center" wrapText="1"/>
    </xf>
    <xf numFmtId="0" fontId="36" fillId="0" borderId="45" xfId="0" applyFont="1" applyBorder="1" applyAlignment="1">
      <alignment horizontal="center" vertical="center" wrapText="1"/>
    </xf>
    <xf numFmtId="0" fontId="36" fillId="0" borderId="50" xfId="0" applyFont="1" applyBorder="1" applyAlignment="1">
      <alignment horizontal="justify" vertical="center" wrapText="1"/>
    </xf>
    <xf numFmtId="0" fontId="0" fillId="0" borderId="39" xfId="0" applyBorder="1" applyAlignment="1">
      <alignment horizontal="center" wrapText="1"/>
    </xf>
    <xf numFmtId="0" fontId="36" fillId="0" borderId="52" xfId="0" applyFont="1" applyBorder="1" applyAlignment="1">
      <alignment vertical="center" wrapText="1"/>
    </xf>
    <xf numFmtId="0" fontId="36" fillId="0" borderId="52" xfId="0" applyFont="1" applyBorder="1" applyAlignment="1">
      <alignment horizontal="justify" vertical="center" wrapText="1"/>
    </xf>
    <xf numFmtId="0" fontId="48" fillId="0" borderId="0" xfId="0" applyFont="1"/>
    <xf numFmtId="0" fontId="36" fillId="0" borderId="55" xfId="0" applyFont="1" applyBorder="1" applyAlignment="1">
      <alignment horizontal="center" vertical="center" wrapText="1"/>
    </xf>
    <xf numFmtId="0" fontId="36" fillId="0" borderId="35" xfId="0" applyFont="1" applyBorder="1" applyAlignment="1">
      <alignment vertical="center" wrapText="1"/>
    </xf>
    <xf numFmtId="0" fontId="36" fillId="0" borderId="55" xfId="0" applyFont="1" applyBorder="1" applyAlignment="1">
      <alignment vertical="center" wrapText="1"/>
    </xf>
    <xf numFmtId="0" fontId="3" fillId="0" borderId="51" xfId="0" applyFont="1" applyBorder="1" applyAlignment="1">
      <alignment vertical="center" wrapText="1"/>
    </xf>
    <xf numFmtId="0" fontId="36" fillId="0" borderId="56" xfId="0" applyFont="1" applyBorder="1" applyAlignment="1">
      <alignment vertical="center" wrapText="1"/>
    </xf>
    <xf numFmtId="0" fontId="36" fillId="0" borderId="38" xfId="0" applyFont="1" applyBorder="1" applyAlignment="1">
      <alignment vertical="center" wrapText="1"/>
    </xf>
    <xf numFmtId="0" fontId="36" fillId="0" borderId="39" xfId="0" applyFont="1" applyBorder="1" applyAlignment="1">
      <alignment horizontal="center" vertical="center" wrapText="1"/>
    </xf>
    <xf numFmtId="0" fontId="0" fillId="0" borderId="39" xfId="0" applyBorder="1" applyAlignment="1">
      <alignment vertical="top" wrapText="1"/>
    </xf>
    <xf numFmtId="0" fontId="0" fillId="11" borderId="0" xfId="0" applyFill="1"/>
    <xf numFmtId="0" fontId="36" fillId="11" borderId="0" xfId="0" applyFont="1" applyFill="1" applyBorder="1" applyAlignment="1">
      <alignment horizontal="center" vertical="center" wrapText="1"/>
    </xf>
    <xf numFmtId="0" fontId="36" fillId="0" borderId="54" xfId="0" applyFont="1" applyBorder="1" applyAlignment="1">
      <alignment vertical="center" wrapText="1"/>
    </xf>
    <xf numFmtId="0" fontId="37" fillId="0" borderId="54" xfId="0" applyFont="1" applyBorder="1" applyAlignment="1">
      <alignment vertical="center" wrapText="1"/>
    </xf>
    <xf numFmtId="0" fontId="55" fillId="0" borderId="55" xfId="0" applyFont="1" applyBorder="1" applyAlignment="1">
      <alignment vertical="center" wrapText="1"/>
    </xf>
    <xf numFmtId="0" fontId="55" fillId="0" borderId="39" xfId="0" applyFont="1" applyBorder="1" applyAlignment="1">
      <alignment horizontal="center" vertical="center" wrapText="1"/>
    </xf>
    <xf numFmtId="0" fontId="55" fillId="0" borderId="55" xfId="0" applyFont="1" applyBorder="1" applyAlignment="1">
      <alignment horizontal="center" vertical="center" wrapText="1"/>
    </xf>
    <xf numFmtId="0" fontId="56" fillId="0" borderId="55" xfId="0" applyFont="1" applyBorder="1" applyAlignment="1">
      <alignment vertical="center" wrapText="1"/>
    </xf>
    <xf numFmtId="2" fontId="36" fillId="0" borderId="55" xfId="0" applyNumberFormat="1" applyFont="1" applyBorder="1" applyAlignment="1">
      <alignment horizontal="right" vertical="center" wrapText="1"/>
    </xf>
    <xf numFmtId="2" fontId="36" fillId="0" borderId="55" xfId="0" applyNumberFormat="1" applyFont="1" applyBorder="1" applyAlignment="1">
      <alignment vertical="center" wrapText="1"/>
    </xf>
    <xf numFmtId="0" fontId="56" fillId="0" borderId="37" xfId="0" applyFont="1" applyBorder="1" applyAlignment="1">
      <alignment vertical="center" wrapText="1"/>
    </xf>
    <xf numFmtId="0" fontId="36" fillId="0" borderId="0" xfId="0" applyFont="1" applyAlignment="1">
      <alignment vertical="center"/>
    </xf>
    <xf numFmtId="0" fontId="37" fillId="0" borderId="37" xfId="0" applyFont="1" applyBorder="1" applyAlignment="1">
      <alignment horizontal="center" vertical="center" wrapText="1"/>
    </xf>
    <xf numFmtId="0" fontId="36" fillId="0" borderId="44" xfId="0" applyFont="1" applyBorder="1" applyAlignment="1">
      <alignment wrapText="1"/>
    </xf>
    <xf numFmtId="0" fontId="36" fillId="0" borderId="50" xfId="0" applyFont="1" applyBorder="1" applyAlignment="1">
      <alignment horizontal="center" wrapText="1"/>
    </xf>
    <xf numFmtId="0" fontId="0" fillId="2" borderId="1" xfId="0" applyFill="1" applyBorder="1" applyAlignment="1">
      <alignment vertical="center" wrapText="1"/>
    </xf>
    <xf numFmtId="0" fontId="57" fillId="9" borderId="1" xfId="0" applyFont="1" applyFill="1" applyBorder="1" applyAlignment="1">
      <alignment horizontal="center" vertical="center"/>
    </xf>
    <xf numFmtId="0" fontId="55" fillId="0" borderId="1" xfId="0" applyFont="1" applyBorder="1" applyAlignment="1">
      <alignment vertical="center" wrapText="1"/>
    </xf>
    <xf numFmtId="0" fontId="55" fillId="0" borderId="1" xfId="0" applyFont="1" applyBorder="1" applyAlignment="1">
      <alignment horizontal="center" vertical="center" wrapText="1"/>
    </xf>
    <xf numFmtId="10" fontId="3" fillId="2" borderId="1" xfId="1" applyNumberFormat="1" applyFont="1" applyFill="1" applyBorder="1" applyAlignment="1">
      <alignment horizontal="right" vertical="center"/>
    </xf>
    <xf numFmtId="9" fontId="0" fillId="0" borderId="0" xfId="23" applyFont="1"/>
    <xf numFmtId="0" fontId="0" fillId="0" borderId="0" xfId="0" applyFont="1"/>
    <xf numFmtId="2" fontId="0" fillId="0" borderId="0" xfId="0" applyNumberFormat="1" applyFont="1"/>
    <xf numFmtId="0" fontId="56" fillId="0" borderId="1" xfId="0" applyFont="1" applyBorder="1" applyAlignment="1">
      <alignment vertical="center" wrapText="1"/>
    </xf>
    <xf numFmtId="0" fontId="8" fillId="0" borderId="0" xfId="0" applyFont="1" applyAlignment="1">
      <alignment vertical="center"/>
    </xf>
    <xf numFmtId="0" fontId="58" fillId="0" borderId="0" xfId="0" applyFont="1" applyAlignment="1">
      <alignment horizontal="right" vertical="center"/>
    </xf>
    <xf numFmtId="0" fontId="59" fillId="0" borderId="0" xfId="0" applyFont="1" applyAlignment="1">
      <alignment horizontal="center" vertical="center"/>
    </xf>
    <xf numFmtId="0" fontId="60" fillId="0" borderId="0" xfId="0" applyFont="1" applyAlignment="1">
      <alignment vertical="center"/>
    </xf>
    <xf numFmtId="0" fontId="7" fillId="0" borderId="0" xfId="0" applyFont="1" applyAlignment="1">
      <alignment vertical="center"/>
    </xf>
    <xf numFmtId="0" fontId="60" fillId="0" borderId="0" xfId="0" applyFont="1" applyAlignment="1">
      <alignment horizontal="center" vertical="center"/>
    </xf>
    <xf numFmtId="0" fontId="60" fillId="0" borderId="55" xfId="0" applyFont="1" applyBorder="1" applyAlignment="1">
      <alignment horizontal="center" vertical="center" wrapText="1"/>
    </xf>
    <xf numFmtId="0" fontId="61" fillId="0" borderId="45" xfId="0" applyFont="1" applyBorder="1" applyAlignment="1">
      <alignment horizontal="center" vertical="center" wrapText="1"/>
    </xf>
    <xf numFmtId="0" fontId="62" fillId="0" borderId="0" xfId="0" applyFont="1" applyAlignment="1">
      <alignment horizontal="justify" vertical="center"/>
    </xf>
    <xf numFmtId="0" fontId="60" fillId="0" borderId="50" xfId="0" applyFont="1" applyBorder="1" applyAlignment="1">
      <alignment vertical="center" wrapText="1"/>
    </xf>
    <xf numFmtId="0" fontId="62" fillId="0" borderId="0" xfId="0" applyFont="1" applyAlignment="1">
      <alignment vertical="center"/>
    </xf>
    <xf numFmtId="0" fontId="61" fillId="0" borderId="54" xfId="0" applyFont="1" applyBorder="1" applyAlignment="1">
      <alignment horizontal="center" vertical="center" wrapText="1"/>
    </xf>
    <xf numFmtId="0" fontId="60" fillId="0" borderId="55" xfId="0" applyFont="1" applyBorder="1" applyAlignment="1">
      <alignment vertical="center" wrapText="1"/>
    </xf>
    <xf numFmtId="0" fontId="61" fillId="0" borderId="54" xfId="0" applyFont="1" applyBorder="1" applyAlignment="1">
      <alignment vertical="center" wrapText="1"/>
    </xf>
    <xf numFmtId="0" fontId="0" fillId="0" borderId="0" xfId="0" applyFont="1" applyAlignment="1">
      <alignment vertical="center"/>
    </xf>
    <xf numFmtId="0" fontId="63" fillId="0" borderId="38" xfId="0" applyFont="1" applyBorder="1" applyAlignment="1">
      <alignment vertical="center"/>
    </xf>
    <xf numFmtId="0" fontId="60" fillId="0" borderId="0" xfId="0" applyFont="1" applyBorder="1" applyAlignment="1">
      <alignment horizontal="center" vertical="center" wrapText="1"/>
    </xf>
    <xf numFmtId="0" fontId="60" fillId="0" borderId="39" xfId="0" applyFont="1" applyBorder="1" applyAlignment="1">
      <alignment horizontal="center" vertical="center" wrapText="1"/>
    </xf>
    <xf numFmtId="0" fontId="60" fillId="0" borderId="38" xfId="0" applyFont="1" applyBorder="1" applyAlignment="1">
      <alignment horizontal="center" vertical="center" wrapText="1"/>
    </xf>
    <xf numFmtId="0" fontId="63" fillId="0" borderId="38" xfId="0" applyFont="1" applyBorder="1"/>
    <xf numFmtId="0" fontId="60" fillId="0" borderId="0" xfId="0" applyFont="1" applyBorder="1" applyAlignment="1">
      <alignment vertical="center" wrapText="1"/>
    </xf>
    <xf numFmtId="0" fontId="60" fillId="0" borderId="39" xfId="0" applyFont="1" applyBorder="1" applyAlignment="1">
      <alignment vertical="center" wrapText="1"/>
    </xf>
    <xf numFmtId="0" fontId="60" fillId="0" borderId="38" xfId="0" applyFont="1" applyBorder="1" applyAlignment="1">
      <alignment vertical="center" wrapText="1"/>
    </xf>
    <xf numFmtId="0" fontId="61" fillId="0" borderId="52" xfId="0" applyFont="1" applyBorder="1" applyAlignment="1">
      <alignment vertical="center" wrapText="1"/>
    </xf>
    <xf numFmtId="0" fontId="60" fillId="0" borderId="53" xfId="0" applyFont="1" applyBorder="1" applyAlignment="1">
      <alignment vertical="center" wrapText="1"/>
    </xf>
    <xf numFmtId="0" fontId="61" fillId="0" borderId="0" xfId="0" applyFont="1" applyAlignment="1">
      <alignment vertical="center"/>
    </xf>
    <xf numFmtId="0" fontId="60" fillId="0" borderId="0" xfId="0" applyFont="1" applyAlignment="1">
      <alignment horizontal="right" vertical="center"/>
    </xf>
    <xf numFmtId="2" fontId="7" fillId="2" borderId="8" xfId="1" applyNumberFormat="1" applyFont="1" applyFill="1" applyBorder="1" applyAlignment="1">
      <alignment horizontal="center" vertical="center" wrapText="1"/>
    </xf>
    <xf numFmtId="0" fontId="0" fillId="0" borderId="0" xfId="0" applyNumberFormat="1"/>
    <xf numFmtId="0" fontId="0" fillId="0" borderId="0" xfId="0" applyNumberFormat="1" applyAlignment="1">
      <alignment horizontal="center" vertical="center"/>
    </xf>
    <xf numFmtId="0" fontId="12" fillId="0" borderId="0" xfId="0" applyNumberFormat="1" applyFont="1"/>
    <xf numFmtId="2" fontId="12" fillId="0" borderId="0" xfId="0" applyNumberFormat="1" applyFont="1"/>
    <xf numFmtId="0" fontId="20" fillId="0" borderId="2" xfId="2" applyFont="1" applyFill="1" applyBorder="1" applyAlignment="1">
      <alignment horizontal="center" vertical="center" wrapText="1"/>
    </xf>
    <xf numFmtId="0" fontId="22" fillId="0" borderId="0" xfId="0" applyFont="1" applyFill="1" applyBorder="1" applyAlignment="1">
      <alignment vertical="center" wrapText="1"/>
    </xf>
    <xf numFmtId="0" fontId="6" fillId="0" borderId="0" xfId="5" applyFont="1" applyFill="1" applyAlignment="1">
      <alignment horizontal="center" vertical="center" wrapText="1"/>
    </xf>
    <xf numFmtId="0" fontId="56" fillId="0" borderId="1" xfId="0" applyFont="1" applyBorder="1" applyAlignment="1">
      <alignment horizontal="center" vertical="center" wrapText="1"/>
    </xf>
    <xf numFmtId="2" fontId="56" fillId="0" borderId="1" xfId="0" applyNumberFormat="1" applyFont="1" applyBorder="1" applyAlignment="1">
      <alignment horizontal="right" vertical="center" wrapText="1"/>
    </xf>
    <xf numFmtId="10" fontId="56" fillId="0" borderId="1" xfId="0" applyNumberFormat="1" applyFont="1" applyBorder="1" applyAlignment="1">
      <alignment horizontal="center" vertical="center" wrapText="1"/>
    </xf>
    <xf numFmtId="2" fontId="55" fillId="0" borderId="1" xfId="0" applyNumberFormat="1" applyFont="1" applyBorder="1" applyAlignment="1">
      <alignment horizontal="right" vertical="center" wrapText="1"/>
    </xf>
    <xf numFmtId="10" fontId="55" fillId="0" borderId="1" xfId="0" applyNumberFormat="1" applyFont="1" applyBorder="1" applyAlignment="1">
      <alignment horizontal="center" vertical="center" wrapText="1"/>
    </xf>
    <xf numFmtId="2" fontId="56" fillId="0" borderId="1" xfId="0" applyNumberFormat="1" applyFont="1" applyBorder="1" applyAlignment="1">
      <alignment vertical="center" wrapText="1"/>
    </xf>
    <xf numFmtId="2" fontId="56" fillId="0" borderId="1" xfId="0" quotePrefix="1" applyNumberFormat="1" applyFont="1" applyBorder="1" applyAlignment="1">
      <alignment horizontal="center" vertical="center" wrapText="1"/>
    </xf>
    <xf numFmtId="2" fontId="56" fillId="0" borderId="1" xfId="0" quotePrefix="1" applyNumberFormat="1" applyFont="1" applyBorder="1" applyAlignment="1">
      <alignment horizontal="right" vertical="center" wrapText="1"/>
    </xf>
    <xf numFmtId="2" fontId="55" fillId="0" borderId="1" xfId="0" applyNumberFormat="1" applyFont="1" applyBorder="1" applyAlignment="1">
      <alignment horizontal="center" vertical="center" wrapText="1"/>
    </xf>
    <xf numFmtId="10" fontId="0" fillId="0" borderId="0" xfId="23" applyNumberFormat="1" applyFont="1"/>
    <xf numFmtId="0" fontId="66" fillId="2" borderId="0" xfId="0" applyFont="1" applyFill="1" applyBorder="1" applyAlignment="1">
      <alignment horizontal="center" vertical="center" wrapText="1"/>
    </xf>
    <xf numFmtId="0" fontId="6" fillId="2" borderId="0" xfId="1" applyFont="1" applyFill="1" applyAlignment="1">
      <alignment horizontal="center" vertical="center" wrapText="1"/>
    </xf>
    <xf numFmtId="0" fontId="44" fillId="0" borderId="53"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49" xfId="0" applyFont="1" applyBorder="1" applyAlignment="1">
      <alignment horizontal="center" vertical="center" wrapText="1"/>
    </xf>
    <xf numFmtId="0" fontId="44" fillId="0" borderId="48" xfId="0" applyFont="1" applyBorder="1" applyAlignment="1">
      <alignment horizontal="center" vertical="center" wrapText="1"/>
    </xf>
    <xf numFmtId="2" fontId="44" fillId="0" borderId="49" xfId="0" applyNumberFormat="1" applyFont="1" applyBorder="1" applyAlignment="1">
      <alignment horizontal="center" vertical="center" wrapText="1"/>
    </xf>
    <xf numFmtId="0" fontId="44" fillId="0" borderId="70" xfId="0" applyFont="1" applyBorder="1" applyAlignment="1">
      <alignment horizontal="center" vertical="center" wrapText="1"/>
    </xf>
    <xf numFmtId="2" fontId="44" fillId="0" borderId="73" xfId="0" applyNumberFormat="1" applyFont="1" applyBorder="1" applyAlignment="1">
      <alignment horizontal="center" vertical="center" wrapText="1"/>
    </xf>
    <xf numFmtId="0" fontId="44" fillId="0" borderId="73" xfId="0" applyFont="1" applyBorder="1" applyAlignment="1">
      <alignment horizontal="center" vertical="center" wrapText="1"/>
    </xf>
    <xf numFmtId="2" fontId="44" fillId="0" borderId="63" xfId="0" applyNumberFormat="1" applyFont="1" applyBorder="1" applyAlignment="1">
      <alignment horizontal="center" vertical="center" wrapText="1"/>
    </xf>
    <xf numFmtId="0" fontId="44" fillId="0" borderId="74" xfId="0" applyFont="1" applyBorder="1" applyAlignment="1">
      <alignment horizontal="center" vertical="center" wrapText="1"/>
    </xf>
    <xf numFmtId="0" fontId="45" fillId="5" borderId="0" xfId="0" applyFont="1" applyFill="1" applyAlignment="1">
      <alignment horizontal="center" vertical="center"/>
    </xf>
    <xf numFmtId="2" fontId="37" fillId="0" borderId="1" xfId="0" applyNumberFormat="1" applyFont="1" applyBorder="1" applyAlignment="1">
      <alignment horizontal="center" vertical="center" wrapText="1"/>
    </xf>
    <xf numFmtId="1" fontId="36" fillId="0" borderId="1" xfId="0" applyNumberFormat="1" applyFont="1" applyBorder="1" applyAlignment="1">
      <alignment horizontal="center" vertical="center" wrapText="1"/>
    </xf>
    <xf numFmtId="10" fontId="36" fillId="0" borderId="1" xfId="23" applyNumberFormat="1" applyFont="1" applyBorder="1" applyAlignment="1">
      <alignment horizontal="center" vertical="center" wrapText="1"/>
    </xf>
    <xf numFmtId="0" fontId="68" fillId="0" borderId="0" xfId="0" applyFont="1" applyAlignment="1">
      <alignment vertical="center"/>
    </xf>
    <xf numFmtId="0" fontId="67" fillId="0" borderId="0" xfId="0" applyFont="1" applyAlignment="1">
      <alignment vertical="center"/>
    </xf>
    <xf numFmtId="0" fontId="36" fillId="0" borderId="1" xfId="0" applyFont="1" applyBorder="1" applyAlignment="1">
      <alignment horizontal="right" vertical="center" wrapText="1"/>
    </xf>
    <xf numFmtId="2" fontId="36" fillId="0" borderId="1" xfId="0" applyNumberFormat="1" applyFont="1" applyBorder="1" applyAlignment="1">
      <alignment horizontal="right" vertical="center" wrapText="1"/>
    </xf>
    <xf numFmtId="0" fontId="20" fillId="5" borderId="2" xfId="2" applyFont="1" applyFill="1" applyBorder="1" applyAlignment="1">
      <alignment horizontal="center" vertical="center" wrapText="1"/>
    </xf>
    <xf numFmtId="165" fontId="37" fillId="0" borderId="1" xfId="0" applyNumberFormat="1" applyFont="1" applyBorder="1" applyAlignment="1">
      <alignment horizontal="center" vertical="center" wrapText="1"/>
    </xf>
    <xf numFmtId="14" fontId="37" fillId="0" borderId="1" xfId="0" applyNumberFormat="1" applyFont="1" applyBorder="1" applyAlignment="1">
      <alignment horizontal="center" vertical="center" wrapText="1"/>
    </xf>
    <xf numFmtId="0" fontId="36" fillId="0" borderId="1" xfId="0" applyFont="1" applyBorder="1" applyAlignment="1">
      <alignment horizontal="left" vertical="center" wrapText="1"/>
    </xf>
    <xf numFmtId="165" fontId="36" fillId="0" borderId="1" xfId="0" applyNumberFormat="1" applyFont="1" applyBorder="1" applyAlignment="1">
      <alignment horizontal="left" vertical="center" wrapText="1"/>
    </xf>
    <xf numFmtId="0" fontId="36" fillId="0" borderId="0" xfId="0" applyFont="1" applyAlignment="1">
      <alignment horizontal="left" vertical="center" wrapText="1"/>
    </xf>
    <xf numFmtId="0" fontId="36" fillId="0" borderId="0" xfId="0" applyFont="1" applyAlignment="1">
      <alignment vertical="center" wrapText="1"/>
    </xf>
    <xf numFmtId="165" fontId="36" fillId="0" borderId="0" xfId="0" applyNumberFormat="1" applyFont="1" applyAlignment="1">
      <alignment horizontal="left" vertical="center" wrapText="1"/>
    </xf>
    <xf numFmtId="2" fontId="70" fillId="8" borderId="7" xfId="1" applyNumberFormat="1" applyFont="1" applyFill="1" applyBorder="1" applyAlignment="1">
      <alignment horizontal="center" vertical="center" wrapText="1"/>
    </xf>
    <xf numFmtId="165" fontId="70" fillId="8" borderId="7" xfId="1" applyNumberFormat="1" applyFont="1" applyFill="1" applyBorder="1" applyAlignment="1">
      <alignment horizontal="center" vertical="center" wrapText="1"/>
    </xf>
    <xf numFmtId="14" fontId="70" fillId="8" borderId="7" xfId="1" applyNumberFormat="1" applyFont="1" applyFill="1" applyBorder="1" applyAlignment="1">
      <alignment horizontal="center" vertical="center" wrapText="1"/>
    </xf>
    <xf numFmtId="2" fontId="70" fillId="8" borderId="1" xfId="1" applyNumberFormat="1" applyFont="1" applyFill="1" applyBorder="1" applyAlignment="1">
      <alignment horizontal="center" vertical="center" wrapText="1"/>
    </xf>
    <xf numFmtId="49" fontId="36" fillId="0" borderId="1" xfId="0" applyNumberFormat="1" applyFont="1" applyFill="1" applyBorder="1" applyAlignment="1">
      <alignment horizontal="left" vertical="center" wrapText="1"/>
    </xf>
    <xf numFmtId="1" fontId="36" fillId="0" borderId="1" xfId="0" applyNumberFormat="1" applyFont="1" applyFill="1" applyBorder="1" applyAlignment="1">
      <alignment horizontal="center" vertical="center" wrapText="1"/>
    </xf>
    <xf numFmtId="1" fontId="36" fillId="0" borderId="1" xfId="0" applyNumberFormat="1" applyFont="1" applyFill="1" applyBorder="1" applyAlignment="1">
      <alignment horizontal="left" vertical="center" wrapText="1"/>
    </xf>
    <xf numFmtId="0" fontId="39" fillId="0" borderId="1" xfId="0" applyNumberFormat="1" applyFont="1" applyFill="1" applyBorder="1" applyAlignment="1">
      <alignment horizontal="center" vertical="center" wrapText="1"/>
    </xf>
    <xf numFmtId="2" fontId="36" fillId="0" borderId="1" xfId="0" applyNumberFormat="1" applyFont="1" applyFill="1" applyBorder="1" applyAlignment="1">
      <alignment horizontal="right" vertical="center" wrapText="1"/>
    </xf>
    <xf numFmtId="0" fontId="39" fillId="0" borderId="0" xfId="0" applyFont="1" applyFill="1" applyAlignment="1">
      <alignment vertical="center" wrapText="1"/>
    </xf>
    <xf numFmtId="1" fontId="36" fillId="0" borderId="1" xfId="0" quotePrefix="1" applyNumberFormat="1" applyFont="1" applyFill="1" applyBorder="1" applyAlignment="1">
      <alignment horizontal="center" vertical="center" wrapText="1"/>
    </xf>
    <xf numFmtId="14" fontId="36" fillId="0" borderId="0" xfId="0" applyNumberFormat="1" applyFont="1" applyAlignment="1">
      <alignment horizontal="center" vertical="center" wrapText="1"/>
    </xf>
    <xf numFmtId="0" fontId="36" fillId="0" borderId="0" xfId="0" applyFont="1" applyAlignment="1">
      <alignment horizontal="right" vertical="center" wrapText="1"/>
    </xf>
    <xf numFmtId="0" fontId="39" fillId="2" borderId="1" xfId="0" applyNumberFormat="1" applyFont="1" applyFill="1" applyBorder="1" applyAlignment="1">
      <alignment horizontal="center" vertical="center" wrapText="1"/>
    </xf>
    <xf numFmtId="0" fontId="37" fillId="2" borderId="1" xfId="0" applyFont="1" applyFill="1" applyBorder="1" applyAlignment="1">
      <alignment horizontal="center" vertical="center" wrapText="1"/>
    </xf>
    <xf numFmtId="0" fontId="17" fillId="7" borderId="0" xfId="0" applyFont="1" applyFill="1" applyAlignment="1">
      <alignment horizontal="center" vertical="center" wrapText="1"/>
    </xf>
    <xf numFmtId="0" fontId="0" fillId="5" borderId="11" xfId="0" applyFill="1" applyBorder="1" applyAlignment="1">
      <alignment vertical="center" wrapText="1"/>
    </xf>
    <xf numFmtId="2" fontId="6" fillId="2" borderId="0" xfId="1" applyNumberFormat="1" applyFont="1" applyFill="1" applyBorder="1" applyAlignment="1">
      <alignment horizontal="center" vertical="center" wrapText="1"/>
    </xf>
    <xf numFmtId="2" fontId="6" fillId="2" borderId="0" xfId="1" applyNumberFormat="1" applyFont="1" applyFill="1" applyBorder="1" applyAlignment="1">
      <alignment horizontal="right" vertical="center" wrapText="1"/>
    </xf>
    <xf numFmtId="0" fontId="6" fillId="2" borderId="0" xfId="1" applyFont="1" applyFill="1" applyAlignment="1">
      <alignment vertical="center" wrapText="1"/>
    </xf>
    <xf numFmtId="2" fontId="6" fillId="2" borderId="0" xfId="1" applyNumberFormat="1" applyFont="1" applyFill="1" applyBorder="1" applyAlignment="1">
      <alignment horizontal="left" vertical="center" wrapText="1"/>
    </xf>
    <xf numFmtId="0" fontId="6" fillId="2" borderId="0" xfId="1" applyFont="1" applyFill="1" applyAlignment="1">
      <alignment horizontal="left" vertical="center" wrapText="1"/>
    </xf>
    <xf numFmtId="0" fontId="12" fillId="0" borderId="1" xfId="0" applyFont="1" applyBorder="1" applyAlignment="1">
      <alignment horizontal="center" vertical="center" wrapText="1"/>
    </xf>
    <xf numFmtId="0" fontId="73" fillId="2" borderId="2" xfId="1" applyFont="1" applyFill="1" applyBorder="1" applyAlignment="1">
      <alignment horizontal="center" vertical="center"/>
    </xf>
    <xf numFmtId="0" fontId="73" fillId="2" borderId="3" xfId="1" applyFont="1" applyFill="1" applyBorder="1" applyAlignment="1">
      <alignment horizontal="center" vertical="center"/>
    </xf>
    <xf numFmtId="0" fontId="73" fillId="2" borderId="3" xfId="1" applyFont="1" applyFill="1" applyBorder="1" applyAlignment="1">
      <alignment horizontal="left" vertical="center"/>
    </xf>
    <xf numFmtId="0" fontId="73" fillId="2" borderId="10" xfId="1" applyFont="1" applyFill="1" applyBorder="1" applyAlignment="1">
      <alignment horizontal="center" vertical="center"/>
    </xf>
    <xf numFmtId="1" fontId="73" fillId="2" borderId="2" xfId="1" applyNumberFormat="1" applyFont="1" applyFill="1" applyBorder="1" applyAlignment="1">
      <alignment horizontal="center" vertical="center" wrapText="1"/>
    </xf>
    <xf numFmtId="1" fontId="73" fillId="2" borderId="3" xfId="1" applyNumberFormat="1" applyFont="1" applyFill="1" applyBorder="1" applyAlignment="1">
      <alignment horizontal="center" vertical="center" wrapText="1"/>
    </xf>
    <xf numFmtId="1" fontId="73" fillId="2" borderId="10" xfId="1" applyNumberFormat="1" applyFont="1" applyFill="1" applyBorder="1" applyAlignment="1">
      <alignment horizontal="center" vertical="center" wrapText="1"/>
    </xf>
    <xf numFmtId="2" fontId="73" fillId="2" borderId="1" xfId="1" applyNumberFormat="1" applyFont="1" applyFill="1" applyBorder="1" applyAlignment="1">
      <alignment horizontal="center" vertical="center" wrapText="1"/>
    </xf>
    <xf numFmtId="2" fontId="73" fillId="2" borderId="4" xfId="1" applyNumberFormat="1" applyFont="1" applyFill="1" applyBorder="1" applyAlignment="1">
      <alignment horizontal="center" vertical="center"/>
    </xf>
    <xf numFmtId="2" fontId="73" fillId="2" borderId="5" xfId="1" applyNumberFormat="1" applyFont="1" applyFill="1" applyBorder="1" applyAlignment="1">
      <alignment horizontal="center" vertical="center"/>
    </xf>
    <xf numFmtId="2" fontId="73" fillId="2" borderId="6" xfId="1" applyNumberFormat="1" applyFont="1" applyFill="1" applyBorder="1" applyAlignment="1">
      <alignment horizontal="center" vertical="center"/>
    </xf>
    <xf numFmtId="0" fontId="73" fillId="2" borderId="4" xfId="1" applyFont="1" applyFill="1" applyBorder="1" applyAlignment="1">
      <alignment horizontal="center" vertical="center"/>
    </xf>
    <xf numFmtId="0" fontId="73" fillId="2" borderId="5" xfId="1" applyFont="1" applyFill="1" applyBorder="1" applyAlignment="1">
      <alignment horizontal="center" vertical="center"/>
    </xf>
    <xf numFmtId="0" fontId="73" fillId="2" borderId="6" xfId="1" applyFont="1" applyFill="1" applyBorder="1" applyAlignment="1">
      <alignment horizontal="center" vertical="center"/>
    </xf>
    <xf numFmtId="0" fontId="73" fillId="2" borderId="0" xfId="1" applyFont="1" applyFill="1"/>
    <xf numFmtId="0" fontId="73" fillId="2" borderId="0" xfId="1" applyFont="1" applyFill="1" applyAlignment="1">
      <alignment horizontal="center" vertical="center" wrapText="1"/>
    </xf>
    <xf numFmtId="0" fontId="36" fillId="2" borderId="0" xfId="0" applyFont="1" applyFill="1" applyAlignment="1">
      <alignment horizontal="center" vertical="center" wrapText="1"/>
    </xf>
    <xf numFmtId="0" fontId="22" fillId="2" borderId="0" xfId="0" applyFont="1" applyFill="1" applyBorder="1" applyAlignment="1">
      <alignment horizontal="center" vertical="center" wrapText="1"/>
    </xf>
    <xf numFmtId="2" fontId="6" fillId="2" borderId="0" xfId="1" applyNumberFormat="1" applyFont="1" applyFill="1" applyBorder="1" applyAlignment="1">
      <alignment horizontal="center" vertical="center" wrapText="1"/>
    </xf>
    <xf numFmtId="2" fontId="6" fillId="2" borderId="0" xfId="1" applyNumberFormat="1" applyFont="1" applyFill="1" applyAlignment="1">
      <alignment horizontal="center" vertical="center" wrapText="1"/>
    </xf>
    <xf numFmtId="1" fontId="6" fillId="2" borderId="0" xfId="1" applyNumberFormat="1" applyFont="1" applyFill="1" applyBorder="1" applyAlignment="1">
      <alignment horizontal="center" vertical="center" wrapText="1"/>
    </xf>
    <xf numFmtId="2" fontId="9" fillId="2" borderId="0" xfId="1" applyNumberFormat="1" applyFont="1" applyFill="1" applyBorder="1" applyAlignment="1">
      <alignment horizontal="center" vertical="center" wrapText="1"/>
    </xf>
    <xf numFmtId="0" fontId="6" fillId="0" borderId="0" xfId="1" applyFont="1" applyFill="1" applyAlignment="1">
      <alignment horizontal="center" vertical="center" wrapText="1"/>
    </xf>
    <xf numFmtId="2" fontId="1" fillId="2" borderId="0" xfId="0" applyNumberFormat="1" applyFont="1" applyFill="1" applyBorder="1" applyAlignment="1">
      <alignment horizontal="center" vertical="center" wrapText="1"/>
    </xf>
    <xf numFmtId="2" fontId="6" fillId="2" borderId="0" xfId="4" applyNumberFormat="1" applyFont="1" applyFill="1" applyBorder="1" applyAlignment="1">
      <alignment horizontal="center" vertical="center" wrapText="1"/>
    </xf>
    <xf numFmtId="0" fontId="7" fillId="0" borderId="0" xfId="1" applyFont="1" applyFill="1" applyAlignment="1">
      <alignment horizontal="center" vertical="center" wrapText="1"/>
    </xf>
    <xf numFmtId="2" fontId="66" fillId="2" borderId="0" xfId="0" applyNumberFormat="1" applyFont="1" applyFill="1" applyBorder="1" applyAlignment="1">
      <alignment horizontal="center" vertical="center" wrapText="1"/>
    </xf>
    <xf numFmtId="2" fontId="7" fillId="2" borderId="0" xfId="1" applyNumberFormat="1" applyFont="1" applyFill="1" applyAlignment="1">
      <alignment horizontal="center" vertical="center" wrapText="1"/>
    </xf>
    <xf numFmtId="2" fontId="6" fillId="2" borderId="0" xfId="1" applyNumberFormat="1" applyFont="1" applyFill="1" applyAlignment="1">
      <alignment horizontal="right" vertical="center" wrapText="1"/>
    </xf>
    <xf numFmtId="1" fontId="6" fillId="2" borderId="0" xfId="1" applyNumberFormat="1" applyFont="1" applyFill="1" applyAlignment="1">
      <alignment horizontal="center" vertical="center" wrapText="1"/>
    </xf>
    <xf numFmtId="0" fontId="22" fillId="2" borderId="0" xfId="0" applyFont="1" applyFill="1" applyBorder="1" applyAlignment="1">
      <alignment horizontal="center" vertical="center" wrapText="1"/>
    </xf>
    <xf numFmtId="0" fontId="36" fillId="13" borderId="1" xfId="0" applyFont="1" applyFill="1" applyBorder="1" applyAlignment="1">
      <alignment horizontal="left" vertical="center" wrapText="1"/>
    </xf>
    <xf numFmtId="2" fontId="0" fillId="0" borderId="1" xfId="1" applyNumberFormat="1" applyFont="1" applyFill="1" applyBorder="1" applyAlignment="1">
      <alignment horizontal="center" vertical="center" wrapText="1"/>
    </xf>
    <xf numFmtId="2" fontId="0" fillId="0" borderId="1" xfId="0" applyNumberFormat="1" applyFont="1" applyFill="1" applyBorder="1" applyAlignment="1">
      <alignment horizontal="center" vertical="center" wrapText="1"/>
    </xf>
    <xf numFmtId="2" fontId="40" fillId="0" borderId="1" xfId="0" applyNumberFormat="1" applyFont="1" applyFill="1" applyBorder="1" applyAlignment="1">
      <alignment vertical="center"/>
    </xf>
    <xf numFmtId="2" fontId="40" fillId="0" borderId="1" xfId="0" applyNumberFormat="1" applyFont="1" applyFill="1" applyBorder="1" applyAlignment="1">
      <alignment horizontal="center" vertical="center"/>
    </xf>
    <xf numFmtId="2" fontId="40" fillId="0" borderId="80" xfId="0" applyNumberFormat="1" applyFont="1" applyFill="1" applyBorder="1" applyAlignment="1">
      <alignment horizontal="center" vertical="center"/>
    </xf>
    <xf numFmtId="2" fontId="40" fillId="0" borderId="78" xfId="0" applyNumberFormat="1" applyFont="1" applyFill="1" applyBorder="1" applyAlignment="1">
      <alignment horizontal="center" vertical="center"/>
    </xf>
    <xf numFmtId="170" fontId="40" fillId="0" borderId="1" xfId="0" applyNumberFormat="1" applyFont="1" applyFill="1" applyBorder="1" applyAlignment="1">
      <alignment horizontal="center" vertical="center"/>
    </xf>
    <xf numFmtId="166" fontId="0" fillId="0" borderId="1" xfId="0" applyNumberFormat="1" applyFont="1" applyFill="1" applyBorder="1" applyAlignment="1">
      <alignment horizontal="center" vertical="center" wrapText="1"/>
    </xf>
    <xf numFmtId="2" fontId="0" fillId="0" borderId="1" xfId="0" applyNumberFormat="1" applyFont="1" applyFill="1" applyBorder="1" applyAlignment="1">
      <alignment horizontal="right" vertical="center" wrapText="1"/>
    </xf>
    <xf numFmtId="2" fontId="0" fillId="0" borderId="1" xfId="1" applyNumberFormat="1" applyFont="1" applyFill="1" applyBorder="1" applyAlignment="1">
      <alignment horizontal="right" vertical="center" wrapText="1"/>
    </xf>
    <xf numFmtId="170" fontId="40" fillId="0" borderId="80" xfId="0" applyNumberFormat="1" applyFont="1" applyFill="1" applyBorder="1" applyAlignment="1">
      <alignment horizontal="center" vertical="center"/>
    </xf>
    <xf numFmtId="170" fontId="40" fillId="0" borderId="78"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170" fontId="40" fillId="0" borderId="79" xfId="0" applyNumberFormat="1" applyFont="1" applyFill="1" applyBorder="1" applyAlignment="1">
      <alignment horizontal="center" vertical="center"/>
    </xf>
    <xf numFmtId="2" fontId="0" fillId="0" borderId="1" xfId="0" applyNumberFormat="1" applyFont="1" applyFill="1" applyBorder="1" applyAlignment="1">
      <alignment vertical="center" wrapText="1"/>
    </xf>
    <xf numFmtId="0" fontId="0"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22" fillId="2" borderId="0" xfId="1" applyFont="1" applyFill="1" applyAlignment="1">
      <alignment horizontal="center" vertical="center" wrapText="1"/>
    </xf>
    <xf numFmtId="0" fontId="74" fillId="2" borderId="0" xfId="1" applyFont="1" applyFill="1" applyAlignment="1">
      <alignment horizontal="center" vertical="center" wrapText="1"/>
    </xf>
    <xf numFmtId="0" fontId="74" fillId="0" borderId="0" xfId="1" applyFont="1" applyFill="1" applyAlignment="1">
      <alignment horizontal="center" vertical="center" wrapText="1"/>
    </xf>
    <xf numFmtId="2" fontId="74" fillId="2" borderId="0" xfId="1" applyNumberFormat="1" applyFont="1" applyFill="1" applyBorder="1" applyAlignment="1">
      <alignment horizontal="center" vertical="center" wrapText="1"/>
    </xf>
    <xf numFmtId="0" fontId="74" fillId="2" borderId="0" xfId="3" applyFont="1" applyFill="1" applyBorder="1" applyAlignment="1">
      <alignment horizontal="center" vertical="center" wrapText="1"/>
    </xf>
    <xf numFmtId="2" fontId="74" fillId="2" borderId="0" xfId="1" applyNumberFormat="1" applyFont="1" applyFill="1" applyAlignment="1">
      <alignment horizontal="center" vertical="center" wrapText="1"/>
    </xf>
    <xf numFmtId="2" fontId="75" fillId="2" borderId="0" xfId="1" applyNumberFormat="1" applyFont="1" applyFill="1" applyAlignment="1">
      <alignment horizontal="center" vertical="center" wrapText="1"/>
    </xf>
    <xf numFmtId="0" fontId="74" fillId="2" borderId="0" xfId="5" applyFont="1" applyFill="1" applyAlignment="1">
      <alignment horizontal="center" vertical="center" wrapText="1"/>
    </xf>
    <xf numFmtId="0" fontId="74" fillId="2" borderId="0" xfId="0" applyFont="1" applyFill="1" applyBorder="1" applyAlignment="1">
      <alignment horizontal="center" vertical="center" wrapText="1"/>
    </xf>
    <xf numFmtId="2" fontId="7" fillId="2" borderId="0" xfId="1" applyNumberFormat="1" applyFont="1" applyFill="1" applyAlignment="1">
      <alignment horizontal="left" vertical="center"/>
    </xf>
    <xf numFmtId="0" fontId="6" fillId="0" borderId="50" xfId="0" applyFont="1" applyBorder="1" applyAlignment="1">
      <alignment horizontal="center" vertical="center" wrapText="1"/>
    </xf>
    <xf numFmtId="0" fontId="38" fillId="0" borderId="0" xfId="0" applyFont="1"/>
    <xf numFmtId="0" fontId="6" fillId="0" borderId="50" xfId="0" applyFont="1" applyBorder="1" applyAlignment="1">
      <alignment vertical="center" wrapText="1"/>
    </xf>
    <xf numFmtId="0" fontId="22" fillId="2" borderId="0" xfId="0" applyFont="1" applyFill="1" applyBorder="1" applyAlignment="1">
      <alignment horizontal="center" vertical="center" wrapText="1"/>
    </xf>
    <xf numFmtId="0" fontId="77" fillId="0" borderId="38" xfId="5" applyFont="1" applyBorder="1" applyAlignment="1">
      <alignment horizontal="center" vertical="center" wrapText="1"/>
    </xf>
    <xf numFmtId="0" fontId="29" fillId="0" borderId="1" xfId="5" applyFont="1" applyBorder="1" applyAlignment="1">
      <alignment horizontal="center" vertical="center" wrapText="1"/>
    </xf>
    <xf numFmtId="2" fontId="29" fillId="0" borderId="40" xfId="5" applyNumberFormat="1" applyFont="1" applyFill="1" applyBorder="1" applyAlignment="1">
      <alignment horizontal="center" vertical="center" wrapText="1"/>
    </xf>
    <xf numFmtId="0" fontId="77" fillId="0" borderId="0" xfId="5" applyFont="1" applyAlignment="1">
      <alignment vertical="center"/>
    </xf>
    <xf numFmtId="0" fontId="55" fillId="0" borderId="1" xfId="0" applyFont="1" applyBorder="1" applyAlignment="1">
      <alignment horizontal="center" vertical="center" wrapText="1"/>
    </xf>
    <xf numFmtId="0" fontId="22" fillId="2" borderId="0" xfId="0" applyFont="1" applyFill="1" applyBorder="1" applyAlignment="1">
      <alignment horizontal="center" vertical="center" wrapText="1"/>
    </xf>
    <xf numFmtId="2" fontId="6" fillId="2" borderId="0" xfId="1" applyNumberFormat="1" applyFont="1" applyFill="1" applyBorder="1" applyAlignment="1">
      <alignment horizontal="center" vertical="center" wrapText="1"/>
    </xf>
    <xf numFmtId="2" fontId="78" fillId="2" borderId="0" xfId="1" applyNumberFormat="1" applyFont="1" applyFill="1" applyAlignment="1">
      <alignment horizontal="left" vertical="center"/>
    </xf>
    <xf numFmtId="14" fontId="22" fillId="0" borderId="50" xfId="0" applyNumberFormat="1" applyFont="1" applyBorder="1" applyAlignment="1">
      <alignment horizontal="center" vertical="center" wrapText="1"/>
    </xf>
    <xf numFmtId="0" fontId="27" fillId="0" borderId="0" xfId="0" applyFont="1"/>
    <xf numFmtId="0" fontId="80" fillId="0" borderId="0" xfId="0" applyFont="1" applyAlignment="1">
      <alignment horizontal="center"/>
    </xf>
    <xf numFmtId="0" fontId="0" fillId="0" borderId="1" xfId="0" applyBorder="1" applyAlignment="1">
      <alignment vertical="center"/>
    </xf>
    <xf numFmtId="0" fontId="0" fillId="0" borderId="1" xfId="0" applyBorder="1" applyAlignment="1">
      <alignment horizont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83" fillId="0" borderId="1" xfId="0" applyFont="1" applyBorder="1" applyAlignment="1">
      <alignment horizontal="center" vertical="center" wrapText="1"/>
    </xf>
    <xf numFmtId="2" fontId="2" fillId="0" borderId="1" xfId="0" applyNumberFormat="1" applyFont="1" applyBorder="1" applyAlignment="1">
      <alignment horizontal="right" vertical="center" wrapText="1"/>
    </xf>
    <xf numFmtId="0" fontId="81" fillId="0" borderId="1" xfId="0" applyFont="1" applyBorder="1" applyAlignment="1">
      <alignment vertical="center" wrapText="1"/>
    </xf>
    <xf numFmtId="0" fontId="82" fillId="0" borderId="1" xfId="0" applyFont="1" applyBorder="1" applyAlignment="1">
      <alignment vertical="center" wrapText="1"/>
    </xf>
    <xf numFmtId="0" fontId="81" fillId="0" borderId="1" xfId="0" applyFont="1" applyBorder="1" applyAlignment="1">
      <alignment horizontal="center" vertical="center" wrapText="1"/>
    </xf>
    <xf numFmtId="0" fontId="81" fillId="0" borderId="1" xfId="0" applyFont="1" applyFill="1" applyBorder="1" applyAlignment="1">
      <alignment horizontal="center" vertical="center" wrapText="1"/>
    </xf>
    <xf numFmtId="0" fontId="85" fillId="2" borderId="0" xfId="1" applyFont="1" applyFill="1" applyAlignment="1">
      <alignment horizontal="center" vertical="center" wrapText="1"/>
    </xf>
    <xf numFmtId="10" fontId="85" fillId="2" borderId="1" xfId="1" applyNumberFormat="1" applyFont="1" applyFill="1" applyBorder="1" applyAlignment="1">
      <alignment horizontal="right" vertical="center" wrapText="1"/>
    </xf>
    <xf numFmtId="2" fontId="86" fillId="2" borderId="0" xfId="1" applyNumberFormat="1" applyFont="1" applyFill="1" applyAlignment="1">
      <alignment horizontal="center" vertical="center" wrapText="1"/>
    </xf>
    <xf numFmtId="2" fontId="85" fillId="2" borderId="0" xfId="1" applyNumberFormat="1" applyFont="1" applyFill="1" applyAlignment="1">
      <alignment horizontal="center" vertical="center" wrapText="1"/>
    </xf>
    <xf numFmtId="2" fontId="85" fillId="2" borderId="0" xfId="1" applyNumberFormat="1" applyFont="1" applyFill="1" applyBorder="1" applyAlignment="1">
      <alignment horizontal="center" vertical="center" wrapText="1"/>
    </xf>
    <xf numFmtId="1" fontId="85" fillId="2" borderId="0" xfId="1" applyNumberFormat="1" applyFont="1" applyFill="1" applyAlignment="1">
      <alignment horizontal="center" vertical="center" wrapText="1"/>
    </xf>
    <xf numFmtId="0" fontId="85" fillId="0" borderId="0" xfId="1" applyFont="1" applyFill="1" applyAlignment="1">
      <alignment horizontal="center" vertical="center" wrapText="1"/>
    </xf>
    <xf numFmtId="0" fontId="85" fillId="2" borderId="0" xfId="0" applyFont="1" applyFill="1" applyBorder="1" applyAlignment="1">
      <alignment vertical="center" wrapText="1"/>
    </xf>
    <xf numFmtId="0" fontId="85" fillId="2" borderId="0" xfId="1" applyFont="1" applyFill="1" applyAlignment="1">
      <alignment horizontal="center" vertical="center"/>
    </xf>
    <xf numFmtId="2" fontId="87" fillId="2" borderId="0" xfId="1" applyNumberFormat="1" applyFont="1" applyFill="1" applyAlignment="1">
      <alignment horizontal="center" vertical="center" wrapText="1"/>
    </xf>
    <xf numFmtId="0" fontId="85" fillId="2" borderId="0" xfId="0" applyFont="1" applyFill="1" applyBorder="1" applyAlignment="1">
      <alignment horizontal="center" vertical="center" wrapText="1"/>
    </xf>
    <xf numFmtId="2" fontId="85" fillId="2" borderId="0" xfId="1" applyNumberFormat="1" applyFont="1" applyFill="1" applyAlignment="1">
      <alignment horizontal="center" vertical="center"/>
    </xf>
    <xf numFmtId="0" fontId="85" fillId="2" borderId="0" xfId="0" applyFont="1" applyFill="1" applyBorder="1" applyAlignment="1">
      <alignment horizontal="center" vertical="center" wrapText="1"/>
    </xf>
    <xf numFmtId="10" fontId="85" fillId="2" borderId="0" xfId="23" applyNumberFormat="1" applyFont="1" applyFill="1" applyAlignment="1">
      <alignment horizontal="center" vertical="center" wrapText="1"/>
    </xf>
    <xf numFmtId="2" fontId="85" fillId="2" borderId="0" xfId="1" applyNumberFormat="1" applyFont="1" applyFill="1" applyBorder="1" applyAlignment="1">
      <alignment horizontal="right" vertical="center" wrapText="1"/>
    </xf>
    <xf numFmtId="2" fontId="79" fillId="2" borderId="0" xfId="23" applyNumberFormat="1" applyFont="1" applyFill="1" applyBorder="1" applyAlignment="1">
      <alignment horizontal="center" vertical="center" wrapText="1"/>
    </xf>
    <xf numFmtId="0" fontId="22" fillId="2" borderId="0" xfId="0" applyFont="1" applyFill="1" applyBorder="1" applyAlignment="1">
      <alignment horizontal="center" vertical="center" wrapText="1"/>
    </xf>
    <xf numFmtId="0" fontId="6" fillId="2" borderId="0" xfId="1" applyFont="1" applyFill="1" applyAlignment="1">
      <alignment horizontal="right" vertical="center"/>
    </xf>
    <xf numFmtId="2" fontId="9" fillId="2" borderId="0" xfId="1" applyNumberFormat="1" applyFont="1" applyFill="1" applyAlignment="1">
      <alignment horizontal="left" vertical="center" wrapText="1"/>
    </xf>
    <xf numFmtId="2" fontId="87" fillId="2" borderId="0" xfId="1" applyNumberFormat="1" applyFont="1" applyFill="1" applyAlignment="1">
      <alignment horizontal="left" vertical="center" wrapText="1"/>
    </xf>
    <xf numFmtId="0" fontId="89" fillId="2" borderId="0" xfId="1" applyFont="1" applyFill="1" applyAlignment="1">
      <alignment horizontal="center" vertical="center" wrapText="1"/>
    </xf>
    <xf numFmtId="0" fontId="89" fillId="0" borderId="0" xfId="1" applyFont="1" applyFill="1" applyAlignment="1">
      <alignment horizontal="center" vertical="center" wrapText="1"/>
    </xf>
    <xf numFmtId="0" fontId="89" fillId="2" borderId="0" xfId="0" applyFont="1" applyFill="1" applyBorder="1" applyAlignment="1">
      <alignment horizontal="center" vertical="center" wrapText="1"/>
    </xf>
    <xf numFmtId="0" fontId="89" fillId="2" borderId="0" xfId="1" applyFont="1" applyFill="1" applyAlignment="1">
      <alignment horizontal="center" vertical="center"/>
    </xf>
    <xf numFmtId="2" fontId="90" fillId="2" borderId="0" xfId="1" applyNumberFormat="1" applyFont="1" applyFill="1" applyAlignment="1">
      <alignment horizontal="center" vertical="center" wrapText="1"/>
    </xf>
    <xf numFmtId="2" fontId="89" fillId="2" borderId="0" xfId="1" applyNumberFormat="1" applyFont="1" applyFill="1" applyAlignment="1">
      <alignment horizontal="center" vertical="center"/>
    </xf>
    <xf numFmtId="0" fontId="89" fillId="2" borderId="0" xfId="0" applyFont="1" applyFill="1" applyBorder="1" applyAlignment="1">
      <alignment vertical="center" wrapText="1"/>
    </xf>
    <xf numFmtId="2" fontId="32" fillId="2" borderId="0" xfId="1" applyNumberFormat="1" applyFont="1" applyFill="1" applyAlignment="1">
      <alignment horizontal="center" vertical="center" wrapText="1"/>
    </xf>
    <xf numFmtId="2" fontId="32" fillId="2" borderId="0" xfId="1" applyNumberFormat="1" applyFont="1" applyFill="1" applyAlignment="1">
      <alignment horizontal="right" vertical="center" wrapText="1"/>
    </xf>
    <xf numFmtId="0" fontId="28" fillId="2" borderId="0" xfId="1" applyFont="1" applyFill="1" applyAlignment="1">
      <alignment horizontal="center" vertical="center"/>
    </xf>
    <xf numFmtId="0" fontId="28" fillId="2" borderId="0" xfId="1" applyFont="1" applyFill="1" applyAlignment="1">
      <alignment horizontal="right" vertical="center"/>
    </xf>
    <xf numFmtId="2" fontId="32" fillId="2" borderId="0" xfId="1" applyNumberFormat="1" applyFont="1" applyFill="1" applyBorder="1" applyAlignment="1">
      <alignment horizontal="center" vertical="center"/>
    </xf>
    <xf numFmtId="2" fontId="32" fillId="2" borderId="0" xfId="1" applyNumberFormat="1" applyFont="1" applyFill="1" applyBorder="1" applyAlignment="1">
      <alignment horizontal="right" vertical="center"/>
    </xf>
    <xf numFmtId="0" fontId="28" fillId="2" borderId="0" xfId="1" applyFont="1" applyFill="1" applyAlignment="1">
      <alignment horizontal="center" vertical="center" wrapText="1"/>
    </xf>
    <xf numFmtId="0" fontId="28" fillId="2" borderId="0" xfId="1" applyFont="1" applyFill="1" applyAlignment="1">
      <alignment horizontal="right" vertical="center" wrapText="1"/>
    </xf>
    <xf numFmtId="0" fontId="88" fillId="2" borderId="0" xfId="1" applyFont="1" applyFill="1" applyAlignment="1">
      <alignment horizontal="center" vertical="center" wrapText="1"/>
    </xf>
    <xf numFmtId="0" fontId="85" fillId="2" borderId="0" xfId="0" applyFont="1" applyFill="1" applyBorder="1" applyAlignment="1">
      <alignment horizontal="center" vertical="center" wrapText="1"/>
    </xf>
    <xf numFmtId="166" fontId="0" fillId="5" borderId="1" xfId="0" applyNumberFormat="1" applyFont="1" applyFill="1" applyBorder="1" applyAlignment="1">
      <alignment horizontal="center" vertical="center" wrapText="1"/>
    </xf>
    <xf numFmtId="0" fontId="39" fillId="5" borderId="1" xfId="0" applyNumberFormat="1" applyFont="1" applyFill="1" applyBorder="1" applyAlignment="1">
      <alignment horizontal="center" vertical="center" wrapText="1"/>
    </xf>
    <xf numFmtId="2" fontId="88" fillId="2" borderId="0" xfId="1" applyNumberFormat="1" applyFont="1" applyFill="1" applyAlignment="1">
      <alignment horizontal="center" vertical="center" wrapText="1"/>
    </xf>
    <xf numFmtId="2" fontId="92" fillId="2" borderId="0" xfId="1" applyNumberFormat="1" applyFont="1" applyFill="1" applyAlignment="1">
      <alignment horizontal="center" vertical="center" wrapText="1"/>
    </xf>
    <xf numFmtId="0" fontId="89" fillId="2" borderId="0" xfId="0" applyFont="1" applyFill="1" applyBorder="1" applyAlignment="1">
      <alignment horizontal="center" vertical="center" wrapText="1"/>
    </xf>
    <xf numFmtId="0" fontId="85" fillId="2" borderId="0" xfId="0" applyFont="1" applyFill="1" applyBorder="1" applyAlignment="1">
      <alignment horizontal="center" vertical="center" wrapText="1"/>
    </xf>
    <xf numFmtId="2" fontId="85" fillId="2" borderId="0" xfId="1" applyNumberFormat="1" applyFont="1" applyFill="1" applyAlignment="1">
      <alignment horizontal="center" vertical="center" wrapText="1"/>
    </xf>
    <xf numFmtId="2" fontId="85" fillId="2" borderId="0" xfId="1" applyNumberFormat="1" applyFont="1" applyFill="1" applyAlignment="1">
      <alignment horizontal="left" vertical="center" wrapText="1"/>
    </xf>
    <xf numFmtId="2" fontId="89" fillId="2" borderId="0" xfId="1" applyNumberFormat="1" applyFont="1" applyFill="1" applyAlignment="1">
      <alignment vertical="center" wrapText="1"/>
    </xf>
    <xf numFmtId="2" fontId="89" fillId="2" borderId="0" xfId="1" applyNumberFormat="1" applyFont="1" applyFill="1" applyAlignment="1">
      <alignment horizontal="center" vertical="center" wrapText="1"/>
    </xf>
    <xf numFmtId="0" fontId="85" fillId="2" borderId="0" xfId="0" applyFont="1" applyFill="1" applyBorder="1" applyAlignment="1">
      <alignment horizontal="center" vertical="center" wrapText="1"/>
    </xf>
    <xf numFmtId="2" fontId="6" fillId="2" borderId="0" xfId="1" applyNumberFormat="1" applyFont="1" applyFill="1" applyBorder="1" applyAlignment="1">
      <alignment horizontal="center" vertical="center" wrapText="1"/>
    </xf>
    <xf numFmtId="2" fontId="6" fillId="2" borderId="0" xfId="1" applyNumberFormat="1" applyFont="1" applyFill="1" applyBorder="1" applyAlignment="1">
      <alignment horizontal="center" vertical="center" wrapText="1"/>
    </xf>
    <xf numFmtId="0" fontId="55" fillId="0" borderId="1" xfId="0" applyFont="1" applyBorder="1" applyAlignment="1">
      <alignment horizontal="center" vertical="center" wrapText="1"/>
    </xf>
    <xf numFmtId="2" fontId="55" fillId="0" borderId="1" xfId="0" applyNumberFormat="1" applyFont="1" applyBorder="1" applyAlignment="1">
      <alignment vertical="center" wrapText="1"/>
    </xf>
    <xf numFmtId="10" fontId="37" fillId="0" borderId="1" xfId="23" applyNumberFormat="1" applyFont="1" applyBorder="1" applyAlignment="1">
      <alignment horizontal="right" vertical="center" wrapText="1"/>
    </xf>
    <xf numFmtId="2" fontId="93" fillId="2" borderId="0" xfId="1" applyNumberFormat="1" applyFont="1" applyFill="1" applyAlignment="1">
      <alignment horizontal="center" vertical="center" wrapText="1"/>
    </xf>
    <xf numFmtId="0" fontId="88" fillId="2" borderId="0" xfId="1" applyFont="1" applyFill="1" applyAlignment="1">
      <alignment horizontal="center" vertical="center"/>
    </xf>
    <xf numFmtId="2" fontId="93" fillId="2" borderId="0" xfId="1" applyNumberFormat="1" applyFont="1" applyFill="1" applyBorder="1" applyAlignment="1">
      <alignment horizontal="center" vertical="center"/>
    </xf>
    <xf numFmtId="0" fontId="85" fillId="2" borderId="0" xfId="0" applyFont="1" applyFill="1" applyBorder="1" applyAlignment="1">
      <alignment horizontal="center" vertical="top" wrapText="1"/>
    </xf>
    <xf numFmtId="2" fontId="67" fillId="0" borderId="50" xfId="0" applyNumberFormat="1" applyFont="1" applyBorder="1" applyAlignment="1">
      <alignment horizontal="right" vertical="center" wrapText="1"/>
    </xf>
    <xf numFmtId="2" fontId="69" fillId="0" borderId="50" xfId="0" applyNumberFormat="1" applyFont="1" applyBorder="1" applyAlignment="1">
      <alignment horizontal="right" vertical="center" wrapText="1"/>
    </xf>
    <xf numFmtId="2" fontId="0" fillId="0" borderId="0" xfId="0" applyNumberFormat="1" applyAlignment="1">
      <alignment vertical="center"/>
    </xf>
    <xf numFmtId="1" fontId="0" fillId="0" borderId="1" xfId="0" applyNumberFormat="1" applyFont="1" applyFill="1" applyBorder="1" applyAlignment="1">
      <alignment horizontal="center" vertical="center" wrapText="1"/>
    </xf>
    <xf numFmtId="1" fontId="0" fillId="5" borderId="1" xfId="0" quotePrefix="1" applyNumberFormat="1" applyFont="1" applyFill="1" applyBorder="1" applyAlignment="1">
      <alignment horizontal="center" vertical="center" wrapText="1"/>
    </xf>
    <xf numFmtId="1" fontId="0" fillId="0" borderId="1" xfId="1" applyNumberFormat="1" applyFont="1" applyFill="1" applyBorder="1" applyAlignment="1">
      <alignment horizontal="center" vertical="center" wrapText="1"/>
    </xf>
    <xf numFmtId="2" fontId="85" fillId="2" borderId="0" xfId="1" applyNumberFormat="1" applyFont="1" applyFill="1" applyAlignment="1">
      <alignment horizontal="center" wrapText="1"/>
    </xf>
    <xf numFmtId="2" fontId="85" fillId="2" borderId="0" xfId="1" applyNumberFormat="1" applyFont="1" applyFill="1" applyAlignment="1">
      <alignment horizontal="center" vertical="center" wrapText="1"/>
    </xf>
    <xf numFmtId="0" fontId="22" fillId="0" borderId="54" xfId="0" applyFont="1" applyBorder="1" applyAlignment="1">
      <alignment horizontal="center" vertical="center" wrapText="1"/>
    </xf>
    <xf numFmtId="2" fontId="85" fillId="2" borderId="0" xfId="1" applyNumberFormat="1" applyFont="1" applyFill="1" applyAlignment="1">
      <alignment horizontal="center" vertical="center" wrapText="1"/>
    </xf>
    <xf numFmtId="0" fontId="36" fillId="0" borderId="0" xfId="0" applyFont="1" applyAlignment="1">
      <alignment horizontal="center" vertical="center" wrapText="1"/>
    </xf>
    <xf numFmtId="0" fontId="37" fillId="0" borderId="1" xfId="0" applyFont="1" applyBorder="1" applyAlignment="1">
      <alignment horizontal="center" vertical="center" wrapText="1"/>
    </xf>
    <xf numFmtId="0" fontId="94" fillId="14" borderId="1" xfId="0" applyFont="1" applyFill="1" applyBorder="1" applyAlignment="1">
      <alignment horizontal="center" vertical="center" wrapText="1"/>
    </xf>
    <xf numFmtId="0" fontId="3" fillId="0" borderId="1" xfId="0" applyNumberFormat="1" applyFont="1" applyBorder="1" applyAlignment="1">
      <alignment horizontal="left" vertical="center" wrapText="1"/>
    </xf>
    <xf numFmtId="0" fontId="3" fillId="0" borderId="1" xfId="0" applyNumberFormat="1" applyFont="1" applyBorder="1" applyAlignment="1">
      <alignment horizontal="center" vertical="center" wrapText="1"/>
    </xf>
    <xf numFmtId="2" fontId="0" fillId="0" borderId="1" xfId="0" applyNumberFormat="1" applyFont="1" applyBorder="1"/>
    <xf numFmtId="2" fontId="0" fillId="0" borderId="1" xfId="0" applyNumberFormat="1" applyFont="1"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94" fillId="14"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NumberFormat="1" applyFont="1" applyBorder="1" applyAlignment="1">
      <alignment horizontal="left" vertical="center" wrapText="1"/>
    </xf>
    <xf numFmtId="0" fontId="8" fillId="0" borderId="1" xfId="0" applyNumberFormat="1"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NumberFormat="1" applyFont="1" applyFill="1" applyBorder="1" applyAlignment="1">
      <alignment horizontal="left" vertical="center" wrapText="1"/>
    </xf>
    <xf numFmtId="0" fontId="8" fillId="2" borderId="1" xfId="0" applyNumberFormat="1" applyFont="1" applyFill="1" applyBorder="1" applyAlignment="1">
      <alignment horizontal="center" vertical="center" wrapText="1"/>
    </xf>
    <xf numFmtId="0" fontId="8" fillId="15" borderId="1" xfId="0" applyNumberFormat="1" applyFont="1" applyFill="1" applyBorder="1" applyAlignment="1">
      <alignment horizontal="left" vertical="center" wrapText="1"/>
    </xf>
    <xf numFmtId="0" fontId="8" fillId="0" borderId="1" xfId="0" applyFont="1" applyFill="1" applyBorder="1" applyAlignment="1">
      <alignment horizontal="left" vertical="center" shrinkToFit="1"/>
    </xf>
    <xf numFmtId="0" fontId="21" fillId="0" borderId="1" xfId="0" applyFont="1" applyFill="1" applyBorder="1" applyAlignment="1">
      <alignment horizontal="center" vertical="center" wrapText="1"/>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15" borderId="1" xfId="0" applyFont="1" applyFill="1" applyBorder="1" applyAlignment="1">
      <alignment vertical="center" wrapText="1"/>
    </xf>
    <xf numFmtId="0" fontId="7" fillId="2" borderId="3" xfId="1" applyFont="1" applyFill="1" applyBorder="1" applyAlignment="1">
      <alignment horizontal="center" vertical="center" wrapText="1"/>
    </xf>
    <xf numFmtId="2" fontId="7" fillId="2" borderId="10" xfId="1" applyNumberFormat="1" applyFont="1" applyFill="1" applyBorder="1" applyAlignment="1">
      <alignment horizontal="center" vertical="center" wrapText="1"/>
    </xf>
    <xf numFmtId="2" fontId="7" fillId="2" borderId="1" xfId="1" applyNumberFormat="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7" fillId="2" borderId="0" xfId="4" applyFont="1" applyFill="1" applyBorder="1" applyAlignment="1">
      <alignment horizontal="center" vertical="center" wrapText="1"/>
    </xf>
    <xf numFmtId="2" fontId="36" fillId="5" borderId="1" xfId="0" applyNumberFormat="1" applyFont="1" applyFill="1" applyBorder="1" applyAlignment="1">
      <alignment horizontal="right" vertical="center" wrapText="1"/>
    </xf>
    <xf numFmtId="14" fontId="36" fillId="0" borderId="1" xfId="0" applyNumberFormat="1" applyFont="1" applyFill="1" applyBorder="1" applyAlignment="1">
      <alignment horizontal="center" vertical="center" wrapText="1"/>
    </xf>
    <xf numFmtId="14" fontId="36" fillId="0" borderId="1" xfId="0" quotePrefix="1" applyNumberFormat="1" applyFont="1" applyFill="1" applyBorder="1" applyAlignment="1">
      <alignment horizontal="center" vertical="center" wrapText="1"/>
    </xf>
    <xf numFmtId="0" fontId="0" fillId="0" borderId="1" xfId="0" applyNumberFormat="1"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0" fillId="5" borderId="1" xfId="0" applyFont="1" applyFill="1" applyBorder="1" applyAlignment="1">
      <alignment horizontal="center" vertical="center"/>
    </xf>
    <xf numFmtId="0" fontId="58" fillId="2" borderId="29" xfId="1" applyFont="1" applyFill="1" applyBorder="1" applyAlignment="1">
      <alignment horizontal="center" vertical="center" wrapText="1"/>
    </xf>
    <xf numFmtId="0" fontId="58" fillId="2" borderId="29" xfId="1" applyFont="1" applyFill="1" applyBorder="1" applyAlignment="1">
      <alignment vertical="center" wrapText="1"/>
    </xf>
    <xf numFmtId="2" fontId="58" fillId="2" borderId="29" xfId="1" applyNumberFormat="1" applyFont="1" applyFill="1" applyBorder="1" applyAlignment="1">
      <alignment vertical="center" wrapText="1"/>
    </xf>
    <xf numFmtId="0" fontId="7" fillId="2" borderId="29" xfId="1" applyFont="1" applyFill="1" applyBorder="1" applyAlignment="1">
      <alignment vertical="center" wrapText="1"/>
    </xf>
    <xf numFmtId="0" fontId="7" fillId="2" borderId="29" xfId="1" applyFont="1" applyFill="1" applyBorder="1" applyAlignment="1">
      <alignment horizontal="right" vertical="center" wrapText="1"/>
    </xf>
    <xf numFmtId="0" fontId="33" fillId="2" borderId="0" xfId="1" applyFont="1" applyFill="1" applyAlignment="1">
      <alignment horizontal="center" vertical="center" wrapText="1"/>
    </xf>
    <xf numFmtId="0" fontId="33" fillId="2" borderId="0" xfId="1" applyFont="1" applyFill="1" applyAlignment="1">
      <alignment horizontal="right" vertical="center" wrapText="1"/>
    </xf>
    <xf numFmtId="0" fontId="7" fillId="2" borderId="0" xfId="1" applyFont="1" applyFill="1" applyAlignment="1">
      <alignment horizontal="left" vertical="center" wrapText="1"/>
    </xf>
    <xf numFmtId="0" fontId="7" fillId="0" borderId="0" xfId="1" applyFont="1" applyFill="1" applyBorder="1" applyAlignment="1">
      <alignment horizontal="center" vertical="center" wrapText="1"/>
    </xf>
    <xf numFmtId="0" fontId="33" fillId="0" borderId="0" xfId="1" applyFont="1" applyFill="1" applyBorder="1" applyAlignment="1">
      <alignment horizontal="center" vertical="center" wrapText="1"/>
    </xf>
    <xf numFmtId="0" fontId="33" fillId="0" borderId="0" xfId="1" applyFont="1" applyFill="1" applyBorder="1" applyAlignment="1">
      <alignment horizontal="right" vertical="center" wrapText="1"/>
    </xf>
    <xf numFmtId="0" fontId="7" fillId="0" borderId="1" xfId="1" applyFont="1" applyFill="1" applyBorder="1" applyAlignment="1">
      <alignment horizontal="center" vertical="center" wrapText="1"/>
    </xf>
    <xf numFmtId="2" fontId="7" fillId="2" borderId="2" xfId="1" applyNumberFormat="1" applyFont="1" applyFill="1" applyBorder="1" applyAlignment="1">
      <alignment horizontal="center" vertical="center" wrapText="1"/>
    </xf>
    <xf numFmtId="1" fontId="7" fillId="2" borderId="2" xfId="1" applyNumberFormat="1" applyFont="1" applyFill="1" applyBorder="1" applyAlignment="1">
      <alignment horizontal="center" vertical="center" wrapText="1"/>
    </xf>
    <xf numFmtId="1" fontId="7" fillId="2" borderId="10" xfId="1" applyNumberFormat="1" applyFont="1" applyFill="1" applyBorder="1" applyAlignment="1">
      <alignment horizontal="center" vertical="center" wrapText="1"/>
    </xf>
    <xf numFmtId="2" fontId="7" fillId="2" borderId="3" xfId="1" applyNumberFormat="1" applyFont="1" applyFill="1" applyBorder="1" applyAlignment="1">
      <alignment horizontal="center" vertical="center" wrapText="1"/>
    </xf>
    <xf numFmtId="2" fontId="7" fillId="2" borderId="5" xfId="1" applyNumberFormat="1" applyFont="1" applyFill="1" applyBorder="1" applyAlignment="1">
      <alignment horizontal="center" vertical="center" wrapText="1"/>
    </xf>
    <xf numFmtId="0" fontId="7" fillId="2" borderId="6" xfId="1" applyFont="1" applyFill="1" applyBorder="1" applyAlignment="1">
      <alignment horizontal="center" vertical="center" wrapText="1"/>
    </xf>
    <xf numFmtId="2" fontId="33" fillId="2" borderId="0" xfId="1" applyNumberFormat="1" applyFont="1" applyFill="1" applyBorder="1" applyAlignment="1">
      <alignment horizontal="center" vertical="center" wrapText="1"/>
    </xf>
    <xf numFmtId="2" fontId="33" fillId="2" borderId="0" xfId="1" applyNumberFormat="1" applyFont="1" applyFill="1" applyBorder="1" applyAlignment="1">
      <alignment horizontal="right" vertical="center" wrapText="1"/>
    </xf>
    <xf numFmtId="0" fontId="33" fillId="5" borderId="1" xfId="1" applyFont="1" applyFill="1" applyBorder="1" applyAlignment="1">
      <alignment horizontal="center" vertical="center" wrapText="1"/>
    </xf>
    <xf numFmtId="0" fontId="7" fillId="5" borderId="1" xfId="1" applyFont="1" applyFill="1" applyBorder="1" applyAlignment="1">
      <alignment horizontal="center" vertical="center" wrapText="1"/>
    </xf>
    <xf numFmtId="2" fontId="33" fillId="2" borderId="8" xfId="1" applyNumberFormat="1" applyFont="1" applyFill="1" applyBorder="1" applyAlignment="1">
      <alignment horizontal="center" vertical="center" wrapText="1"/>
    </xf>
    <xf numFmtId="165" fontId="7" fillId="2" borderId="8" xfId="1" applyNumberFormat="1" applyFont="1" applyFill="1" applyBorder="1" applyAlignment="1">
      <alignment horizontal="center" vertical="center" wrapText="1"/>
    </xf>
    <xf numFmtId="14" fontId="7" fillId="2" borderId="8" xfId="1" applyNumberFormat="1" applyFont="1" applyFill="1" applyBorder="1" applyAlignment="1">
      <alignment horizontal="center" vertical="center" wrapText="1"/>
    </xf>
    <xf numFmtId="2" fontId="7" fillId="5" borderId="1" xfId="1" applyNumberFormat="1" applyFont="1" applyFill="1" applyBorder="1" applyAlignment="1">
      <alignment horizontal="center" vertical="top" wrapText="1"/>
    </xf>
    <xf numFmtId="2" fontId="7" fillId="5" borderId="1" xfId="1" applyNumberFormat="1" applyFont="1" applyFill="1" applyBorder="1" applyAlignment="1">
      <alignment horizontal="center" vertical="center" wrapText="1"/>
    </xf>
    <xf numFmtId="2" fontId="7" fillId="0" borderId="1" xfId="1" applyNumberFormat="1" applyFont="1" applyFill="1" applyBorder="1" applyAlignment="1">
      <alignment horizontal="center" vertical="center" wrapText="1"/>
    </xf>
    <xf numFmtId="0" fontId="95" fillId="5" borderId="0" xfId="1" applyFont="1" applyFill="1" applyAlignment="1">
      <alignment horizontal="center" vertical="center" wrapText="1"/>
    </xf>
    <xf numFmtId="0" fontId="33" fillId="0" borderId="2" xfId="2" applyFont="1" applyFill="1" applyBorder="1" applyAlignment="1">
      <alignment horizontal="center" vertical="center" wrapText="1"/>
    </xf>
    <xf numFmtId="1" fontId="7" fillId="2" borderId="1" xfId="1" applyNumberFormat="1" applyFont="1" applyFill="1" applyBorder="1" applyAlignment="1">
      <alignment horizontal="right" vertical="center" wrapText="1"/>
    </xf>
    <xf numFmtId="2" fontId="7" fillId="2" borderId="1" xfId="1" applyNumberFormat="1" applyFont="1" applyFill="1" applyBorder="1" applyAlignment="1">
      <alignment horizontal="right" vertical="center" wrapText="1"/>
    </xf>
    <xf numFmtId="2" fontId="7" fillId="2" borderId="1" xfId="3" applyNumberFormat="1" applyFont="1" applyFill="1" applyBorder="1" applyAlignment="1">
      <alignment horizontal="center" vertical="center" wrapText="1"/>
    </xf>
    <xf numFmtId="2" fontId="7" fillId="2" borderId="1" xfId="0" applyNumberFormat="1" applyFont="1" applyFill="1" applyBorder="1" applyAlignment="1">
      <alignment horizontal="center" vertical="center" wrapText="1"/>
    </xf>
    <xf numFmtId="2" fontId="7" fillId="2" borderId="1" xfId="0" applyNumberFormat="1" applyFont="1" applyFill="1" applyBorder="1" applyAlignment="1">
      <alignment horizontal="right" vertical="center" wrapText="1"/>
    </xf>
    <xf numFmtId="165" fontId="7" fillId="2" borderId="1" xfId="0" applyNumberFormat="1" applyFont="1" applyFill="1" applyBorder="1" applyAlignment="1">
      <alignment horizontal="left" vertical="center" wrapText="1"/>
    </xf>
    <xf numFmtId="10" fontId="7" fillId="2" borderId="1" xfId="1" applyNumberFormat="1" applyFont="1" applyFill="1" applyBorder="1" applyAlignment="1">
      <alignment horizontal="right" vertical="center" wrapText="1"/>
    </xf>
    <xf numFmtId="10" fontId="7" fillId="2" borderId="0" xfId="1" applyNumberFormat="1" applyFont="1" applyFill="1" applyBorder="1" applyAlignment="1">
      <alignment horizontal="right" vertical="center" wrapText="1"/>
    </xf>
    <xf numFmtId="14" fontId="7" fillId="2" borderId="0" xfId="1" applyNumberFormat="1" applyFont="1" applyFill="1" applyAlignment="1">
      <alignment horizontal="center" vertical="center" wrapText="1"/>
    </xf>
    <xf numFmtId="10" fontId="33" fillId="2" borderId="0" xfId="1" applyNumberFormat="1" applyFont="1" applyFill="1" applyBorder="1" applyAlignment="1">
      <alignment horizontal="right" vertical="center" wrapText="1"/>
    </xf>
    <xf numFmtId="0" fontId="8" fillId="2" borderId="1" xfId="1" applyFont="1" applyFill="1" applyBorder="1" applyAlignment="1">
      <alignment horizontal="left" vertical="center" wrapText="1"/>
    </xf>
    <xf numFmtId="1" fontId="7" fillId="0" borderId="1" xfId="1" applyNumberFormat="1" applyFont="1" applyFill="1" applyBorder="1" applyAlignment="1">
      <alignment horizontal="right" vertical="center" wrapText="1"/>
    </xf>
    <xf numFmtId="2" fontId="7" fillId="0" borderId="1" xfId="1" applyNumberFormat="1" applyFont="1" applyFill="1" applyBorder="1" applyAlignment="1">
      <alignment horizontal="right" vertical="center" wrapText="1"/>
    </xf>
    <xf numFmtId="10" fontId="7" fillId="2" borderId="0" xfId="1" applyNumberFormat="1" applyFont="1" applyFill="1" applyBorder="1" applyAlignment="1">
      <alignment horizontal="center" vertical="center" wrapText="1"/>
    </xf>
    <xf numFmtId="1" fontId="7" fillId="3" borderId="1" xfId="1" applyNumberFormat="1" applyFont="1" applyFill="1" applyBorder="1" applyAlignment="1">
      <alignment horizontal="right" vertical="center" wrapText="1"/>
    </xf>
    <xf numFmtId="10" fontId="33" fillId="2" borderId="0" xfId="1" applyNumberFormat="1" applyFont="1" applyFill="1" applyBorder="1" applyAlignment="1">
      <alignment horizontal="center" vertical="center" wrapText="1"/>
    </xf>
    <xf numFmtId="10" fontId="33" fillId="2" borderId="0" xfId="1" applyNumberFormat="1" applyFont="1" applyFill="1" applyBorder="1" applyAlignment="1">
      <alignment horizontal="left" vertical="center" wrapText="1"/>
    </xf>
    <xf numFmtId="0" fontId="8" fillId="0" borderId="0" xfId="1" applyFont="1" applyFill="1" applyBorder="1" applyAlignment="1">
      <alignment horizontal="center" vertical="center" wrapText="1"/>
    </xf>
    <xf numFmtId="1" fontId="7" fillId="2" borderId="0" xfId="1" applyNumberFormat="1" applyFont="1" applyFill="1" applyBorder="1" applyAlignment="1">
      <alignment horizontal="center" vertical="center" wrapText="1"/>
    </xf>
    <xf numFmtId="0" fontId="66" fillId="0" borderId="4" xfId="0" applyFont="1" applyBorder="1" applyAlignment="1">
      <alignment horizontal="right" vertical="center" wrapText="1"/>
    </xf>
    <xf numFmtId="0" fontId="66" fillId="0" borderId="5" xfId="0" applyFont="1" applyBorder="1" applyAlignment="1">
      <alignment horizontal="right" vertical="center" wrapText="1"/>
    </xf>
    <xf numFmtId="0" fontId="66" fillId="0" borderId="5" xfId="0" applyFont="1" applyBorder="1" applyAlignment="1">
      <alignment horizontal="center" vertical="center" wrapText="1"/>
    </xf>
    <xf numFmtId="2" fontId="66" fillId="0" borderId="5" xfId="0" applyNumberFormat="1" applyFont="1" applyBorder="1" applyAlignment="1">
      <alignment horizontal="right" vertical="center" wrapText="1"/>
    </xf>
    <xf numFmtId="2" fontId="96" fillId="0" borderId="5" xfId="0" applyNumberFormat="1" applyFont="1" applyBorder="1" applyAlignment="1">
      <alignment horizontal="right" vertical="center" wrapText="1"/>
    </xf>
    <xf numFmtId="0" fontId="66" fillId="0" borderId="27" xfId="0" applyFont="1" applyBorder="1" applyAlignment="1">
      <alignment horizontal="right" vertical="center" wrapText="1"/>
    </xf>
    <xf numFmtId="2" fontId="7" fillId="2" borderId="1" xfId="1" applyNumberFormat="1" applyFont="1" applyFill="1" applyBorder="1" applyAlignment="1">
      <alignment horizontal="right" vertical="center" wrapText="1"/>
    </xf>
    <xf numFmtId="0" fontId="7" fillId="2" borderId="0" xfId="1" applyFont="1" applyFill="1" applyBorder="1" applyAlignment="1">
      <alignment horizontal="center" vertical="center" wrapText="1"/>
    </xf>
    <xf numFmtId="2" fontId="7" fillId="2" borderId="0" xfId="4" applyNumberFormat="1" applyFont="1" applyFill="1" applyBorder="1" applyAlignment="1">
      <alignment horizontal="right" vertical="center" wrapText="1"/>
    </xf>
    <xf numFmtId="2" fontId="7" fillId="2" borderId="27" xfId="4" applyNumberFormat="1" applyFont="1" applyFill="1" applyBorder="1" applyAlignment="1">
      <alignment horizontal="right" vertical="center" wrapText="1"/>
    </xf>
    <xf numFmtId="169" fontId="7" fillId="2" borderId="0" xfId="1" applyNumberFormat="1" applyFont="1" applyFill="1" applyBorder="1" applyAlignment="1">
      <alignment horizontal="right" vertical="center" wrapText="1"/>
    </xf>
    <xf numFmtId="2" fontId="33" fillId="2" borderId="0" xfId="23" applyNumberFormat="1" applyFont="1" applyFill="1" applyBorder="1" applyAlignment="1">
      <alignment horizontal="right" vertical="center" wrapText="1"/>
    </xf>
    <xf numFmtId="2" fontId="7" fillId="2" borderId="0" xfId="23" applyNumberFormat="1" applyFont="1" applyFill="1" applyBorder="1" applyAlignment="1">
      <alignment horizontal="right" vertical="center" wrapText="1"/>
    </xf>
    <xf numFmtId="167" fontId="8" fillId="2" borderId="0" xfId="1" applyNumberFormat="1" applyFont="1" applyFill="1" applyBorder="1" applyAlignment="1">
      <alignment horizontal="center" vertical="center" wrapText="1"/>
    </xf>
    <xf numFmtId="167" fontId="7" fillId="2" borderId="0" xfId="1" applyNumberFormat="1" applyFont="1" applyFill="1" applyBorder="1" applyAlignment="1">
      <alignment horizontal="right" vertical="center" wrapText="1"/>
    </xf>
    <xf numFmtId="167" fontId="33" fillId="2" borderId="0" xfId="1" applyNumberFormat="1" applyFont="1" applyFill="1" applyBorder="1" applyAlignment="1">
      <alignment horizontal="right" vertical="center" wrapText="1"/>
    </xf>
    <xf numFmtId="167" fontId="33" fillId="2" borderId="0" xfId="1" applyNumberFormat="1" applyFont="1" applyFill="1" applyBorder="1" applyAlignment="1">
      <alignment horizontal="center" vertical="center" wrapText="1"/>
    </xf>
    <xf numFmtId="0" fontId="66" fillId="0" borderId="0" xfId="0" applyFont="1" applyBorder="1" applyAlignment="1">
      <alignment horizontal="right" vertical="center" wrapText="1"/>
    </xf>
    <xf numFmtId="2" fontId="33" fillId="2" borderId="0" xfId="4" applyNumberFormat="1" applyFont="1" applyFill="1" applyBorder="1" applyAlignment="1">
      <alignment horizontal="right" vertical="center" wrapText="1"/>
    </xf>
    <xf numFmtId="2" fontId="33" fillId="2" borderId="0" xfId="4" applyNumberFormat="1" applyFont="1" applyFill="1" applyBorder="1" applyAlignment="1">
      <alignment horizontal="center" vertical="center" wrapText="1"/>
    </xf>
    <xf numFmtId="2" fontId="7" fillId="2" borderId="9" xfId="1" applyNumberFormat="1" applyFont="1" applyFill="1" applyBorder="1" applyAlignment="1">
      <alignment horizontal="right" vertical="center" wrapText="1"/>
    </xf>
    <xf numFmtId="169" fontId="7" fillId="2" borderId="1" xfId="1" applyNumberFormat="1" applyFont="1" applyFill="1" applyBorder="1" applyAlignment="1">
      <alignment horizontal="right" vertical="center" wrapText="1"/>
    </xf>
    <xf numFmtId="0" fontId="21" fillId="0" borderId="1" xfId="0" applyNumberFormat="1" applyFont="1" applyFill="1" applyBorder="1" applyAlignment="1">
      <alignment horizontal="center" vertical="center"/>
    </xf>
    <xf numFmtId="0" fontId="72" fillId="0" borderId="1" xfId="0" applyNumberFormat="1" applyFont="1" applyFill="1" applyBorder="1" applyAlignment="1">
      <alignment horizontal="left" vertical="center" wrapText="1"/>
    </xf>
    <xf numFmtId="0" fontId="72" fillId="0" borderId="1" xfId="0" applyNumberFormat="1" applyFont="1" applyFill="1" applyBorder="1" applyAlignment="1">
      <alignment horizontal="left" vertical="center"/>
    </xf>
    <xf numFmtId="0" fontId="40" fillId="0" borderId="1" xfId="0" applyNumberFormat="1" applyFont="1" applyFill="1" applyBorder="1" applyAlignment="1">
      <alignment horizontal="center" vertical="center"/>
    </xf>
    <xf numFmtId="2" fontId="40" fillId="0" borderId="1" xfId="0" applyNumberFormat="1" applyFont="1" applyBorder="1" applyAlignment="1">
      <alignment horizontal="center" vertical="center"/>
    </xf>
    <xf numFmtId="0" fontId="40" fillId="0" borderId="1" xfId="0" applyFont="1" applyBorder="1" applyAlignment="1">
      <alignment horizontal="center" vertical="center"/>
    </xf>
    <xf numFmtId="14" fontId="44" fillId="0" borderId="1" xfId="0" applyNumberFormat="1" applyFont="1" applyFill="1" applyBorder="1" applyAlignment="1">
      <alignment horizontal="center" vertical="center" wrapText="1"/>
    </xf>
    <xf numFmtId="14" fontId="36" fillId="0" borderId="1" xfId="0" applyNumberFormat="1" applyFont="1" applyBorder="1" applyAlignment="1">
      <alignment horizontal="center" vertical="center" wrapText="1"/>
    </xf>
    <xf numFmtId="14" fontId="58" fillId="2" borderId="29" xfId="1" applyNumberFormat="1" applyFont="1" applyFill="1" applyBorder="1" applyAlignment="1">
      <alignment vertical="center" wrapText="1"/>
    </xf>
    <xf numFmtId="14" fontId="7" fillId="2" borderId="3" xfId="1" applyNumberFormat="1"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14" fontId="1" fillId="2" borderId="0" xfId="0" applyNumberFormat="1" applyFont="1" applyFill="1" applyBorder="1" applyAlignment="1">
      <alignment horizontal="center" vertical="center" wrapText="1"/>
    </xf>
    <xf numFmtId="14" fontId="66" fillId="2" borderId="0" xfId="0" applyNumberFormat="1" applyFont="1" applyFill="1" applyBorder="1" applyAlignment="1">
      <alignment horizontal="center" vertical="center" wrapText="1"/>
    </xf>
    <xf numFmtId="14" fontId="6" fillId="2" borderId="0" xfId="1" applyNumberFormat="1" applyFont="1" applyFill="1" applyBorder="1" applyAlignment="1">
      <alignment horizontal="center" vertical="center" wrapText="1"/>
    </xf>
    <xf numFmtId="14" fontId="22" fillId="2" borderId="0" xfId="0" applyNumberFormat="1" applyFont="1" applyFill="1" applyBorder="1" applyAlignment="1">
      <alignment horizontal="center" vertical="center" wrapText="1"/>
    </xf>
    <xf numFmtId="14" fontId="74" fillId="2" borderId="0" xfId="1" applyNumberFormat="1" applyFont="1" applyFill="1" applyBorder="1" applyAlignment="1">
      <alignment horizontal="center" vertical="center" wrapText="1"/>
    </xf>
    <xf numFmtId="14" fontId="6" fillId="2" borderId="0" xfId="5" applyNumberFormat="1" applyFont="1" applyFill="1" applyAlignment="1">
      <alignment horizontal="center" vertical="center" wrapText="1"/>
    </xf>
    <xf numFmtId="14" fontId="6" fillId="2" borderId="0" xfId="1" applyNumberFormat="1" applyFont="1" applyFill="1" applyAlignment="1">
      <alignment horizontal="center" vertical="center" wrapText="1"/>
    </xf>
    <xf numFmtId="14" fontId="87" fillId="2" borderId="0" xfId="1" applyNumberFormat="1" applyFont="1" applyFill="1" applyAlignment="1">
      <alignment horizontal="center" vertical="center" wrapText="1"/>
    </xf>
    <xf numFmtId="14" fontId="90" fillId="2" borderId="0" xfId="1" applyNumberFormat="1" applyFont="1" applyFill="1" applyAlignment="1">
      <alignment horizontal="center" vertical="center" wrapText="1"/>
    </xf>
    <xf numFmtId="14" fontId="75" fillId="2" borderId="0" xfId="1" applyNumberFormat="1" applyFont="1" applyFill="1" applyAlignment="1">
      <alignment horizontal="center" vertical="center" wrapText="1"/>
    </xf>
    <xf numFmtId="14" fontId="9" fillId="2" borderId="0" xfId="1" applyNumberFormat="1" applyFont="1" applyFill="1" applyAlignment="1">
      <alignment horizontal="center" vertical="center" wrapText="1"/>
    </xf>
    <xf numFmtId="14" fontId="9" fillId="2" borderId="0" xfId="5" applyNumberFormat="1" applyFont="1" applyFill="1" applyAlignment="1">
      <alignment horizontal="center" vertical="center" wrapText="1"/>
    </xf>
    <xf numFmtId="14" fontId="85" fillId="2" borderId="0" xfId="0" applyNumberFormat="1" applyFont="1" applyFill="1" applyBorder="1" applyAlignment="1">
      <alignment horizontal="center" vertical="center" wrapText="1"/>
    </xf>
    <xf numFmtId="14" fontId="89" fillId="2" borderId="0" xfId="1" applyNumberFormat="1" applyFont="1" applyFill="1" applyAlignment="1">
      <alignment horizontal="center" vertical="center" wrapText="1"/>
    </xf>
    <xf numFmtId="14" fontId="6" fillId="2" borderId="0" xfId="1" applyNumberFormat="1" applyFont="1" applyFill="1" applyBorder="1" applyAlignment="1">
      <alignment horizontal="center" vertical="center"/>
    </xf>
    <xf numFmtId="0" fontId="55" fillId="0" borderId="1" xfId="0" applyFont="1" applyBorder="1" applyAlignment="1">
      <alignment horizontal="center" vertical="center" wrapText="1"/>
    </xf>
    <xf numFmtId="0" fontId="7" fillId="2" borderId="6" xfId="4" applyFont="1" applyFill="1" applyBorder="1" applyAlignment="1">
      <alignment horizontal="center" vertical="center" wrapText="1"/>
    </xf>
    <xf numFmtId="0" fontId="7" fillId="2" borderId="27" xfId="4" applyFont="1" applyFill="1" applyBorder="1" applyAlignment="1">
      <alignment horizontal="center" vertical="center" wrapText="1"/>
    </xf>
    <xf numFmtId="0" fontId="7" fillId="2" borderId="30" xfId="4" applyFont="1" applyFill="1" applyBorder="1" applyAlignment="1">
      <alignment horizontal="center" vertical="center" wrapText="1"/>
    </xf>
    <xf numFmtId="2" fontId="7" fillId="2" borderId="1" xfId="1" applyNumberFormat="1" applyFont="1" applyFill="1" applyBorder="1" applyAlignment="1">
      <alignment horizontal="right" vertical="center" wrapText="1"/>
    </xf>
    <xf numFmtId="0" fontId="6" fillId="0" borderId="50" xfId="0" quotePrefix="1" applyFont="1" applyBorder="1" applyAlignment="1">
      <alignment horizontal="center" vertical="center" wrapText="1"/>
    </xf>
    <xf numFmtId="0" fontId="22" fillId="0" borderId="54" xfId="0" applyFont="1" applyFill="1" applyBorder="1" applyAlignment="1">
      <alignment horizontal="center" vertical="center" wrapText="1"/>
    </xf>
    <xf numFmtId="14" fontId="22" fillId="0" borderId="50" xfId="0" applyNumberFormat="1" applyFont="1" applyFill="1" applyBorder="1" applyAlignment="1">
      <alignment horizontal="center" vertical="center" wrapText="1"/>
    </xf>
    <xf numFmtId="0" fontId="6" fillId="0" borderId="50" xfId="0" applyFont="1" applyFill="1" applyBorder="1" applyAlignment="1">
      <alignment horizontal="center" vertical="center" wrapText="1"/>
    </xf>
    <xf numFmtId="0" fontId="0" fillId="0" borderId="0" xfId="0" applyFill="1"/>
    <xf numFmtId="0" fontId="12" fillId="0" borderId="0" xfId="0" applyFont="1" applyFill="1" applyAlignment="1">
      <alignment horizontal="center" wrapText="1"/>
    </xf>
    <xf numFmtId="0" fontId="22" fillId="5" borderId="54" xfId="0" applyFont="1" applyFill="1" applyBorder="1" applyAlignment="1">
      <alignment horizontal="center" vertical="center" wrapText="1"/>
    </xf>
    <xf numFmtId="0" fontId="22" fillId="5" borderId="54" xfId="0" applyFont="1" applyFill="1" applyBorder="1" applyAlignment="1">
      <alignment vertical="center" wrapText="1"/>
    </xf>
    <xf numFmtId="0" fontId="22" fillId="5" borderId="50" xfId="0" applyFont="1" applyFill="1" applyBorder="1" applyAlignment="1">
      <alignment horizontal="center" vertical="center" wrapText="1"/>
    </xf>
    <xf numFmtId="0" fontId="22" fillId="5" borderId="50" xfId="0" applyFont="1" applyFill="1" applyBorder="1" applyAlignment="1">
      <alignment vertical="center" wrapText="1"/>
    </xf>
    <xf numFmtId="0" fontId="6" fillId="5" borderId="50" xfId="0" applyFont="1" applyFill="1" applyBorder="1" applyAlignment="1">
      <alignment horizontal="center" vertical="center" wrapText="1"/>
    </xf>
    <xf numFmtId="0" fontId="6" fillId="5" borderId="50" xfId="0" applyFont="1" applyFill="1" applyBorder="1" applyAlignment="1">
      <alignment vertical="center" wrapText="1"/>
    </xf>
    <xf numFmtId="0" fontId="0" fillId="5" borderId="0" xfId="0" applyFill="1"/>
    <xf numFmtId="0" fontId="12" fillId="5" borderId="0" xfId="0" applyFont="1" applyFill="1" applyAlignment="1">
      <alignment horizontal="center" wrapText="1"/>
    </xf>
    <xf numFmtId="0" fontId="80" fillId="5" borderId="0" xfId="0" applyFont="1" applyFill="1" applyAlignment="1">
      <alignment horizontal="center"/>
    </xf>
    <xf numFmtId="0" fontId="0" fillId="5" borderId="0" xfId="0" applyFill="1" applyAlignment="1">
      <alignment vertical="center"/>
    </xf>
    <xf numFmtId="0" fontId="12" fillId="6" borderId="12" xfId="0" applyFont="1" applyFill="1" applyBorder="1" applyAlignment="1">
      <alignment horizontal="center" vertical="center" wrapText="1"/>
    </xf>
    <xf numFmtId="0" fontId="12" fillId="6" borderId="25"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7" fillId="12" borderId="1" xfId="1" applyFont="1" applyFill="1" applyBorder="1" applyAlignment="1">
      <alignment horizontal="center" vertical="center" wrapText="1"/>
    </xf>
    <xf numFmtId="0" fontId="7" fillId="2" borderId="5" xfId="1" applyFont="1" applyFill="1" applyBorder="1" applyAlignment="1">
      <alignment horizontal="center" vertical="center" wrapText="1"/>
    </xf>
    <xf numFmtId="2" fontId="7" fillId="2" borderId="1" xfId="4" applyNumberFormat="1" applyFont="1" applyFill="1" applyBorder="1" applyAlignment="1">
      <alignment horizontal="right" vertical="center"/>
    </xf>
    <xf numFmtId="0" fontId="0" fillId="0" borderId="1" xfId="0" applyBorder="1" applyAlignment="1">
      <alignment horizontal="right" vertical="center"/>
    </xf>
    <xf numFmtId="2" fontId="7" fillId="2" borderId="1" xfId="1" applyNumberFormat="1" applyFont="1" applyFill="1" applyBorder="1" applyAlignment="1">
      <alignment horizontal="right" vertical="center"/>
    </xf>
    <xf numFmtId="2" fontId="6" fillId="2" borderId="1" xfId="1" applyNumberFormat="1" applyFont="1" applyFill="1" applyBorder="1" applyAlignment="1">
      <alignment horizontal="right" vertical="center"/>
    </xf>
    <xf numFmtId="0" fontId="22" fillId="2" borderId="0" xfId="0" applyFont="1" applyFill="1" applyBorder="1" applyAlignment="1">
      <alignment horizontal="center" vertical="center" wrapText="1"/>
    </xf>
    <xf numFmtId="0" fontId="7" fillId="2" borderId="4" xfId="4" applyFont="1" applyFill="1" applyBorder="1" applyAlignment="1">
      <alignment horizontal="center" vertical="center" wrapText="1"/>
    </xf>
    <xf numFmtId="0" fontId="7" fillId="2" borderId="5" xfId="4" applyFont="1" applyFill="1" applyBorder="1" applyAlignment="1">
      <alignment horizontal="center" vertical="center" wrapText="1"/>
    </xf>
    <xf numFmtId="0" fontId="7" fillId="2" borderId="6" xfId="4" applyFont="1" applyFill="1" applyBorder="1" applyAlignment="1">
      <alignment horizontal="center" vertical="center" wrapText="1"/>
    </xf>
    <xf numFmtId="0" fontId="7" fillId="2" borderId="26" xfId="4" applyFont="1" applyFill="1" applyBorder="1" applyAlignment="1">
      <alignment horizontal="center" vertical="center" wrapText="1"/>
    </xf>
    <xf numFmtId="0" fontId="7" fillId="2" borderId="0" xfId="4" applyFont="1" applyFill="1" applyBorder="1" applyAlignment="1">
      <alignment horizontal="center" vertical="center" wrapText="1"/>
    </xf>
    <xf numFmtId="0" fontId="7" fillId="2" borderId="27" xfId="4" applyFont="1" applyFill="1" applyBorder="1" applyAlignment="1">
      <alignment horizontal="center" vertical="center" wrapText="1"/>
    </xf>
    <xf numFmtId="0" fontId="7" fillId="2" borderId="28" xfId="4" applyFont="1" applyFill="1" applyBorder="1" applyAlignment="1">
      <alignment horizontal="center" vertical="center" wrapText="1"/>
    </xf>
    <xf numFmtId="0" fontId="7" fillId="2" borderId="29" xfId="4" applyFont="1" applyFill="1" applyBorder="1" applyAlignment="1">
      <alignment horizontal="center" vertical="center" wrapText="1"/>
    </xf>
    <xf numFmtId="0" fontId="7" fillId="2" borderId="30" xfId="4" applyFont="1" applyFill="1" applyBorder="1" applyAlignment="1">
      <alignment horizontal="center" vertical="center" wrapText="1"/>
    </xf>
    <xf numFmtId="1" fontId="5" fillId="2" borderId="0" xfId="1" applyNumberFormat="1" applyFont="1" applyFill="1" applyBorder="1" applyAlignment="1">
      <alignment horizontal="center" vertical="center"/>
    </xf>
    <xf numFmtId="1" fontId="5" fillId="2" borderId="0" xfId="1" applyNumberFormat="1" applyFont="1" applyFill="1" applyBorder="1" applyAlignment="1">
      <alignment horizontal="center" vertical="center" wrapText="1"/>
    </xf>
    <xf numFmtId="0" fontId="7" fillId="2" borderId="2"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3" xfId="1" applyFont="1" applyFill="1" applyBorder="1" applyAlignment="1">
      <alignment horizontal="center" vertical="center" wrapText="1"/>
    </xf>
    <xf numFmtId="0" fontId="7" fillId="12" borderId="2" xfId="1" applyFont="1" applyFill="1" applyBorder="1" applyAlignment="1">
      <alignment horizontal="center" vertical="center" wrapText="1"/>
    </xf>
    <xf numFmtId="0" fontId="7" fillId="12" borderId="3" xfId="1" applyFont="1" applyFill="1" applyBorder="1" applyAlignment="1">
      <alignment horizontal="center" vertical="center" wrapText="1"/>
    </xf>
    <xf numFmtId="0" fontId="7" fillId="12" borderId="10" xfId="1" applyFont="1" applyFill="1" applyBorder="1" applyAlignment="1">
      <alignment horizontal="center" vertical="center" wrapText="1"/>
    </xf>
    <xf numFmtId="2" fontId="7" fillId="2" borderId="10" xfId="1" applyNumberFormat="1" applyFont="1" applyFill="1" applyBorder="1" applyAlignment="1">
      <alignment horizontal="center" vertical="center" wrapText="1"/>
    </xf>
    <xf numFmtId="2" fontId="7" fillId="2" borderId="1" xfId="1" applyNumberFormat="1" applyFont="1" applyFill="1" applyBorder="1" applyAlignment="1">
      <alignment horizontal="center" vertical="center" wrapText="1"/>
    </xf>
    <xf numFmtId="2" fontId="7" fillId="2" borderId="4" xfId="1" applyNumberFormat="1" applyFont="1" applyFill="1" applyBorder="1" applyAlignment="1">
      <alignment horizontal="center" vertical="center"/>
    </xf>
    <xf numFmtId="2" fontId="7" fillId="2" borderId="5" xfId="1" applyNumberFormat="1" applyFont="1" applyFill="1" applyBorder="1" applyAlignment="1">
      <alignment horizontal="center" vertical="center"/>
    </xf>
    <xf numFmtId="2" fontId="7" fillId="2" borderId="6" xfId="1" applyNumberFormat="1" applyFont="1" applyFill="1" applyBorder="1" applyAlignment="1">
      <alignment horizontal="center" vertical="center"/>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2" fontId="6"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0" fontId="85" fillId="2" borderId="0" xfId="0" applyFont="1" applyFill="1" applyBorder="1" applyAlignment="1">
      <alignment horizontal="center" wrapText="1"/>
    </xf>
    <xf numFmtId="2" fontId="85" fillId="2" borderId="0" xfId="1" applyNumberFormat="1" applyFont="1" applyFill="1" applyAlignment="1">
      <alignment horizontal="center" wrapText="1"/>
    </xf>
    <xf numFmtId="0" fontId="58" fillId="2" borderId="29" xfId="1" applyFont="1" applyFill="1" applyBorder="1" applyAlignment="1">
      <alignment horizontal="right" vertical="center" wrapText="1"/>
    </xf>
    <xf numFmtId="0" fontId="58" fillId="2" borderId="29" xfId="1" applyFont="1" applyFill="1" applyBorder="1" applyAlignment="1">
      <alignment horizontal="center" vertical="center" wrapText="1"/>
    </xf>
    <xf numFmtId="2" fontId="7" fillId="2" borderId="2" xfId="1" applyNumberFormat="1" applyFont="1" applyFill="1" applyBorder="1" applyAlignment="1">
      <alignment horizontal="center" vertical="center" wrapText="1"/>
    </xf>
    <xf numFmtId="2" fontId="7" fillId="2" borderId="3" xfId="1" applyNumberFormat="1" applyFont="1" applyFill="1" applyBorder="1" applyAlignment="1">
      <alignment horizontal="center" vertical="center" wrapText="1"/>
    </xf>
    <xf numFmtId="1" fontId="7" fillId="2" borderId="2" xfId="1" applyNumberFormat="1" applyFont="1" applyFill="1" applyBorder="1" applyAlignment="1">
      <alignment horizontal="center" vertical="center" wrapText="1"/>
    </xf>
    <xf numFmtId="1" fontId="7" fillId="2" borderId="3" xfId="1" applyNumberFormat="1" applyFont="1" applyFill="1" applyBorder="1" applyAlignment="1">
      <alignment horizontal="center" vertical="center" wrapText="1"/>
    </xf>
    <xf numFmtId="1" fontId="7" fillId="2" borderId="10" xfId="1" applyNumberFormat="1" applyFont="1" applyFill="1" applyBorder="1" applyAlignment="1">
      <alignment horizontal="center" vertical="center" wrapText="1"/>
    </xf>
    <xf numFmtId="1" fontId="7" fillId="2" borderId="1" xfId="1" applyNumberFormat="1" applyFont="1" applyFill="1" applyBorder="1" applyAlignment="1">
      <alignment horizontal="center" vertical="center" wrapText="1"/>
    </xf>
    <xf numFmtId="0" fontId="97" fillId="2" borderId="0" xfId="1" applyFont="1" applyFill="1" applyBorder="1" applyAlignment="1">
      <alignment horizontal="left" vertical="center" wrapText="1"/>
    </xf>
    <xf numFmtId="0" fontId="97" fillId="2" borderId="0" xfId="1" applyFont="1" applyFill="1" applyBorder="1" applyAlignment="1">
      <alignment horizontal="center" vertical="center" wrapText="1"/>
    </xf>
    <xf numFmtId="2" fontId="74" fillId="2" borderId="0" xfId="1" applyNumberFormat="1" applyFont="1" applyFill="1" applyBorder="1" applyAlignment="1">
      <alignment horizontal="center" vertical="center" wrapText="1"/>
    </xf>
    <xf numFmtId="1" fontId="7" fillId="2" borderId="0" xfId="1" applyNumberFormat="1" applyFont="1" applyFill="1" applyBorder="1" applyAlignment="1">
      <alignment horizontal="center" vertical="center" wrapText="1"/>
    </xf>
    <xf numFmtId="2" fontId="7" fillId="2" borderId="0" xfId="1" applyNumberFormat="1" applyFont="1" applyFill="1" applyBorder="1" applyAlignment="1">
      <alignment horizontal="center" vertical="center" wrapText="1"/>
    </xf>
    <xf numFmtId="2" fontId="8" fillId="2" borderId="0" xfId="1" applyNumberFormat="1" applyFont="1" applyFill="1" applyBorder="1" applyAlignment="1">
      <alignment horizontal="center" vertical="center" wrapText="1"/>
    </xf>
    <xf numFmtId="2" fontId="7" fillId="2" borderId="3" xfId="1" applyNumberFormat="1" applyFont="1" applyFill="1" applyBorder="1" applyAlignment="1">
      <alignment horizontal="center" vertical="center"/>
    </xf>
    <xf numFmtId="2" fontId="7" fillId="2" borderId="10" xfId="4" applyNumberFormat="1" applyFont="1" applyFill="1" applyBorder="1" applyAlignment="1">
      <alignment horizontal="right" vertical="center" wrapText="1"/>
    </xf>
    <xf numFmtId="2" fontId="7" fillId="2" borderId="1" xfId="4" applyNumberFormat="1" applyFont="1" applyFill="1" applyBorder="1" applyAlignment="1">
      <alignment horizontal="right" vertical="center" wrapText="1"/>
    </xf>
    <xf numFmtId="2" fontId="7" fillId="2" borderId="10" xfId="1" applyNumberFormat="1" applyFont="1" applyFill="1" applyBorder="1" applyAlignment="1">
      <alignment horizontal="right" vertical="center" wrapText="1"/>
    </xf>
    <xf numFmtId="2" fontId="7" fillId="2" borderId="1" xfId="1" applyNumberFormat="1" applyFont="1" applyFill="1" applyBorder="1" applyAlignment="1">
      <alignment horizontal="right" vertical="center" wrapText="1"/>
    </xf>
    <xf numFmtId="2" fontId="6" fillId="2" borderId="0" xfId="1" applyNumberFormat="1" applyFont="1" applyFill="1" applyBorder="1" applyAlignment="1">
      <alignment horizontal="center" vertical="center" wrapText="1"/>
    </xf>
    <xf numFmtId="2" fontId="71" fillId="2" borderId="1" xfId="1" applyNumberFormat="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85" fillId="2" borderId="0" xfId="0" applyFont="1" applyFill="1" applyBorder="1" applyAlignment="1">
      <alignment horizontal="center" vertical="center" wrapText="1"/>
    </xf>
    <xf numFmtId="0" fontId="89" fillId="2" borderId="0" xfId="0" applyFont="1" applyFill="1" applyBorder="1" applyAlignment="1">
      <alignment horizontal="center" vertical="center" wrapText="1"/>
    </xf>
    <xf numFmtId="2" fontId="85" fillId="2" borderId="0" xfId="1" applyNumberFormat="1" applyFont="1" applyFill="1" applyAlignment="1">
      <alignment horizontal="center" vertical="center" wrapText="1"/>
    </xf>
    <xf numFmtId="0" fontId="91" fillId="2" borderId="0" xfId="0" applyFont="1" applyFill="1" applyBorder="1" applyAlignment="1">
      <alignment horizontal="center" vertical="center" wrapText="1"/>
    </xf>
    <xf numFmtId="0" fontId="7" fillId="0" borderId="4"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7" fillId="0" borderId="6" xfId="1" applyFont="1" applyFill="1" applyBorder="1" applyAlignment="1">
      <alignment horizontal="center" vertical="center" wrapText="1"/>
    </xf>
    <xf numFmtId="0" fontId="85" fillId="2" borderId="0" xfId="0" applyFont="1" applyFill="1" applyBorder="1" applyAlignment="1">
      <alignment vertical="top" wrapText="1"/>
    </xf>
    <xf numFmtId="0" fontId="85" fillId="2" borderId="0" xfId="0" applyFont="1" applyFill="1" applyBorder="1" applyAlignment="1">
      <alignment wrapText="1"/>
    </xf>
    <xf numFmtId="2" fontId="89" fillId="2" borderId="0" xfId="1" applyNumberFormat="1" applyFont="1" applyFill="1" applyAlignment="1">
      <alignment horizontal="center" vertical="center" wrapText="1"/>
    </xf>
    <xf numFmtId="2" fontId="89" fillId="2" borderId="0" xfId="1" applyNumberFormat="1" applyFont="1" applyFill="1" applyAlignment="1">
      <alignment horizontal="center" wrapText="1"/>
    </xf>
    <xf numFmtId="0" fontId="85" fillId="2" borderId="0" xfId="0" applyFont="1" applyFill="1" applyBorder="1" applyAlignment="1">
      <alignment horizontal="center" vertical="top" wrapText="1"/>
    </xf>
    <xf numFmtId="2" fontId="85" fillId="2" borderId="0" xfId="1" applyNumberFormat="1" applyFont="1" applyFill="1" applyBorder="1" applyAlignment="1">
      <alignment horizontal="center" wrapText="1"/>
    </xf>
    <xf numFmtId="1" fontId="33" fillId="0" borderId="2" xfId="5" applyNumberFormat="1" applyFont="1" applyBorder="1" applyAlignment="1">
      <alignment horizontal="center" vertical="center" wrapText="1"/>
    </xf>
    <xf numFmtId="1" fontId="33" fillId="0" borderId="10" xfId="5" applyNumberFormat="1" applyFont="1" applyBorder="1" applyAlignment="1">
      <alignment horizontal="center" vertical="center" wrapText="1"/>
    </xf>
    <xf numFmtId="0" fontId="28" fillId="0" borderId="0" xfId="5" applyFont="1" applyBorder="1" applyAlignment="1">
      <alignment horizontal="center" vertical="center"/>
    </xf>
    <xf numFmtId="0" fontId="21" fillId="0" borderId="0" xfId="5" applyFont="1" applyBorder="1" applyAlignment="1">
      <alignment horizontal="right" vertical="center"/>
    </xf>
    <xf numFmtId="0" fontId="64"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10" xfId="0" applyFont="1" applyBorder="1" applyAlignment="1">
      <alignment horizontal="center" vertical="center" wrapText="1"/>
    </xf>
    <xf numFmtId="0" fontId="18" fillId="0" borderId="0" xfId="0" applyFont="1" applyAlignment="1">
      <alignment horizontal="left" vertical="center" wrapText="1"/>
    </xf>
    <xf numFmtId="0" fontId="36" fillId="0" borderId="46" xfId="0" applyFont="1" applyBorder="1" applyAlignment="1">
      <alignment horizontal="center" vertical="center" wrapText="1"/>
    </xf>
    <xf numFmtId="0" fontId="36" fillId="0" borderId="48" xfId="0" applyFont="1" applyBorder="1" applyAlignment="1">
      <alignment horizontal="center" vertical="center" wrapText="1"/>
    </xf>
    <xf numFmtId="0" fontId="80" fillId="0" borderId="0" xfId="0" applyFont="1" applyAlignment="1">
      <alignment horizontal="center" vertical="center" wrapText="1"/>
    </xf>
    <xf numFmtId="0" fontId="38" fillId="0" borderId="0" xfId="0" applyFont="1" applyAlignment="1">
      <alignment horizontal="center" vertical="center" wrapText="1"/>
    </xf>
    <xf numFmtId="0" fontId="74" fillId="0" borderId="1"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54" xfId="0" applyFont="1" applyBorder="1" applyAlignment="1">
      <alignment horizontal="center" vertical="center" wrapText="1"/>
    </xf>
    <xf numFmtId="0" fontId="76" fillId="0" borderId="50" xfId="0" applyFont="1" applyBorder="1" applyAlignment="1">
      <alignment horizontal="left" vertical="center" wrapText="1"/>
    </xf>
    <xf numFmtId="0" fontId="76" fillId="5" borderId="50" xfId="0" applyFont="1" applyFill="1" applyBorder="1" applyAlignment="1">
      <alignment horizontal="left" vertical="center" wrapText="1"/>
    </xf>
    <xf numFmtId="0" fontId="42" fillId="0" borderId="34" xfId="0" applyFont="1" applyBorder="1" applyAlignment="1">
      <alignment horizontal="center"/>
    </xf>
    <xf numFmtId="0" fontId="0" fillId="0" borderId="34" xfId="0" applyBorder="1" applyAlignment="1">
      <alignment horizontal="center"/>
    </xf>
    <xf numFmtId="0" fontId="37" fillId="0" borderId="51"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53" xfId="0" applyFont="1" applyBorder="1" applyAlignment="1">
      <alignment horizontal="center" vertical="center" wrapText="1"/>
    </xf>
    <xf numFmtId="0" fontId="36" fillId="0" borderId="51" xfId="0" applyFont="1" applyBorder="1" applyAlignment="1">
      <alignment horizontal="left" vertical="center" wrapText="1"/>
    </xf>
    <xf numFmtId="0" fontId="36" fillId="0" borderId="52" xfId="0" applyFont="1" applyBorder="1" applyAlignment="1">
      <alignment horizontal="left" vertical="center" wrapText="1"/>
    </xf>
    <xf numFmtId="0" fontId="36" fillId="0" borderId="53" xfId="0" applyFont="1" applyBorder="1" applyAlignment="1">
      <alignment horizontal="left" vertical="center" wrapText="1"/>
    </xf>
    <xf numFmtId="0" fontId="36" fillId="0" borderId="55" xfId="0" applyFont="1" applyBorder="1" applyAlignment="1">
      <alignment horizontal="center" vertical="center" wrapText="1"/>
    </xf>
    <xf numFmtId="0" fontId="36" fillId="0" borderId="56" xfId="0" applyFont="1" applyBorder="1" applyAlignment="1">
      <alignment horizontal="center" vertical="center" wrapText="1"/>
    </xf>
    <xf numFmtId="0" fontId="36" fillId="0" borderId="35" xfId="0" applyFont="1" applyBorder="1" applyAlignment="1">
      <alignment horizontal="left" vertical="center" wrapText="1"/>
    </xf>
    <xf numFmtId="0" fontId="36" fillId="0" borderId="36" xfId="0" applyFont="1" applyBorder="1" applyAlignment="1">
      <alignment horizontal="left" vertical="center" wrapText="1"/>
    </xf>
    <xf numFmtId="0" fontId="36" fillId="0" borderId="37" xfId="0" applyFont="1" applyBorder="1" applyAlignment="1">
      <alignment horizontal="left" vertical="center" wrapText="1"/>
    </xf>
    <xf numFmtId="0" fontId="36" fillId="0" borderId="38" xfId="0" applyFont="1" applyBorder="1" applyAlignment="1">
      <alignment horizontal="center" vertical="center" wrapText="1"/>
    </xf>
    <xf numFmtId="0" fontId="36" fillId="0" borderId="0" xfId="0" applyFont="1" applyBorder="1" applyAlignment="1">
      <alignment horizontal="center" vertical="center" wrapText="1"/>
    </xf>
    <xf numFmtId="0" fontId="36" fillId="0" borderId="0" xfId="0" applyFont="1" applyAlignment="1">
      <alignment horizontal="center" vertical="center" wrapText="1"/>
    </xf>
    <xf numFmtId="0" fontId="36" fillId="0" borderId="39" xfId="0" applyFont="1" applyBorder="1" applyAlignment="1">
      <alignment horizontal="center" vertical="center" wrapText="1"/>
    </xf>
    <xf numFmtId="0" fontId="36" fillId="0" borderId="38" xfId="0" applyFont="1" applyBorder="1" applyAlignment="1">
      <alignment horizontal="left" vertical="center" wrapText="1"/>
    </xf>
    <xf numFmtId="0" fontId="36" fillId="0" borderId="0" xfId="0" applyFont="1" applyBorder="1" applyAlignment="1">
      <alignment horizontal="left" vertical="center" wrapText="1"/>
    </xf>
    <xf numFmtId="0" fontId="36" fillId="0" borderId="39" xfId="0" applyFont="1" applyBorder="1" applyAlignment="1">
      <alignment horizontal="left" vertical="center" wrapText="1"/>
    </xf>
    <xf numFmtId="0" fontId="36" fillId="0" borderId="64" xfId="0" applyFont="1" applyBorder="1" applyAlignment="1">
      <alignment horizontal="left" vertical="center" wrapText="1"/>
    </xf>
    <xf numFmtId="0" fontId="36" fillId="0" borderId="65" xfId="0" applyFont="1" applyBorder="1" applyAlignment="1">
      <alignment horizontal="left" vertical="center" wrapText="1"/>
    </xf>
    <xf numFmtId="0" fontId="36" fillId="0" borderId="66" xfId="0" applyFont="1" applyBorder="1" applyAlignment="1">
      <alignment horizontal="left" vertical="center" wrapText="1"/>
    </xf>
    <xf numFmtId="0" fontId="36" fillId="0" borderId="54" xfId="0" applyFont="1" applyBorder="1" applyAlignment="1">
      <alignment horizontal="center" vertical="center" wrapText="1"/>
    </xf>
    <xf numFmtId="0" fontId="36" fillId="0" borderId="35" xfId="0" applyFont="1" applyBorder="1" applyAlignment="1">
      <alignment horizontal="center" vertical="center" wrapText="1"/>
    </xf>
    <xf numFmtId="0" fontId="36" fillId="0" borderId="44" xfId="0" applyFont="1" applyBorder="1" applyAlignment="1">
      <alignment horizontal="center" vertical="center" wrapText="1"/>
    </xf>
    <xf numFmtId="0" fontId="43" fillId="0" borderId="38" xfId="0" applyFont="1" applyBorder="1" applyAlignment="1">
      <alignment horizontal="left" vertical="center" wrapText="1"/>
    </xf>
    <xf numFmtId="0" fontId="43" fillId="0" borderId="0" xfId="0" applyFont="1" applyBorder="1" applyAlignment="1">
      <alignment horizontal="left" vertical="center" wrapText="1"/>
    </xf>
    <xf numFmtId="0" fontId="43" fillId="0" borderId="39" xfId="0" applyFont="1" applyBorder="1" applyAlignment="1">
      <alignment horizontal="left" vertical="center" wrapText="1"/>
    </xf>
    <xf numFmtId="0" fontId="44" fillId="0" borderId="38" xfId="0" applyFont="1" applyBorder="1" applyAlignment="1">
      <alignment horizontal="left" vertical="center" wrapText="1"/>
    </xf>
    <xf numFmtId="0" fontId="44" fillId="0" borderId="0" xfId="0" applyFont="1" applyBorder="1" applyAlignment="1">
      <alignment horizontal="left" vertical="center" wrapText="1"/>
    </xf>
    <xf numFmtId="0" fontId="44" fillId="0" borderId="39" xfId="0" applyFont="1" applyBorder="1" applyAlignment="1">
      <alignment horizontal="left" vertical="center" wrapText="1"/>
    </xf>
    <xf numFmtId="0" fontId="36" fillId="0" borderId="57" xfId="0" applyFont="1" applyBorder="1" applyAlignment="1">
      <alignment horizontal="left" vertical="center" wrapText="1"/>
    </xf>
    <xf numFmtId="0" fontId="36" fillId="0" borderId="58" xfId="0" applyFont="1" applyBorder="1" applyAlignment="1">
      <alignment horizontal="left" vertical="center" wrapText="1"/>
    </xf>
    <xf numFmtId="0" fontId="36" fillId="0" borderId="59" xfId="0" applyFont="1" applyBorder="1" applyAlignment="1">
      <alignment horizontal="left" vertical="center" wrapText="1"/>
    </xf>
    <xf numFmtId="0" fontId="37" fillId="0" borderId="61" xfId="0" applyFont="1" applyBorder="1" applyAlignment="1">
      <alignment horizontal="center" vertical="center" wrapText="1"/>
    </xf>
    <xf numFmtId="0" fontId="37" fillId="0" borderId="62" xfId="0" applyFont="1" applyBorder="1" applyAlignment="1">
      <alignment horizontal="center" vertical="center" wrapText="1"/>
    </xf>
    <xf numFmtId="0" fontId="37" fillId="0" borderId="63" xfId="0" applyFont="1" applyBorder="1" applyAlignment="1">
      <alignment horizontal="center" vertical="center" wrapText="1"/>
    </xf>
    <xf numFmtId="0" fontId="39" fillId="0" borderId="38" xfId="0" applyFont="1" applyBorder="1" applyAlignment="1">
      <alignment horizontal="left" vertical="center" wrapText="1"/>
    </xf>
    <xf numFmtId="0" fontId="39" fillId="0" borderId="0" xfId="0" applyFont="1" applyBorder="1" applyAlignment="1">
      <alignment horizontal="left" vertical="center" wrapText="1"/>
    </xf>
    <xf numFmtId="0" fontId="39" fillId="0" borderId="39" xfId="0" applyFont="1" applyBorder="1" applyAlignment="1">
      <alignment horizontal="left" vertical="center" wrapText="1"/>
    </xf>
    <xf numFmtId="0" fontId="44" fillId="0" borderId="44" xfId="0" applyFont="1" applyBorder="1" applyAlignment="1">
      <alignment horizontal="left" vertical="center" wrapText="1"/>
    </xf>
    <xf numFmtId="0" fontId="44" fillId="0" borderId="34" xfId="0" applyFont="1" applyBorder="1" applyAlignment="1">
      <alignment horizontal="left" vertical="center" wrapText="1"/>
    </xf>
    <xf numFmtId="0" fontId="44" fillId="0" borderId="45" xfId="0" applyFont="1" applyBorder="1" applyAlignment="1">
      <alignment horizontal="left" vertical="center" wrapText="1"/>
    </xf>
    <xf numFmtId="0" fontId="36" fillId="0" borderId="67" xfId="0" applyFont="1" applyBorder="1" applyAlignment="1">
      <alignment horizontal="center" vertical="center" wrapText="1"/>
    </xf>
    <xf numFmtId="0" fontId="36" fillId="0" borderId="68" xfId="0" applyFont="1" applyBorder="1" applyAlignment="1">
      <alignment horizontal="center" vertical="center" wrapText="1"/>
    </xf>
    <xf numFmtId="0" fontId="36" fillId="0" borderId="50" xfId="0" applyFont="1" applyBorder="1" applyAlignment="1">
      <alignment horizontal="center" vertical="center" wrapText="1"/>
    </xf>
    <xf numFmtId="0" fontId="36" fillId="0" borderId="44" xfId="0" applyFont="1" applyBorder="1" applyAlignment="1">
      <alignment horizontal="left" vertical="center" wrapText="1"/>
    </xf>
    <xf numFmtId="0" fontId="36" fillId="0" borderId="34" xfId="0" applyFont="1" applyBorder="1" applyAlignment="1">
      <alignment horizontal="left" vertical="center" wrapText="1"/>
    </xf>
    <xf numFmtId="0" fontId="36" fillId="0" borderId="45" xfId="0" applyFont="1" applyBorder="1" applyAlignment="1">
      <alignment horizontal="left" vertical="center" wrapText="1"/>
    </xf>
    <xf numFmtId="0" fontId="36" fillId="0" borderId="50" xfId="0" applyFont="1" applyBorder="1" applyAlignment="1">
      <alignment horizontal="left" vertical="center" wrapText="1"/>
    </xf>
    <xf numFmtId="0" fontId="36" fillId="0" borderId="51" xfId="0" applyFont="1" applyBorder="1" applyAlignment="1">
      <alignment horizontal="center" vertical="center" wrapText="1"/>
    </xf>
    <xf numFmtId="0" fontId="36" fillId="0" borderId="53" xfId="0" applyFont="1" applyBorder="1" applyAlignment="1">
      <alignment horizontal="center" vertical="center" wrapText="1"/>
    </xf>
    <xf numFmtId="0" fontId="37" fillId="0" borderId="55" xfId="0" applyFont="1" applyBorder="1" applyAlignment="1">
      <alignment horizontal="center" vertical="center" wrapText="1"/>
    </xf>
    <xf numFmtId="0" fontId="37" fillId="0" borderId="56" xfId="0" applyFont="1" applyBorder="1" applyAlignment="1">
      <alignment horizontal="center" vertical="center" wrapText="1"/>
    </xf>
    <xf numFmtId="0" fontId="37" fillId="0" borderId="54" xfId="0" applyFont="1" applyBorder="1" applyAlignment="1">
      <alignment horizontal="center" vertical="center" wrapText="1"/>
    </xf>
    <xf numFmtId="0" fontId="36" fillId="0" borderId="36" xfId="0" applyFont="1" applyBorder="1" applyAlignment="1">
      <alignment horizontal="justify" vertical="center" wrapText="1"/>
    </xf>
    <xf numFmtId="0" fontId="36" fillId="0" borderId="37" xfId="0" applyFont="1" applyBorder="1" applyAlignment="1">
      <alignment horizontal="justify" vertical="center" wrapText="1"/>
    </xf>
    <xf numFmtId="0" fontId="39" fillId="0" borderId="58" xfId="0" applyFont="1" applyBorder="1" applyAlignment="1">
      <alignment horizontal="justify" vertical="center" wrapText="1"/>
    </xf>
    <xf numFmtId="0" fontId="39" fillId="0" borderId="59" xfId="0" applyFont="1" applyBorder="1" applyAlignment="1">
      <alignment horizontal="justify" vertical="center" wrapText="1"/>
    </xf>
    <xf numFmtId="0" fontId="36" fillId="0" borderId="0" xfId="0" applyFont="1" applyBorder="1" applyAlignment="1">
      <alignment horizontal="justify" vertical="center" wrapText="1"/>
    </xf>
    <xf numFmtId="0" fontId="36" fillId="0" borderId="0" xfId="0" applyFont="1" applyAlignment="1">
      <alignment horizontal="justify" vertical="center" wrapText="1"/>
    </xf>
    <xf numFmtId="0" fontId="36" fillId="0" borderId="39" xfId="0" applyFont="1" applyBorder="1" applyAlignment="1">
      <alignment horizontal="justify" vertical="center" wrapText="1"/>
    </xf>
    <xf numFmtId="0" fontId="39" fillId="0" borderId="0" xfId="0" applyFont="1" applyBorder="1" applyAlignment="1">
      <alignment horizontal="justify" vertical="center" wrapText="1"/>
    </xf>
    <xf numFmtId="0" fontId="39" fillId="0" borderId="0" xfId="0" applyFont="1" applyAlignment="1">
      <alignment horizontal="justify" vertical="center" wrapText="1"/>
    </xf>
    <xf numFmtId="0" fontId="39" fillId="0" borderId="39" xfId="0" applyFont="1" applyBorder="1" applyAlignment="1">
      <alignment horizontal="justify" vertical="center" wrapText="1"/>
    </xf>
    <xf numFmtId="0" fontId="36" fillId="0" borderId="47" xfId="0" applyFont="1" applyBorder="1" applyAlignment="1">
      <alignment horizontal="center" vertical="center" wrapText="1"/>
    </xf>
    <xf numFmtId="0" fontId="36" fillId="0" borderId="49" xfId="0" applyFont="1" applyBorder="1" applyAlignment="1">
      <alignment horizontal="center" vertical="center" wrapText="1"/>
    </xf>
    <xf numFmtId="0" fontId="36" fillId="0" borderId="36" xfId="0" applyFont="1" applyBorder="1" applyAlignment="1">
      <alignment horizontal="center" vertical="center" wrapText="1"/>
    </xf>
    <xf numFmtId="0" fontId="36" fillId="0" borderId="72" xfId="0" applyFont="1" applyBorder="1" applyAlignment="1">
      <alignment horizontal="center" vertical="center" wrapText="1"/>
    </xf>
    <xf numFmtId="0" fontId="44" fillId="0" borderId="67" xfId="0" applyFont="1" applyBorder="1" applyAlignment="1">
      <alignment horizontal="center" vertical="center" wrapText="1"/>
    </xf>
    <xf numFmtId="0" fontId="44" fillId="0" borderId="77" xfId="0" applyFont="1" applyBorder="1" applyAlignment="1">
      <alignment horizontal="center" vertical="center" wrapText="1"/>
    </xf>
    <xf numFmtId="0" fontId="44" fillId="0" borderId="46"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51" xfId="0" applyFont="1" applyBorder="1" applyAlignment="1">
      <alignment horizontal="center" vertical="center" wrapText="1"/>
    </xf>
    <xf numFmtId="0" fontId="44" fillId="0" borderId="52" xfId="0" applyFont="1" applyBorder="1" applyAlignment="1">
      <alignment horizontal="center" vertical="center" wrapText="1"/>
    </xf>
    <xf numFmtId="0" fontId="44" fillId="0" borderId="74" xfId="0" applyFont="1" applyBorder="1" applyAlignment="1">
      <alignment horizontal="center" vertical="center" wrapText="1"/>
    </xf>
    <xf numFmtId="0" fontId="36" fillId="0" borderId="51" xfId="0" applyFont="1" applyBorder="1" applyAlignment="1">
      <alignment horizontal="justify" vertical="center" wrapText="1"/>
    </xf>
    <xf numFmtId="0" fontId="36" fillId="0" borderId="52" xfId="0" applyFont="1" applyBorder="1" applyAlignment="1">
      <alignment horizontal="justify" vertical="center" wrapText="1"/>
    </xf>
    <xf numFmtId="0" fontId="36" fillId="0" borderId="53" xfId="0" applyFont="1" applyBorder="1" applyAlignment="1">
      <alignment horizontal="justify" vertical="center" wrapText="1"/>
    </xf>
    <xf numFmtId="0" fontId="46" fillId="0" borderId="51" xfId="0" applyFont="1" applyBorder="1" applyAlignment="1">
      <alignment vertical="center" wrapText="1"/>
    </xf>
    <xf numFmtId="0" fontId="46" fillId="0" borderId="52" xfId="0" applyFont="1" applyBorder="1" applyAlignment="1">
      <alignment vertical="center" wrapText="1"/>
    </xf>
    <xf numFmtId="0" fontId="46" fillId="0" borderId="53" xfId="0" applyFont="1" applyBorder="1" applyAlignment="1">
      <alignment vertical="center" wrapText="1"/>
    </xf>
    <xf numFmtId="0" fontId="36" fillId="0" borderId="51" xfId="0" applyFont="1" applyBorder="1" applyAlignment="1">
      <alignment vertical="center" wrapText="1"/>
    </xf>
    <xf numFmtId="0" fontId="36" fillId="0" borderId="52" xfId="0" applyFont="1" applyBorder="1" applyAlignment="1">
      <alignment vertical="center" wrapText="1"/>
    </xf>
    <xf numFmtId="0" fontId="36" fillId="0" borderId="53" xfId="0" applyFont="1" applyBorder="1" applyAlignment="1">
      <alignment vertical="center" wrapText="1"/>
    </xf>
    <xf numFmtId="0" fontId="37" fillId="0" borderId="55" xfId="0" applyFont="1" applyBorder="1" applyAlignment="1">
      <alignment vertical="center" wrapText="1"/>
    </xf>
    <xf numFmtId="0" fontId="37" fillId="0" borderId="56" xfId="0" applyFont="1" applyBorder="1" applyAlignment="1">
      <alignment vertical="center" wrapText="1"/>
    </xf>
    <xf numFmtId="0" fontId="46" fillId="0" borderId="35" xfId="0" applyFont="1" applyBorder="1" applyAlignment="1">
      <alignment horizontal="left" vertical="center" wrapText="1"/>
    </xf>
    <xf numFmtId="0" fontId="46" fillId="0" borderId="36" xfId="0" applyFont="1" applyBorder="1" applyAlignment="1">
      <alignment horizontal="left" vertical="center" wrapText="1"/>
    </xf>
    <xf numFmtId="0" fontId="46" fillId="0" borderId="37" xfId="0" applyFont="1" applyBorder="1" applyAlignment="1">
      <alignment horizontal="left" vertical="center" wrapText="1"/>
    </xf>
    <xf numFmtId="0" fontId="46" fillId="0" borderId="44" xfId="0" applyFont="1" applyBorder="1" applyAlignment="1">
      <alignment horizontal="left" vertical="center" wrapText="1"/>
    </xf>
    <xf numFmtId="0" fontId="46" fillId="0" borderId="34" xfId="0" applyFont="1" applyBorder="1" applyAlignment="1">
      <alignment horizontal="left" vertical="center" wrapText="1"/>
    </xf>
    <xf numFmtId="0" fontId="46" fillId="0" borderId="45" xfId="0" applyFont="1" applyBorder="1" applyAlignment="1">
      <alignment horizontal="left" vertical="center" wrapText="1"/>
    </xf>
    <xf numFmtId="0" fontId="43" fillId="0" borderId="51" xfId="0" applyFont="1" applyBorder="1" applyAlignment="1">
      <alignment horizontal="left" vertical="center" wrapText="1"/>
    </xf>
    <xf numFmtId="0" fontId="43" fillId="0" borderId="52" xfId="0" applyFont="1" applyBorder="1" applyAlignment="1">
      <alignment horizontal="left" vertical="center" wrapText="1"/>
    </xf>
    <xf numFmtId="0" fontId="43" fillId="0" borderId="53" xfId="0" applyFont="1" applyBorder="1" applyAlignment="1">
      <alignment horizontal="left" vertical="center" wrapText="1"/>
    </xf>
    <xf numFmtId="0" fontId="37" fillId="0" borderId="51" xfId="0" applyFont="1" applyBorder="1" applyAlignment="1">
      <alignment horizontal="left" vertical="center" wrapText="1"/>
    </xf>
    <xf numFmtId="0" fontId="37" fillId="0" borderId="52" xfId="0" applyFont="1" applyBorder="1" applyAlignment="1">
      <alignment horizontal="left" vertical="center" wrapText="1"/>
    </xf>
    <xf numFmtId="0" fontId="37" fillId="0" borderId="53" xfId="0" applyFont="1" applyBorder="1" applyAlignment="1">
      <alignment horizontal="left" vertical="center" wrapText="1"/>
    </xf>
    <xf numFmtId="0" fontId="46" fillId="0" borderId="51" xfId="0" applyFont="1" applyBorder="1" applyAlignment="1">
      <alignment horizontal="left" vertical="center" wrapText="1"/>
    </xf>
    <xf numFmtId="0" fontId="46" fillId="0" borderId="52" xfId="0" applyFont="1" applyBorder="1" applyAlignment="1">
      <alignment horizontal="left" vertical="center" wrapText="1"/>
    </xf>
    <xf numFmtId="0" fontId="46" fillId="0" borderId="53" xfId="0" applyFont="1" applyBorder="1" applyAlignment="1">
      <alignment horizontal="left" vertical="center" wrapText="1"/>
    </xf>
    <xf numFmtId="0" fontId="44" fillId="0" borderId="53" xfId="0" applyFont="1" applyBorder="1" applyAlignment="1">
      <alignment horizontal="center" vertical="center" wrapText="1"/>
    </xf>
    <xf numFmtId="0" fontId="44" fillId="0" borderId="51" xfId="0" applyFont="1" applyBorder="1" applyAlignment="1">
      <alignment horizontal="left" vertical="center" wrapText="1"/>
    </xf>
    <xf numFmtId="0" fontId="44" fillId="0" borderId="52" xfId="0" applyFont="1" applyBorder="1" applyAlignment="1">
      <alignment horizontal="left" vertical="center" wrapText="1"/>
    </xf>
    <xf numFmtId="0" fontId="44" fillId="0" borderId="53" xfId="0" applyFont="1" applyBorder="1" applyAlignment="1">
      <alignment horizontal="left" vertical="center" wrapText="1"/>
    </xf>
    <xf numFmtId="0" fontId="37" fillId="0" borderId="55" xfId="0" applyFont="1" applyBorder="1" applyAlignment="1">
      <alignment horizontal="center" vertical="center" textRotation="90" wrapText="1"/>
    </xf>
    <xf numFmtId="0" fontId="37" fillId="0" borderId="56" xfId="0" applyFont="1" applyBorder="1" applyAlignment="1">
      <alignment horizontal="center" vertical="center" textRotation="90" wrapText="1"/>
    </xf>
    <xf numFmtId="0" fontId="36" fillId="0" borderId="52" xfId="0" applyFont="1" applyBorder="1" applyAlignment="1">
      <alignment horizontal="center" vertical="center" wrapText="1"/>
    </xf>
    <xf numFmtId="0" fontId="36" fillId="0" borderId="45" xfId="0" applyFont="1" applyBorder="1" applyAlignment="1">
      <alignment horizontal="center" vertical="center" wrapText="1"/>
    </xf>
    <xf numFmtId="0" fontId="36" fillId="0" borderId="37" xfId="0" applyFont="1" applyBorder="1" applyAlignment="1">
      <alignment horizontal="center" vertical="center" wrapText="1"/>
    </xf>
    <xf numFmtId="0" fontId="36" fillId="0" borderId="51" xfId="0" applyFont="1" applyBorder="1" applyAlignment="1">
      <alignment horizontal="center" wrapText="1"/>
    </xf>
    <xf numFmtId="0" fontId="36" fillId="0" borderId="53" xfId="0" applyFont="1" applyBorder="1" applyAlignment="1">
      <alignment horizontal="center"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44" xfId="0" applyBorder="1" applyAlignment="1">
      <alignment horizontal="center" wrapText="1"/>
    </xf>
    <xf numFmtId="0" fontId="0" fillId="0" borderId="45" xfId="0" applyBorder="1" applyAlignment="1">
      <alignment horizontal="center" wrapText="1"/>
    </xf>
    <xf numFmtId="0" fontId="36" fillId="0" borderId="38" xfId="0" applyFont="1" applyBorder="1" applyAlignment="1">
      <alignment horizontal="center" wrapText="1"/>
    </xf>
    <xf numFmtId="0" fontId="36" fillId="0" borderId="0" xfId="0" applyFont="1" applyBorder="1" applyAlignment="1">
      <alignment horizontal="center" wrapText="1"/>
    </xf>
    <xf numFmtId="0" fontId="0" fillId="0" borderId="0" xfId="0" applyBorder="1" applyAlignment="1">
      <alignment horizontal="center" wrapText="1"/>
    </xf>
    <xf numFmtId="0" fontId="37" fillId="0" borderId="54" xfId="0" applyFont="1" applyBorder="1" applyAlignment="1">
      <alignment horizontal="center" vertical="center" textRotation="90" wrapText="1"/>
    </xf>
    <xf numFmtId="0" fontId="36" fillId="0" borderId="52" xfId="0" applyFont="1" applyBorder="1" applyAlignment="1">
      <alignment horizontal="center" wrapText="1"/>
    </xf>
    <xf numFmtId="0" fontId="43" fillId="0" borderId="0" xfId="0" applyFont="1" applyAlignment="1">
      <alignment horizontal="right"/>
    </xf>
    <xf numFmtId="0" fontId="36" fillId="0" borderId="0" xfId="0" applyFont="1" applyAlignment="1">
      <alignment horizontal="right" vertical="top"/>
    </xf>
    <xf numFmtId="0" fontId="49" fillId="0" borderId="0" xfId="0" applyFont="1" applyAlignment="1">
      <alignment horizontal="center" vertical="center"/>
    </xf>
    <xf numFmtId="0" fontId="50" fillId="0" borderId="34" xfId="0" applyFont="1" applyBorder="1" applyAlignment="1">
      <alignment horizontal="center" vertical="center"/>
    </xf>
    <xf numFmtId="0" fontId="41" fillId="0" borderId="50" xfId="0" applyFont="1" applyBorder="1" applyAlignment="1">
      <alignment horizontal="center" vertical="center" wrapText="1"/>
    </xf>
    <xf numFmtId="0" fontId="43" fillId="0" borderId="0" xfId="0" applyFont="1" applyAlignment="1">
      <alignment horizontal="right" vertical="center"/>
    </xf>
    <xf numFmtId="0" fontId="36" fillId="0" borderId="0" xfId="0" applyFont="1" applyAlignment="1">
      <alignment horizontal="right" vertical="center"/>
    </xf>
    <xf numFmtId="0" fontId="43" fillId="0" borderId="0" xfId="0" applyFont="1" applyAlignment="1">
      <alignment horizontal="center" vertical="center"/>
    </xf>
    <xf numFmtId="0" fontId="43" fillId="0" borderId="34" xfId="0" applyFont="1" applyBorder="1" applyAlignment="1">
      <alignment horizontal="center" vertical="center"/>
    </xf>
    <xf numFmtId="0" fontId="43" fillId="0" borderId="35" xfId="0" applyFont="1" applyBorder="1" applyAlignment="1">
      <alignment horizontal="left" vertical="center" wrapText="1"/>
    </xf>
    <xf numFmtId="0" fontId="43" fillId="0" borderId="37" xfId="0" applyFont="1" applyBorder="1" applyAlignment="1">
      <alignment horizontal="left" vertical="center" wrapText="1"/>
    </xf>
    <xf numFmtId="0" fontId="37" fillId="0" borderId="35" xfId="0" applyFont="1" applyBorder="1" applyAlignment="1">
      <alignment horizontal="left" vertical="center" wrapText="1"/>
    </xf>
    <xf numFmtId="0" fontId="37" fillId="0" borderId="37" xfId="0" applyFont="1" applyBorder="1" applyAlignment="1">
      <alignment horizontal="left" vertical="center" wrapText="1"/>
    </xf>
    <xf numFmtId="0" fontId="37" fillId="0" borderId="44" xfId="0" applyFont="1" applyBorder="1" applyAlignment="1">
      <alignment horizontal="left" vertical="center" wrapText="1"/>
    </xf>
    <xf numFmtId="0" fontId="37" fillId="0" borderId="45" xfId="0" applyFont="1" applyBorder="1" applyAlignment="1">
      <alignment horizontal="left" vertical="center" wrapText="1"/>
    </xf>
    <xf numFmtId="0" fontId="36" fillId="0" borderId="44" xfId="0" applyFont="1" applyBorder="1" applyAlignment="1">
      <alignment vertical="center" wrapText="1"/>
    </xf>
    <xf numFmtId="0" fontId="36" fillId="0" borderId="45" xfId="0" applyFont="1" applyBorder="1" applyAlignment="1">
      <alignment vertical="center" wrapText="1"/>
    </xf>
    <xf numFmtId="0" fontId="41" fillId="0" borderId="38" xfId="0" applyFont="1" applyBorder="1" applyAlignment="1">
      <alignment horizontal="left" vertical="center" wrapText="1"/>
    </xf>
    <xf numFmtId="0" fontId="41" fillId="0" borderId="39" xfId="0" applyFont="1" applyBorder="1" applyAlignment="1">
      <alignment horizontal="left" vertical="center" wrapText="1"/>
    </xf>
    <xf numFmtId="0" fontId="39" fillId="0" borderId="44" xfId="0" applyFont="1" applyBorder="1" applyAlignment="1">
      <alignment horizontal="left" vertical="center" wrapText="1"/>
    </xf>
    <xf numFmtId="0" fontId="39" fillId="0" borderId="45" xfId="0" applyFont="1" applyBorder="1" applyAlignment="1">
      <alignment horizontal="left" vertical="center" wrapText="1"/>
    </xf>
    <xf numFmtId="0" fontId="52" fillId="0" borderId="0" xfId="0" applyFont="1" applyAlignment="1">
      <alignment horizontal="right" vertical="center"/>
    </xf>
    <xf numFmtId="0" fontId="36" fillId="0" borderId="0" xfId="0" applyFont="1" applyAlignment="1">
      <alignment horizontal="center" vertical="center"/>
    </xf>
    <xf numFmtId="0" fontId="53" fillId="0" borderId="0" xfId="0" applyFont="1" applyAlignment="1">
      <alignment horizontal="right" vertical="center"/>
    </xf>
    <xf numFmtId="0" fontId="54" fillId="0" borderId="0" xfId="0" applyFont="1" applyAlignment="1">
      <alignment horizontal="center" vertical="center"/>
    </xf>
    <xf numFmtId="0" fontId="0" fillId="0" borderId="50" xfId="0" applyBorder="1" applyAlignment="1">
      <alignment horizontal="left" wrapText="1"/>
    </xf>
    <xf numFmtId="0" fontId="36" fillId="0" borderId="50" xfId="0" applyFont="1" applyBorder="1" applyAlignment="1">
      <alignment horizontal="center" wrapText="1"/>
    </xf>
    <xf numFmtId="0" fontId="0" fillId="0" borderId="1" xfId="0" applyBorder="1" applyAlignment="1">
      <alignment horizontal="left" wrapText="1"/>
    </xf>
    <xf numFmtId="0" fontId="36" fillId="0" borderId="1" xfId="0" applyFont="1" applyBorder="1" applyAlignment="1">
      <alignment horizontal="center" wrapText="1"/>
    </xf>
    <xf numFmtId="0" fontId="37" fillId="0" borderId="1" xfId="0" applyFont="1" applyBorder="1" applyAlignment="1">
      <alignment horizontal="center" vertical="center" wrapText="1"/>
    </xf>
    <xf numFmtId="0" fontId="60" fillId="0" borderId="55" xfId="0" applyFont="1" applyBorder="1" applyAlignment="1">
      <alignment horizontal="center" vertical="center" wrapText="1"/>
    </xf>
    <xf numFmtId="0" fontId="60" fillId="0" borderId="56"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39" xfId="0" applyFont="1" applyBorder="1" applyAlignment="1">
      <alignment horizontal="center" vertical="center" wrapText="1"/>
    </xf>
    <xf numFmtId="0" fontId="60" fillId="0" borderId="35" xfId="0" applyFont="1" applyBorder="1" applyAlignment="1">
      <alignment horizontal="center" vertical="center" wrapText="1"/>
    </xf>
    <xf numFmtId="0" fontId="60" fillId="0" borderId="36" xfId="0" applyFont="1" applyBorder="1" applyAlignment="1">
      <alignment horizontal="center" vertical="center" wrapText="1"/>
    </xf>
    <xf numFmtId="0" fontId="60" fillId="0" borderId="38" xfId="0" applyFont="1" applyBorder="1" applyAlignment="1">
      <alignment horizontal="center" vertical="center" wrapText="1"/>
    </xf>
    <xf numFmtId="0" fontId="60" fillId="0" borderId="0" xfId="0" applyFont="1" applyBorder="1" applyAlignment="1">
      <alignment horizontal="center" vertical="center" wrapText="1"/>
    </xf>
    <xf numFmtId="0" fontId="58" fillId="0" borderId="0" xfId="0" applyFont="1" applyAlignment="1">
      <alignment horizontal="center" vertical="center"/>
    </xf>
    <xf numFmtId="0" fontId="60" fillId="0" borderId="37" xfId="0" applyFont="1" applyBorder="1" applyAlignment="1">
      <alignment horizontal="center" vertical="center" wrapText="1"/>
    </xf>
    <xf numFmtId="0" fontId="61" fillId="0" borderId="44" xfId="0" applyFont="1" applyBorder="1" applyAlignment="1">
      <alignment horizontal="center" vertical="center" wrapText="1"/>
    </xf>
    <xf numFmtId="0" fontId="61" fillId="0" borderId="45" xfId="0" applyFont="1" applyBorder="1" applyAlignment="1">
      <alignment horizontal="center" vertical="center" wrapText="1"/>
    </xf>
    <xf numFmtId="0" fontId="61" fillId="0" borderId="34" xfId="0" applyFont="1" applyBorder="1" applyAlignment="1">
      <alignment horizontal="center" vertical="center" wrapText="1"/>
    </xf>
    <xf numFmtId="0" fontId="60" fillId="0" borderId="51" xfId="0" applyFont="1" applyBorder="1" applyAlignment="1">
      <alignment vertical="center" wrapText="1"/>
    </xf>
    <xf numFmtId="0" fontId="60" fillId="0" borderId="52" xfId="0" applyFont="1" applyBorder="1" applyAlignment="1">
      <alignment vertical="center" wrapText="1"/>
    </xf>
    <xf numFmtId="0" fontId="60" fillId="0" borderId="53" xfId="0" applyFont="1" applyBorder="1" applyAlignment="1">
      <alignment vertical="center" wrapText="1"/>
    </xf>
    <xf numFmtId="0" fontId="60" fillId="0" borderId="51" xfId="0" applyFont="1" applyBorder="1" applyAlignment="1">
      <alignment horizontal="center" vertical="center" wrapText="1"/>
    </xf>
    <xf numFmtId="0" fontId="60" fillId="0" borderId="53" xfId="0" applyFont="1" applyBorder="1" applyAlignment="1">
      <alignment horizontal="center" vertical="center" wrapText="1"/>
    </xf>
    <xf numFmtId="0" fontId="61" fillId="0" borderId="51" xfId="0" applyFont="1" applyBorder="1" applyAlignment="1">
      <alignment horizontal="center" vertical="center" wrapText="1"/>
    </xf>
    <xf numFmtId="0" fontId="61" fillId="0" borderId="53" xfId="0" applyFont="1" applyBorder="1" applyAlignment="1">
      <alignment horizontal="center" vertical="center" wrapText="1"/>
    </xf>
    <xf numFmtId="0" fontId="61" fillId="0" borderId="52"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45" xfId="0" applyFont="1" applyBorder="1" applyAlignment="1">
      <alignment horizontal="center" vertical="center" wrapText="1"/>
    </xf>
    <xf numFmtId="0" fontId="60" fillId="0" borderId="35" xfId="0" applyFont="1" applyBorder="1" applyAlignment="1">
      <alignment horizontal="left" vertical="center" wrapText="1"/>
    </xf>
    <xf numFmtId="0" fontId="60" fillId="0" borderId="36" xfId="0" applyFont="1" applyBorder="1" applyAlignment="1">
      <alignment horizontal="left" vertical="center" wrapText="1"/>
    </xf>
    <xf numFmtId="0" fontId="60" fillId="0" borderId="37" xfId="0" applyFont="1" applyBorder="1" applyAlignment="1">
      <alignment horizontal="left" vertical="center" wrapText="1"/>
    </xf>
    <xf numFmtId="0" fontId="60" fillId="0" borderId="44" xfId="0" applyFont="1" applyBorder="1" applyAlignment="1">
      <alignment horizontal="left" vertical="center" wrapText="1"/>
    </xf>
    <xf numFmtId="0" fontId="60" fillId="0" borderId="34" xfId="0" applyFont="1" applyBorder="1" applyAlignment="1">
      <alignment horizontal="left" vertical="center" wrapText="1"/>
    </xf>
    <xf numFmtId="0" fontId="60" fillId="0" borderId="45" xfId="0" applyFont="1" applyBorder="1" applyAlignment="1">
      <alignment horizontal="left" vertical="center" wrapText="1"/>
    </xf>
    <xf numFmtId="0" fontId="60" fillId="0" borderId="44" xfId="0" applyFont="1" applyBorder="1" applyAlignment="1">
      <alignment horizontal="center" vertical="center" wrapText="1"/>
    </xf>
    <xf numFmtId="0" fontId="60" fillId="0" borderId="45" xfId="0" applyFont="1" applyBorder="1" applyAlignment="1">
      <alignment horizontal="center" vertical="center" wrapText="1"/>
    </xf>
    <xf numFmtId="0" fontId="60" fillId="0" borderId="51" xfId="0" applyFont="1" applyBorder="1" applyAlignment="1">
      <alignment horizontal="left" vertical="center" wrapText="1"/>
    </xf>
    <xf numFmtId="0" fontId="60" fillId="0" borderId="52" xfId="0" applyFont="1" applyBorder="1" applyAlignment="1">
      <alignment horizontal="left" vertical="center" wrapText="1"/>
    </xf>
    <xf numFmtId="0" fontId="8" fillId="0" borderId="0" xfId="0" applyFont="1" applyAlignment="1">
      <alignment horizontal="left" vertical="center" wrapText="1"/>
    </xf>
    <xf numFmtId="0" fontId="12" fillId="0" borderId="1" xfId="0" applyFont="1" applyBorder="1" applyAlignment="1">
      <alignment horizontal="center" vertical="center" wrapText="1"/>
    </xf>
  </cellXfs>
  <cellStyles count="24">
    <cellStyle name="Comma 2" xfId="6"/>
    <cellStyle name="Comma 2 2" xfId="7"/>
    <cellStyle name="Comma 3" xfId="8"/>
    <cellStyle name="Normal" xfId="0" builtinId="0"/>
    <cellStyle name="Normal 2" xfId="1"/>
    <cellStyle name="Normal 2 2" xfId="9"/>
    <cellStyle name="Normal 2 2 2" xfId="5"/>
    <cellStyle name="Normal 2 25" xfId="10"/>
    <cellStyle name="Normal 2 3" xfId="11"/>
    <cellStyle name="Normal 2 3 2" xfId="2"/>
    <cellStyle name="Normal 2 4" xfId="12"/>
    <cellStyle name="Normal 3" xfId="13"/>
    <cellStyle name="Normal 3 2" xfId="3"/>
    <cellStyle name="Normal 3 3" xfId="4"/>
    <cellStyle name="Normal 4" xfId="14"/>
    <cellStyle name="Normal 4 2" xfId="15"/>
    <cellStyle name="Normal 4 2 2" xfId="16"/>
    <cellStyle name="Normal 5" xfId="17"/>
    <cellStyle name="Normal 5 2" xfId="18"/>
    <cellStyle name="Normal 6" xfId="19"/>
    <cellStyle name="Normal 6 2" xfId="20"/>
    <cellStyle name="Normal 7" xfId="21"/>
    <cellStyle name="Normal 7 2" xfId="22"/>
    <cellStyle name="Percent" xfId="23" builtinId="5"/>
  </cellStyles>
  <dxfs count="568">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theme="6" tint="0.7999816888943144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7" tint="0.39994506668294322"/>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rgb="FFFF00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bgColor rgb="FFFF0000"/>
        </patternFill>
      </fill>
    </dxf>
    <dxf>
      <fill>
        <patternFill>
          <bgColor theme="7" tint="0.39994506668294322"/>
        </patternFill>
      </fill>
    </dxf>
    <dxf>
      <numFmt numFmtId="167" formatCode=";;;"/>
    </dxf>
    <dxf>
      <fill>
        <patternFill>
          <bgColor theme="6" tint="0.79998168889431442"/>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3333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492"/>
  <sheetViews>
    <sheetView zoomScale="85" zoomScaleNormal="85" workbookViewId="0">
      <pane xSplit="2" topLeftCell="C1" activePane="topRight" state="frozen"/>
      <selection pane="topRight" activeCell="D82" sqref="D82"/>
    </sheetView>
  </sheetViews>
  <sheetFormatPr defaultRowHeight="15" x14ac:dyDescent="0.25"/>
  <cols>
    <col min="1" max="1" width="6" style="646" customWidth="1"/>
    <col min="2" max="2" width="25.85546875" style="468" customWidth="1"/>
    <col min="3" max="3" width="24.42578125" style="469" customWidth="1"/>
    <col min="4" max="4" width="10" style="510" customWidth="1"/>
    <col min="5" max="5" width="10" style="646" customWidth="1"/>
    <col min="6" max="6" width="11.140625" style="469" customWidth="1"/>
    <col min="7" max="7" width="31.7109375" style="470" customWidth="1"/>
    <col min="8" max="8" width="18" style="482" customWidth="1"/>
    <col min="9" max="9" width="10.42578125" style="482" customWidth="1"/>
    <col min="10" max="10" width="15.7109375" style="483" customWidth="1"/>
    <col min="11" max="11" width="15.7109375" style="469" customWidth="1"/>
    <col min="12" max="12" width="14.28515625" style="646" customWidth="1"/>
    <col min="13" max="13" width="26.85546875" style="646" customWidth="1"/>
    <col min="14" max="16" width="13.42578125" style="469" customWidth="1"/>
    <col min="17" max="17" width="17.28515625" style="469" customWidth="1"/>
    <col min="18" max="18" width="10.7109375" style="469" customWidth="1"/>
    <col min="19" max="16384" width="9.140625" style="469"/>
  </cols>
  <sheetData>
    <row r="1" spans="1:18" ht="57" x14ac:dyDescent="0.25">
      <c r="A1" s="647" t="s">
        <v>63</v>
      </c>
      <c r="B1" s="647" t="s">
        <v>64</v>
      </c>
      <c r="C1" s="647" t="s">
        <v>0</v>
      </c>
      <c r="D1" s="485" t="s">
        <v>105</v>
      </c>
      <c r="E1" s="647" t="s">
        <v>104</v>
      </c>
      <c r="F1" s="647" t="s">
        <v>65</v>
      </c>
      <c r="G1" s="464" t="s">
        <v>106</v>
      </c>
      <c r="H1" s="465" t="s">
        <v>107</v>
      </c>
      <c r="I1" s="465" t="s">
        <v>95</v>
      </c>
      <c r="J1" s="464" t="s">
        <v>568</v>
      </c>
      <c r="K1" s="647" t="s">
        <v>569</v>
      </c>
      <c r="L1" s="471" t="s">
        <v>79</v>
      </c>
      <c r="M1" s="472" t="s">
        <v>80</v>
      </c>
      <c r="N1" s="473" t="s">
        <v>81</v>
      </c>
      <c r="O1" s="473" t="s">
        <v>95</v>
      </c>
      <c r="P1" s="471" t="s">
        <v>570</v>
      </c>
      <c r="Q1" s="474" t="s">
        <v>571</v>
      </c>
      <c r="R1" s="469" t="s">
        <v>572</v>
      </c>
    </row>
    <row r="2" spans="1:18" s="480" customFormat="1" ht="31.5" customHeight="1" x14ac:dyDescent="0.25">
      <c r="A2" s="754">
        <v>1</v>
      </c>
      <c r="B2" s="755" t="s">
        <v>669</v>
      </c>
      <c r="C2" s="755" t="s">
        <v>589</v>
      </c>
      <c r="D2" s="754">
        <v>7</v>
      </c>
      <c r="E2" s="658">
        <v>7</v>
      </c>
      <c r="F2" s="479">
        <v>11</v>
      </c>
      <c r="G2" s="676" t="s">
        <v>759</v>
      </c>
      <c r="H2" s="677">
        <v>43298</v>
      </c>
      <c r="I2" s="476">
        <v>2018</v>
      </c>
      <c r="J2" s="529">
        <v>14.83</v>
      </c>
      <c r="K2" s="479">
        <v>1623.41447376</v>
      </c>
      <c r="L2" s="529"/>
      <c r="M2" s="532"/>
      <c r="N2" s="533"/>
      <c r="O2" s="639"/>
      <c r="P2" s="528"/>
      <c r="Q2" s="534"/>
      <c r="R2" s="480" t="s">
        <v>546</v>
      </c>
    </row>
    <row r="3" spans="1:18" s="480" customFormat="1" ht="30" customHeight="1" x14ac:dyDescent="0.25">
      <c r="A3" s="754">
        <v>2</v>
      </c>
      <c r="B3" s="756" t="s">
        <v>670</v>
      </c>
      <c r="C3" s="756" t="s">
        <v>590</v>
      </c>
      <c r="D3" s="754">
        <v>38</v>
      </c>
      <c r="E3" s="658">
        <v>38</v>
      </c>
      <c r="F3" s="479">
        <v>16.16</v>
      </c>
      <c r="G3" s="676" t="s">
        <v>760</v>
      </c>
      <c r="H3" s="677">
        <v>40967</v>
      </c>
      <c r="I3" s="476">
        <v>2012</v>
      </c>
      <c r="J3" s="529">
        <v>29.61</v>
      </c>
      <c r="K3" s="479">
        <v>3241.3555339200002</v>
      </c>
      <c r="L3" s="526"/>
      <c r="M3" s="526"/>
      <c r="N3" s="533"/>
      <c r="O3" s="639"/>
      <c r="P3" s="528"/>
      <c r="Q3" s="534"/>
      <c r="R3" s="480" t="s">
        <v>546</v>
      </c>
    </row>
    <row r="4" spans="1:18" s="480" customFormat="1" ht="30" customHeight="1" x14ac:dyDescent="0.25">
      <c r="A4" s="754">
        <v>3</v>
      </c>
      <c r="B4" s="755" t="s">
        <v>671</v>
      </c>
      <c r="C4" s="755" t="s">
        <v>591</v>
      </c>
      <c r="D4" s="754">
        <v>12</v>
      </c>
      <c r="E4" s="658">
        <v>12</v>
      </c>
      <c r="F4" s="479">
        <v>22</v>
      </c>
      <c r="G4" s="676" t="s">
        <v>761</v>
      </c>
      <c r="H4" s="677">
        <v>43298</v>
      </c>
      <c r="I4" s="476">
        <v>2018</v>
      </c>
      <c r="J4" s="529">
        <v>29.65</v>
      </c>
      <c r="K4" s="479">
        <v>3245.7342647999999</v>
      </c>
      <c r="L4" s="526"/>
      <c r="M4" s="526"/>
      <c r="N4" s="533"/>
      <c r="O4" s="533"/>
      <c r="P4" s="534"/>
      <c r="Q4" s="534"/>
      <c r="R4" s="480" t="s">
        <v>546</v>
      </c>
    </row>
    <row r="5" spans="1:18" s="480" customFormat="1" ht="30" customHeight="1" x14ac:dyDescent="0.25">
      <c r="A5" s="754">
        <v>4</v>
      </c>
      <c r="B5" s="756" t="s">
        <v>672</v>
      </c>
      <c r="C5" s="755" t="s">
        <v>461</v>
      </c>
      <c r="D5" s="754">
        <v>10</v>
      </c>
      <c r="E5" s="658">
        <v>10</v>
      </c>
      <c r="F5" s="479">
        <v>7.93</v>
      </c>
      <c r="G5" s="676" t="s">
        <v>762</v>
      </c>
      <c r="H5" s="677">
        <v>40967</v>
      </c>
      <c r="I5" s="476">
        <v>2012</v>
      </c>
      <c r="J5" s="529">
        <v>14.53</v>
      </c>
      <c r="K5" s="479">
        <v>1590.57399216</v>
      </c>
      <c r="L5" s="526"/>
      <c r="M5" s="526"/>
      <c r="N5" s="533"/>
      <c r="O5" s="533"/>
      <c r="P5" s="535"/>
      <c r="Q5" s="534"/>
      <c r="R5" s="480" t="s">
        <v>546</v>
      </c>
    </row>
    <row r="6" spans="1:18" s="480" customFormat="1" ht="33.75" customHeight="1" x14ac:dyDescent="0.25">
      <c r="A6" s="754">
        <v>5</v>
      </c>
      <c r="B6" s="755" t="s">
        <v>673</v>
      </c>
      <c r="C6" s="755" t="s">
        <v>591</v>
      </c>
      <c r="D6" s="754">
        <v>9</v>
      </c>
      <c r="E6" s="658">
        <v>9</v>
      </c>
      <c r="F6" s="479">
        <v>14</v>
      </c>
      <c r="G6" s="676" t="s">
        <v>763</v>
      </c>
      <c r="H6" s="677">
        <v>43298</v>
      </c>
      <c r="I6" s="476">
        <v>2018</v>
      </c>
      <c r="J6" s="529">
        <v>18.87</v>
      </c>
      <c r="K6" s="479">
        <v>2065.6662926400004</v>
      </c>
      <c r="L6" s="526"/>
      <c r="M6" s="526"/>
      <c r="N6" s="533"/>
      <c r="O6" s="533"/>
      <c r="P6" s="534"/>
      <c r="Q6" s="534"/>
      <c r="R6" s="480" t="s">
        <v>546</v>
      </c>
    </row>
    <row r="7" spans="1:18" s="480" customFormat="1" ht="30" customHeight="1" x14ac:dyDescent="0.25">
      <c r="A7" s="754">
        <v>6</v>
      </c>
      <c r="B7" s="756" t="s">
        <v>674</v>
      </c>
      <c r="C7" s="755" t="s">
        <v>123</v>
      </c>
      <c r="D7" s="754">
        <v>11</v>
      </c>
      <c r="E7" s="658">
        <v>11</v>
      </c>
      <c r="F7" s="479">
        <v>12.02</v>
      </c>
      <c r="G7" s="676" t="s">
        <v>764</v>
      </c>
      <c r="H7" s="677">
        <v>41789</v>
      </c>
      <c r="I7" s="476">
        <v>2014</v>
      </c>
      <c r="J7" s="529">
        <v>19.79</v>
      </c>
      <c r="K7" s="479">
        <v>2166.3771028800002</v>
      </c>
      <c r="L7" s="526"/>
      <c r="M7" s="526"/>
      <c r="N7" s="533"/>
      <c r="O7" s="533"/>
      <c r="P7" s="528"/>
      <c r="Q7" s="534"/>
      <c r="R7" s="480" t="s">
        <v>546</v>
      </c>
    </row>
    <row r="8" spans="1:18" s="480" customFormat="1" ht="21.75" customHeight="1" x14ac:dyDescent="0.25">
      <c r="A8" s="754">
        <v>7</v>
      </c>
      <c r="B8" s="755" t="s">
        <v>675</v>
      </c>
      <c r="C8" s="755" t="s">
        <v>124</v>
      </c>
      <c r="D8" s="754">
        <v>6</v>
      </c>
      <c r="E8" s="658">
        <v>6</v>
      </c>
      <c r="F8" s="479">
        <v>280</v>
      </c>
      <c r="G8" s="676" t="s">
        <v>765</v>
      </c>
      <c r="H8" s="760">
        <v>44760</v>
      </c>
      <c r="I8" s="476">
        <v>2022</v>
      </c>
      <c r="J8" s="529">
        <v>309.29000000000002</v>
      </c>
      <c r="K8" s="479">
        <v>364.9622</v>
      </c>
      <c r="L8" s="526"/>
      <c r="M8" s="526"/>
      <c r="N8" s="533"/>
      <c r="O8" s="533"/>
      <c r="P8" s="534"/>
      <c r="Q8" s="534"/>
      <c r="R8" s="480" t="s">
        <v>754</v>
      </c>
    </row>
    <row r="9" spans="1:18" s="480" customFormat="1" ht="30" customHeight="1" x14ac:dyDescent="0.25">
      <c r="A9" s="754">
        <v>8</v>
      </c>
      <c r="B9" s="756" t="s">
        <v>676</v>
      </c>
      <c r="C9" s="755" t="s">
        <v>124</v>
      </c>
      <c r="D9" s="754">
        <v>16</v>
      </c>
      <c r="E9" s="658">
        <v>16</v>
      </c>
      <c r="F9" s="479">
        <v>57.75</v>
      </c>
      <c r="G9" s="676" t="s">
        <v>766</v>
      </c>
      <c r="H9" s="677">
        <v>40724</v>
      </c>
      <c r="I9" s="476">
        <v>2011</v>
      </c>
      <c r="J9" s="529">
        <v>111.94</v>
      </c>
      <c r="K9" s="479">
        <v>12253.878367680001</v>
      </c>
      <c r="L9" s="526"/>
      <c r="M9" s="526"/>
      <c r="N9" s="533"/>
      <c r="O9" s="533"/>
      <c r="P9" s="535"/>
      <c r="Q9" s="534"/>
      <c r="R9" s="480" t="s">
        <v>546</v>
      </c>
    </row>
    <row r="10" spans="1:18" s="480" customFormat="1" ht="30" customHeight="1" x14ac:dyDescent="0.25">
      <c r="A10" s="754">
        <v>9</v>
      </c>
      <c r="B10" s="755" t="s">
        <v>677</v>
      </c>
      <c r="C10" s="755" t="s">
        <v>124</v>
      </c>
      <c r="D10" s="754">
        <v>17</v>
      </c>
      <c r="E10" s="658">
        <v>17</v>
      </c>
      <c r="F10" s="479">
        <v>6</v>
      </c>
      <c r="G10" s="676" t="s">
        <v>767</v>
      </c>
      <c r="H10" s="677">
        <v>43298</v>
      </c>
      <c r="I10" s="476">
        <v>2018</v>
      </c>
      <c r="J10" s="529">
        <v>8.09</v>
      </c>
      <c r="K10" s="479">
        <v>885.5983204800001</v>
      </c>
      <c r="L10" s="526"/>
      <c r="M10" s="526"/>
      <c r="N10" s="533"/>
      <c r="O10" s="533"/>
      <c r="P10" s="535"/>
      <c r="Q10" s="534"/>
      <c r="R10" s="480" t="s">
        <v>546</v>
      </c>
    </row>
    <row r="11" spans="1:18" s="480" customFormat="1" ht="30" customHeight="1" x14ac:dyDescent="0.25">
      <c r="A11" s="754">
        <v>10</v>
      </c>
      <c r="B11" s="756" t="s">
        <v>678</v>
      </c>
      <c r="C11" s="755" t="s">
        <v>591</v>
      </c>
      <c r="D11" s="754">
        <v>30</v>
      </c>
      <c r="E11" s="658">
        <v>30</v>
      </c>
      <c r="F11" s="479">
        <v>18.809999999999999</v>
      </c>
      <c r="G11" s="676" t="s">
        <v>768</v>
      </c>
      <c r="H11" s="677">
        <v>41891</v>
      </c>
      <c r="I11" s="476">
        <v>2014</v>
      </c>
      <c r="J11" s="529">
        <v>30.96</v>
      </c>
      <c r="K11" s="479">
        <v>3389.1377011200002</v>
      </c>
      <c r="L11" s="526"/>
      <c r="M11" s="526"/>
      <c r="N11" s="533"/>
      <c r="O11" s="533"/>
      <c r="P11" s="535"/>
      <c r="Q11" s="534"/>
      <c r="R11" s="480" t="s">
        <v>546</v>
      </c>
    </row>
    <row r="12" spans="1:18" s="480" customFormat="1" ht="30" customHeight="1" x14ac:dyDescent="0.25">
      <c r="A12" s="754">
        <v>11</v>
      </c>
      <c r="B12" s="755" t="s">
        <v>679</v>
      </c>
      <c r="C12" s="755" t="s">
        <v>462</v>
      </c>
      <c r="D12" s="754">
        <v>4</v>
      </c>
      <c r="E12" s="658">
        <v>4</v>
      </c>
      <c r="F12" s="479">
        <v>46</v>
      </c>
      <c r="G12" s="676" t="s">
        <v>769</v>
      </c>
      <c r="H12" s="677">
        <v>43298</v>
      </c>
      <c r="I12" s="476">
        <v>2018</v>
      </c>
      <c r="J12" s="529">
        <v>62</v>
      </c>
      <c r="K12" s="479">
        <v>6787.0328639999998</v>
      </c>
      <c r="L12" s="526"/>
      <c r="M12" s="526"/>
      <c r="N12" s="533"/>
      <c r="O12" s="533"/>
      <c r="P12" s="535"/>
      <c r="Q12" s="534"/>
      <c r="R12" s="480" t="s">
        <v>546</v>
      </c>
    </row>
    <row r="13" spans="1:18" s="480" customFormat="1" ht="30" customHeight="1" x14ac:dyDescent="0.25">
      <c r="A13" s="754">
        <v>12</v>
      </c>
      <c r="B13" s="756" t="s">
        <v>680</v>
      </c>
      <c r="C13" s="755" t="s">
        <v>591</v>
      </c>
      <c r="D13" s="754">
        <v>12</v>
      </c>
      <c r="E13" s="658">
        <v>12</v>
      </c>
      <c r="F13" s="479">
        <v>12</v>
      </c>
      <c r="G13" s="676" t="s">
        <v>770</v>
      </c>
      <c r="H13" s="677">
        <v>43298</v>
      </c>
      <c r="I13" s="476">
        <v>2018</v>
      </c>
      <c r="J13" s="529">
        <v>16.170000000000002</v>
      </c>
      <c r="K13" s="479">
        <v>1770.1019582400004</v>
      </c>
      <c r="L13" s="526"/>
      <c r="M13" s="526"/>
      <c r="N13" s="533"/>
      <c r="O13" s="533"/>
      <c r="P13" s="535"/>
      <c r="Q13" s="534"/>
      <c r="R13" s="480" t="s">
        <v>546</v>
      </c>
    </row>
    <row r="14" spans="1:18" s="480" customFormat="1" ht="30" customHeight="1" x14ac:dyDescent="0.25">
      <c r="A14" s="754">
        <v>13</v>
      </c>
      <c r="B14" s="755" t="s">
        <v>681</v>
      </c>
      <c r="C14" s="755" t="s">
        <v>591</v>
      </c>
      <c r="D14" s="754">
        <v>4</v>
      </c>
      <c r="E14" s="658">
        <v>4</v>
      </c>
      <c r="F14" s="479">
        <v>12.74</v>
      </c>
      <c r="G14" s="676" t="s">
        <v>771</v>
      </c>
      <c r="H14" s="677">
        <v>43465</v>
      </c>
      <c r="I14" s="476">
        <v>2018</v>
      </c>
      <c r="J14" s="529">
        <v>17.170000000000002</v>
      </c>
      <c r="K14" s="479">
        <v>1879.5702302400002</v>
      </c>
      <c r="L14" s="526"/>
      <c r="M14" s="526"/>
      <c r="N14" s="533"/>
      <c r="O14" s="533"/>
      <c r="P14" s="534"/>
      <c r="Q14" s="534"/>
      <c r="R14" s="480" t="s">
        <v>546</v>
      </c>
    </row>
    <row r="15" spans="1:18" s="480" customFormat="1" ht="30" customHeight="1" x14ac:dyDescent="0.25">
      <c r="A15" s="754">
        <v>14</v>
      </c>
      <c r="B15" s="756" t="s">
        <v>682</v>
      </c>
      <c r="C15" s="755" t="s">
        <v>591</v>
      </c>
      <c r="D15" s="754">
        <v>10</v>
      </c>
      <c r="E15" s="658">
        <v>10</v>
      </c>
      <c r="F15" s="479">
        <v>6</v>
      </c>
      <c r="G15" s="676" t="s">
        <v>772</v>
      </c>
      <c r="H15" s="677">
        <v>43298</v>
      </c>
      <c r="I15" s="476">
        <v>2018</v>
      </c>
      <c r="J15" s="529">
        <v>8.09</v>
      </c>
      <c r="K15" s="479">
        <v>885.5983204800001</v>
      </c>
      <c r="L15" s="526"/>
      <c r="M15" s="526"/>
      <c r="N15" s="533"/>
      <c r="O15" s="533"/>
      <c r="P15" s="535"/>
      <c r="Q15" s="534"/>
      <c r="R15" s="480" t="s">
        <v>546</v>
      </c>
    </row>
    <row r="16" spans="1:18" s="480" customFormat="1" ht="30" customHeight="1" x14ac:dyDescent="0.25">
      <c r="A16" s="754">
        <v>15</v>
      </c>
      <c r="B16" s="755" t="s">
        <v>683</v>
      </c>
      <c r="C16" s="755" t="s">
        <v>591</v>
      </c>
      <c r="D16" s="754">
        <v>20</v>
      </c>
      <c r="E16" s="658">
        <v>20</v>
      </c>
      <c r="F16" s="479">
        <v>6</v>
      </c>
      <c r="G16" s="676" t="s">
        <v>773</v>
      </c>
      <c r="H16" s="677">
        <v>43298</v>
      </c>
      <c r="I16" s="476">
        <v>2018</v>
      </c>
      <c r="J16" s="529">
        <v>8.09</v>
      </c>
      <c r="K16" s="479">
        <v>885.5983204800001</v>
      </c>
      <c r="L16" s="526"/>
      <c r="M16" s="526"/>
      <c r="N16" s="533"/>
      <c r="O16" s="533"/>
      <c r="P16" s="535"/>
      <c r="Q16" s="534"/>
      <c r="R16" s="480" t="s">
        <v>546</v>
      </c>
    </row>
    <row r="17" spans="1:18" s="480" customFormat="1" ht="30" customHeight="1" x14ac:dyDescent="0.25">
      <c r="A17" s="754">
        <v>16</v>
      </c>
      <c r="B17" s="756" t="s">
        <v>684</v>
      </c>
      <c r="C17" s="755" t="s">
        <v>591</v>
      </c>
      <c r="D17" s="754">
        <v>15</v>
      </c>
      <c r="E17" s="658">
        <v>15</v>
      </c>
      <c r="F17" s="479">
        <v>11</v>
      </c>
      <c r="G17" s="676" t="s">
        <v>774</v>
      </c>
      <c r="H17" s="677">
        <v>43298</v>
      </c>
      <c r="I17" s="476">
        <v>2018</v>
      </c>
      <c r="J17" s="529">
        <v>14.83</v>
      </c>
      <c r="K17" s="479">
        <v>1623.41447376</v>
      </c>
      <c r="L17" s="526"/>
      <c r="M17" s="526"/>
      <c r="N17" s="533"/>
      <c r="O17" s="533"/>
      <c r="P17" s="535"/>
      <c r="Q17" s="534"/>
      <c r="R17" s="480" t="s">
        <v>546</v>
      </c>
    </row>
    <row r="18" spans="1:18" s="480" customFormat="1" ht="30" customHeight="1" x14ac:dyDescent="0.25">
      <c r="A18" s="754">
        <v>17</v>
      </c>
      <c r="B18" s="755" t="s">
        <v>685</v>
      </c>
      <c r="C18" s="755" t="s">
        <v>591</v>
      </c>
      <c r="D18" s="754">
        <v>34</v>
      </c>
      <c r="E18" s="658">
        <v>34</v>
      </c>
      <c r="F18" s="479">
        <v>11</v>
      </c>
      <c r="G18" s="676" t="s">
        <v>775</v>
      </c>
      <c r="H18" s="677">
        <v>43298</v>
      </c>
      <c r="I18" s="476">
        <v>2018</v>
      </c>
      <c r="J18" s="529">
        <v>14.83</v>
      </c>
      <c r="K18" s="479">
        <v>1623.41447376</v>
      </c>
      <c r="L18" s="526"/>
      <c r="M18" s="526"/>
      <c r="N18" s="533"/>
      <c r="O18" s="533"/>
      <c r="P18" s="535"/>
      <c r="Q18" s="534"/>
      <c r="R18" s="480" t="s">
        <v>546</v>
      </c>
    </row>
    <row r="19" spans="1:18" s="480" customFormat="1" ht="30" customHeight="1" x14ac:dyDescent="0.25">
      <c r="A19" s="754">
        <v>18</v>
      </c>
      <c r="B19" s="756" t="s">
        <v>686</v>
      </c>
      <c r="C19" s="755" t="s">
        <v>591</v>
      </c>
      <c r="D19" s="754">
        <v>11</v>
      </c>
      <c r="E19" s="658">
        <v>11</v>
      </c>
      <c r="F19" s="479">
        <v>31</v>
      </c>
      <c r="G19" s="676" t="s">
        <v>776</v>
      </c>
      <c r="H19" s="677">
        <v>43298</v>
      </c>
      <c r="I19" s="476">
        <v>2018</v>
      </c>
      <c r="J19" s="529">
        <v>41.78</v>
      </c>
      <c r="K19" s="479">
        <v>4573.5844041600003</v>
      </c>
      <c r="L19" s="526"/>
      <c r="M19" s="526"/>
      <c r="N19" s="533"/>
      <c r="O19" s="533"/>
      <c r="P19" s="535"/>
      <c r="Q19" s="534"/>
      <c r="R19" s="480" t="s">
        <v>546</v>
      </c>
    </row>
    <row r="20" spans="1:18" s="480" customFormat="1" ht="30" customHeight="1" x14ac:dyDescent="0.25">
      <c r="A20" s="754">
        <v>19</v>
      </c>
      <c r="B20" s="755" t="s">
        <v>687</v>
      </c>
      <c r="C20" s="755" t="s">
        <v>125</v>
      </c>
      <c r="D20" s="754">
        <v>13</v>
      </c>
      <c r="E20" s="658">
        <v>13</v>
      </c>
      <c r="F20" s="479">
        <v>931.18</v>
      </c>
      <c r="G20" s="676" t="s">
        <v>777</v>
      </c>
      <c r="H20" s="677">
        <v>40967</v>
      </c>
      <c r="I20" s="476">
        <v>2012</v>
      </c>
      <c r="J20" s="529">
        <v>1706</v>
      </c>
      <c r="K20" s="479">
        <v>186752.87203200001</v>
      </c>
      <c r="L20" s="526"/>
      <c r="M20" s="526"/>
      <c r="N20" s="533"/>
      <c r="O20" s="533"/>
      <c r="P20" s="534"/>
      <c r="Q20" s="534"/>
      <c r="R20" s="480" t="s">
        <v>546</v>
      </c>
    </row>
    <row r="21" spans="1:18" s="480" customFormat="1" ht="31.5" customHeight="1" x14ac:dyDescent="0.25">
      <c r="A21" s="754">
        <v>20</v>
      </c>
      <c r="B21" s="756" t="s">
        <v>688</v>
      </c>
      <c r="C21" s="755" t="s">
        <v>592</v>
      </c>
      <c r="D21" s="754">
        <v>4</v>
      </c>
      <c r="E21" s="658">
        <v>4</v>
      </c>
      <c r="F21" s="479">
        <v>35026.51</v>
      </c>
      <c r="G21" s="676" t="s">
        <v>778</v>
      </c>
      <c r="H21" s="677">
        <v>41789</v>
      </c>
      <c r="I21" s="476">
        <v>2014</v>
      </c>
      <c r="J21" s="529">
        <v>57655.01</v>
      </c>
      <c r="K21" s="479">
        <v>6311394.3168427208</v>
      </c>
      <c r="L21" s="526"/>
      <c r="M21" s="526"/>
      <c r="N21" s="533"/>
      <c r="O21" s="533"/>
      <c r="P21" s="535"/>
      <c r="Q21" s="534"/>
      <c r="R21" s="480" t="s">
        <v>546</v>
      </c>
    </row>
    <row r="22" spans="1:18" s="480" customFormat="1" ht="31.5" customHeight="1" x14ac:dyDescent="0.25">
      <c r="A22" s="754">
        <v>21</v>
      </c>
      <c r="B22" s="755" t="s">
        <v>689</v>
      </c>
      <c r="C22" s="755" t="s">
        <v>593</v>
      </c>
      <c r="D22" s="754">
        <v>9</v>
      </c>
      <c r="E22" s="658">
        <v>9</v>
      </c>
      <c r="F22" s="479">
        <v>425.57</v>
      </c>
      <c r="G22" s="676" t="s">
        <v>779</v>
      </c>
      <c r="H22" s="677">
        <v>40967</v>
      </c>
      <c r="I22" s="476">
        <v>2012</v>
      </c>
      <c r="J22" s="529">
        <v>779.68</v>
      </c>
      <c r="K22" s="479">
        <v>85350.222312960002</v>
      </c>
      <c r="L22" s="526"/>
      <c r="M22" s="526"/>
      <c r="N22" s="533"/>
      <c r="O22" s="533"/>
      <c r="P22" s="535"/>
      <c r="Q22" s="534"/>
      <c r="R22" s="480" t="s">
        <v>546</v>
      </c>
    </row>
    <row r="23" spans="1:18" s="480" customFormat="1" ht="30" customHeight="1" x14ac:dyDescent="0.25">
      <c r="A23" s="754">
        <v>22</v>
      </c>
      <c r="B23" s="756" t="s">
        <v>690</v>
      </c>
      <c r="C23" s="755" t="s">
        <v>594</v>
      </c>
      <c r="D23" s="754">
        <v>9</v>
      </c>
      <c r="E23" s="658">
        <v>9</v>
      </c>
      <c r="F23" s="479">
        <v>128.97</v>
      </c>
      <c r="G23" s="676" t="s">
        <v>780</v>
      </c>
      <c r="H23" s="677">
        <v>39196</v>
      </c>
      <c r="I23" s="476">
        <v>2007</v>
      </c>
      <c r="J23" s="529">
        <v>295.22000000000003</v>
      </c>
      <c r="K23" s="479">
        <v>32317.223259840008</v>
      </c>
      <c r="L23" s="526"/>
      <c r="M23" s="526"/>
      <c r="N23" s="533"/>
      <c r="O23" s="533"/>
      <c r="P23" s="535"/>
      <c r="Q23" s="534"/>
      <c r="R23" s="480" t="s">
        <v>546</v>
      </c>
    </row>
    <row r="24" spans="1:18" s="480" customFormat="1" ht="30" customHeight="1" x14ac:dyDescent="0.25">
      <c r="A24" s="754">
        <v>23</v>
      </c>
      <c r="B24" s="755" t="s">
        <v>691</v>
      </c>
      <c r="C24" s="755" t="s">
        <v>595</v>
      </c>
      <c r="D24" s="754">
        <v>11</v>
      </c>
      <c r="E24" s="658">
        <v>11</v>
      </c>
      <c r="F24" s="479">
        <v>2.17</v>
      </c>
      <c r="G24" s="676" t="s">
        <v>781</v>
      </c>
      <c r="H24" s="760">
        <v>42367</v>
      </c>
      <c r="I24" s="476">
        <v>2015</v>
      </c>
      <c r="J24" s="529">
        <v>3.4</v>
      </c>
      <c r="K24" s="479">
        <v>372.19212479999999</v>
      </c>
      <c r="L24" s="526"/>
      <c r="M24" s="526"/>
      <c r="N24" s="533"/>
      <c r="O24" s="533"/>
      <c r="P24" s="535"/>
      <c r="Q24" s="534"/>
      <c r="R24" s="480" t="s">
        <v>546</v>
      </c>
    </row>
    <row r="25" spans="1:18" s="480" customFormat="1" ht="30" customHeight="1" x14ac:dyDescent="0.25">
      <c r="A25" s="754">
        <v>24</v>
      </c>
      <c r="B25" s="756" t="s">
        <v>692</v>
      </c>
      <c r="C25" s="755" t="s">
        <v>123</v>
      </c>
      <c r="D25" s="754">
        <v>46</v>
      </c>
      <c r="E25" s="658">
        <v>46</v>
      </c>
      <c r="F25" s="479">
        <v>10</v>
      </c>
      <c r="G25" s="676" t="s">
        <v>782</v>
      </c>
      <c r="H25" s="677">
        <v>42387</v>
      </c>
      <c r="I25" s="476">
        <v>2016</v>
      </c>
      <c r="J25" s="529">
        <v>14.89</v>
      </c>
      <c r="K25" s="479">
        <v>1629.9825700800002</v>
      </c>
      <c r="L25" s="526"/>
      <c r="M25" s="526"/>
      <c r="N25" s="533"/>
      <c r="O25" s="533"/>
      <c r="P25" s="534"/>
      <c r="Q25" s="534"/>
      <c r="R25" s="480" t="s">
        <v>546</v>
      </c>
    </row>
    <row r="26" spans="1:18" s="480" customFormat="1" ht="30" customHeight="1" x14ac:dyDescent="0.25">
      <c r="A26" s="754">
        <v>25</v>
      </c>
      <c r="B26" s="755" t="s">
        <v>693</v>
      </c>
      <c r="C26" s="755" t="s">
        <v>123</v>
      </c>
      <c r="D26" s="754">
        <v>20</v>
      </c>
      <c r="E26" s="658">
        <v>20</v>
      </c>
      <c r="F26" s="479">
        <v>10</v>
      </c>
      <c r="G26" s="676" t="s">
        <v>783</v>
      </c>
      <c r="H26" s="677">
        <v>42387</v>
      </c>
      <c r="I26" s="476">
        <v>2016</v>
      </c>
      <c r="J26" s="529">
        <v>14.89</v>
      </c>
      <c r="K26" s="479">
        <v>1629.9825700800002</v>
      </c>
      <c r="L26" s="526"/>
      <c r="M26" s="526"/>
      <c r="N26" s="533"/>
      <c r="O26" s="533"/>
      <c r="P26" s="534"/>
      <c r="Q26" s="534"/>
      <c r="R26" s="480" t="s">
        <v>546</v>
      </c>
    </row>
    <row r="27" spans="1:18" s="480" customFormat="1" ht="30" customHeight="1" x14ac:dyDescent="0.25">
      <c r="A27" s="754">
        <v>26</v>
      </c>
      <c r="B27" s="756" t="s">
        <v>694</v>
      </c>
      <c r="C27" s="755" t="s">
        <v>596</v>
      </c>
      <c r="D27" s="754">
        <v>5</v>
      </c>
      <c r="E27" s="658">
        <v>5</v>
      </c>
      <c r="F27" s="479">
        <v>2394.14</v>
      </c>
      <c r="G27" s="676" t="s">
        <v>784</v>
      </c>
      <c r="H27" s="677">
        <v>40967</v>
      </c>
      <c r="I27" s="476">
        <v>2012</v>
      </c>
      <c r="J27" s="529">
        <v>4386.26</v>
      </c>
      <c r="K27" s="479">
        <v>480156.30274272006</v>
      </c>
      <c r="L27" s="526"/>
      <c r="M27" s="526"/>
      <c r="N27" s="533"/>
      <c r="O27" s="533"/>
      <c r="P27" s="534"/>
      <c r="Q27" s="534"/>
      <c r="R27" s="480" t="s">
        <v>546</v>
      </c>
    </row>
    <row r="28" spans="1:18" s="480" customFormat="1" ht="30" customHeight="1" x14ac:dyDescent="0.25">
      <c r="A28" s="754">
        <v>27</v>
      </c>
      <c r="B28" s="755" t="s">
        <v>695</v>
      </c>
      <c r="C28" s="755" t="s">
        <v>597</v>
      </c>
      <c r="D28" s="754">
        <v>121</v>
      </c>
      <c r="E28" s="658">
        <v>121</v>
      </c>
      <c r="F28" s="479">
        <v>7.03</v>
      </c>
      <c r="G28" s="676" t="s">
        <v>785</v>
      </c>
      <c r="H28" s="677">
        <v>41789</v>
      </c>
      <c r="I28" s="476">
        <v>2014</v>
      </c>
      <c r="J28" s="529">
        <v>11.57</v>
      </c>
      <c r="K28" s="479">
        <v>1266.5479070400002</v>
      </c>
      <c r="L28" s="526"/>
      <c r="M28" s="526"/>
      <c r="N28" s="533"/>
      <c r="O28" s="533"/>
      <c r="P28" s="534"/>
      <c r="Q28" s="534"/>
      <c r="R28" s="480" t="s">
        <v>546</v>
      </c>
    </row>
    <row r="29" spans="1:18" s="480" customFormat="1" ht="30" customHeight="1" x14ac:dyDescent="0.25">
      <c r="A29" s="754">
        <v>28</v>
      </c>
      <c r="B29" s="756" t="s">
        <v>696</v>
      </c>
      <c r="C29" s="755" t="s">
        <v>598</v>
      </c>
      <c r="D29" s="754">
        <v>15</v>
      </c>
      <c r="E29" s="658">
        <v>15</v>
      </c>
      <c r="F29" s="479">
        <v>29.97</v>
      </c>
      <c r="G29" s="676" t="s">
        <v>786</v>
      </c>
      <c r="H29" s="760" t="s">
        <v>755</v>
      </c>
      <c r="I29" s="476">
        <v>2015</v>
      </c>
      <c r="J29" s="529">
        <v>46.89</v>
      </c>
      <c r="K29" s="479">
        <v>5132.9672740800006</v>
      </c>
      <c r="L29" s="526"/>
      <c r="M29" s="526"/>
      <c r="N29" s="533"/>
      <c r="O29" s="533"/>
      <c r="P29" s="535"/>
      <c r="Q29" s="534"/>
      <c r="R29" s="480" t="s">
        <v>546</v>
      </c>
    </row>
    <row r="30" spans="1:18" s="480" customFormat="1" ht="30" customHeight="1" x14ac:dyDescent="0.25">
      <c r="A30" s="754">
        <v>29</v>
      </c>
      <c r="B30" s="755" t="s">
        <v>697</v>
      </c>
      <c r="C30" s="755" t="s">
        <v>465</v>
      </c>
      <c r="D30" s="754">
        <v>3</v>
      </c>
      <c r="E30" s="658">
        <v>3</v>
      </c>
      <c r="F30" s="479">
        <v>822.53</v>
      </c>
      <c r="G30" s="676" t="s">
        <v>787</v>
      </c>
      <c r="H30" s="677">
        <v>40967</v>
      </c>
      <c r="I30" s="476">
        <v>2012</v>
      </c>
      <c r="J30" s="529">
        <v>1506.94</v>
      </c>
      <c r="K30" s="479">
        <v>164962.11780768001</v>
      </c>
      <c r="L30" s="530"/>
      <c r="M30" s="536"/>
      <c r="N30" s="533"/>
      <c r="O30" s="639"/>
      <c r="P30" s="534"/>
      <c r="Q30" s="534"/>
      <c r="R30" s="480" t="s">
        <v>546</v>
      </c>
    </row>
    <row r="31" spans="1:18" s="480" customFormat="1" ht="31.5" customHeight="1" x14ac:dyDescent="0.25">
      <c r="A31" s="754">
        <v>30</v>
      </c>
      <c r="B31" s="756" t="s">
        <v>698</v>
      </c>
      <c r="C31" s="755" t="s">
        <v>599</v>
      </c>
      <c r="D31" s="754">
        <v>4</v>
      </c>
      <c r="E31" s="658">
        <v>4</v>
      </c>
      <c r="F31" s="479">
        <v>35494.03</v>
      </c>
      <c r="G31" s="676" t="s">
        <v>788</v>
      </c>
      <c r="H31" s="677">
        <v>40967</v>
      </c>
      <c r="I31" s="476">
        <v>2012</v>
      </c>
      <c r="J31" s="529">
        <v>65027.94</v>
      </c>
      <c r="K31" s="479">
        <v>7118496.2235196801</v>
      </c>
      <c r="L31" s="526"/>
      <c r="M31" s="526"/>
      <c r="N31" s="533"/>
      <c r="O31" s="533"/>
      <c r="P31" s="534"/>
      <c r="Q31" s="534"/>
      <c r="R31" s="480" t="s">
        <v>546</v>
      </c>
    </row>
    <row r="32" spans="1:18" s="480" customFormat="1" ht="30" customHeight="1" x14ac:dyDescent="0.25">
      <c r="A32" s="754">
        <v>31</v>
      </c>
      <c r="B32" s="755" t="s">
        <v>699</v>
      </c>
      <c r="C32" s="755" t="s">
        <v>127</v>
      </c>
      <c r="D32" s="754">
        <v>10</v>
      </c>
      <c r="E32" s="658">
        <v>10</v>
      </c>
      <c r="F32" s="479">
        <v>7.34</v>
      </c>
      <c r="G32" s="676" t="s">
        <v>789</v>
      </c>
      <c r="H32" s="677">
        <v>40967</v>
      </c>
      <c r="I32" s="476">
        <v>2012</v>
      </c>
      <c r="J32" s="529">
        <v>13.45</v>
      </c>
      <c r="K32" s="479">
        <v>1472.3482583999998</v>
      </c>
      <c r="L32" s="526"/>
      <c r="M32" s="526"/>
      <c r="N32" s="533"/>
      <c r="O32" s="533"/>
      <c r="P32" s="534"/>
      <c r="Q32" s="534"/>
      <c r="R32" s="480" t="s">
        <v>546</v>
      </c>
    </row>
    <row r="33" spans="1:18" s="480" customFormat="1" ht="30" customHeight="1" x14ac:dyDescent="0.25">
      <c r="A33" s="754">
        <v>32</v>
      </c>
      <c r="B33" s="756" t="s">
        <v>700</v>
      </c>
      <c r="C33" s="755" t="s">
        <v>127</v>
      </c>
      <c r="D33" s="754">
        <v>20</v>
      </c>
      <c r="E33" s="658">
        <v>20</v>
      </c>
      <c r="F33" s="479">
        <v>4.26</v>
      </c>
      <c r="G33" s="676" t="s">
        <v>790</v>
      </c>
      <c r="H33" s="677">
        <v>40966</v>
      </c>
      <c r="I33" s="476">
        <v>2012</v>
      </c>
      <c r="J33" s="529">
        <v>7.8</v>
      </c>
      <c r="K33" s="479">
        <v>853.85252159999993</v>
      </c>
      <c r="L33" s="526"/>
      <c r="M33" s="526"/>
      <c r="N33" s="533"/>
      <c r="O33" s="533"/>
      <c r="P33" s="534"/>
      <c r="Q33" s="534"/>
      <c r="R33" s="480" t="s">
        <v>546</v>
      </c>
    </row>
    <row r="34" spans="1:18" s="480" customFormat="1" ht="15.75" customHeight="1" x14ac:dyDescent="0.25">
      <c r="A34" s="754">
        <v>33</v>
      </c>
      <c r="B34" s="755" t="s">
        <v>701</v>
      </c>
      <c r="C34" s="755" t="s">
        <v>127</v>
      </c>
      <c r="D34" s="754">
        <v>110</v>
      </c>
      <c r="E34" s="658">
        <v>110</v>
      </c>
      <c r="F34" s="479">
        <v>6.65</v>
      </c>
      <c r="G34" s="676" t="s">
        <v>791</v>
      </c>
      <c r="H34" s="760" t="s">
        <v>756</v>
      </c>
      <c r="I34" s="476">
        <v>2017</v>
      </c>
      <c r="J34" s="529">
        <v>9.42</v>
      </c>
      <c r="K34" s="479">
        <v>1031.1911222399999</v>
      </c>
      <c r="L34" s="526"/>
      <c r="M34" s="526"/>
      <c r="N34" s="533"/>
      <c r="O34" s="533"/>
      <c r="P34" s="535"/>
      <c r="Q34" s="534"/>
      <c r="R34" s="480" t="s">
        <v>546</v>
      </c>
    </row>
    <row r="35" spans="1:18" s="480" customFormat="1" ht="30" customHeight="1" x14ac:dyDescent="0.25">
      <c r="A35" s="754">
        <v>34</v>
      </c>
      <c r="B35" s="756" t="s">
        <v>702</v>
      </c>
      <c r="C35" s="755" t="s">
        <v>127</v>
      </c>
      <c r="D35" s="754">
        <v>131</v>
      </c>
      <c r="E35" s="658">
        <v>131</v>
      </c>
      <c r="F35" s="479">
        <v>12.63</v>
      </c>
      <c r="G35" s="676" t="s">
        <v>792</v>
      </c>
      <c r="H35" s="760" t="s">
        <v>757</v>
      </c>
      <c r="I35" s="476">
        <v>2018</v>
      </c>
      <c r="J35" s="529">
        <v>17.02</v>
      </c>
      <c r="K35" s="479">
        <v>1863.1499894400001</v>
      </c>
      <c r="L35" s="526"/>
      <c r="M35" s="526"/>
      <c r="N35" s="533"/>
      <c r="O35" s="533"/>
      <c r="P35" s="534"/>
      <c r="Q35" s="534"/>
      <c r="R35" s="480" t="s">
        <v>546</v>
      </c>
    </row>
    <row r="36" spans="1:18" s="480" customFormat="1" ht="30" customHeight="1" x14ac:dyDescent="0.25">
      <c r="A36" s="754">
        <v>35</v>
      </c>
      <c r="B36" s="755" t="s">
        <v>703</v>
      </c>
      <c r="C36" s="755" t="s">
        <v>127</v>
      </c>
      <c r="D36" s="754">
        <v>10</v>
      </c>
      <c r="E36" s="658">
        <v>10</v>
      </c>
      <c r="F36" s="479">
        <v>92.28</v>
      </c>
      <c r="G36" s="676" t="s">
        <v>793</v>
      </c>
      <c r="H36" s="760" t="s">
        <v>755</v>
      </c>
      <c r="I36" s="476">
        <v>2015</v>
      </c>
      <c r="J36" s="529">
        <v>144.38999999999999</v>
      </c>
      <c r="K36" s="479">
        <v>15806.123794079998</v>
      </c>
      <c r="L36" s="526"/>
      <c r="M36" s="526"/>
      <c r="N36" s="533"/>
      <c r="O36" s="639"/>
      <c r="P36" s="528"/>
      <c r="Q36" s="534"/>
      <c r="R36" s="480" t="s">
        <v>546</v>
      </c>
    </row>
    <row r="37" spans="1:18" s="480" customFormat="1" ht="30" customHeight="1" x14ac:dyDescent="0.25">
      <c r="A37" s="754">
        <v>36</v>
      </c>
      <c r="B37" s="756" t="s">
        <v>704</v>
      </c>
      <c r="C37" s="755" t="s">
        <v>127</v>
      </c>
      <c r="D37" s="754">
        <v>28</v>
      </c>
      <c r="E37" s="658">
        <v>28</v>
      </c>
      <c r="F37" s="479">
        <v>74.91</v>
      </c>
      <c r="G37" s="676" t="s">
        <v>794</v>
      </c>
      <c r="H37" s="677">
        <v>40967</v>
      </c>
      <c r="I37" s="476">
        <v>2012</v>
      </c>
      <c r="J37" s="529">
        <v>137.24</v>
      </c>
      <c r="K37" s="479">
        <v>15023.425649280003</v>
      </c>
      <c r="L37" s="526"/>
      <c r="M37" s="526"/>
      <c r="N37" s="533"/>
      <c r="O37" s="533"/>
      <c r="P37" s="535"/>
      <c r="Q37" s="534"/>
      <c r="R37" s="480" t="s">
        <v>546</v>
      </c>
    </row>
    <row r="38" spans="1:18" s="480" customFormat="1" ht="30" customHeight="1" x14ac:dyDescent="0.25">
      <c r="A38" s="754">
        <v>37</v>
      </c>
      <c r="B38" s="755" t="s">
        <v>705</v>
      </c>
      <c r="C38" s="755" t="s">
        <v>600</v>
      </c>
      <c r="D38" s="754">
        <v>5</v>
      </c>
      <c r="E38" s="658">
        <v>5</v>
      </c>
      <c r="F38" s="479">
        <v>9217.0499999999993</v>
      </c>
      <c r="G38" s="676" t="s">
        <v>795</v>
      </c>
      <c r="H38" s="677">
        <v>40967</v>
      </c>
      <c r="I38" s="476">
        <v>2012</v>
      </c>
      <c r="J38" s="529">
        <v>16886.38</v>
      </c>
      <c r="K38" s="479">
        <v>1848522.8389353601</v>
      </c>
      <c r="L38" s="526"/>
      <c r="M38" s="526"/>
      <c r="N38" s="533"/>
      <c r="O38" s="533"/>
      <c r="P38" s="535"/>
      <c r="Q38" s="534"/>
      <c r="R38" s="480" t="s">
        <v>546</v>
      </c>
    </row>
    <row r="39" spans="1:18" s="480" customFormat="1" ht="30" customHeight="1" x14ac:dyDescent="0.25">
      <c r="A39" s="754">
        <v>38</v>
      </c>
      <c r="B39" s="756" t="s">
        <v>706</v>
      </c>
      <c r="C39" s="755" t="s">
        <v>129</v>
      </c>
      <c r="D39" s="754">
        <v>12</v>
      </c>
      <c r="E39" s="658">
        <v>12</v>
      </c>
      <c r="F39" s="479">
        <v>1891.45</v>
      </c>
      <c r="G39" s="676" t="s">
        <v>796</v>
      </c>
      <c r="H39" s="677">
        <v>40967</v>
      </c>
      <c r="I39" s="476">
        <v>2012</v>
      </c>
      <c r="J39" s="529">
        <v>3465.29</v>
      </c>
      <c r="K39" s="479">
        <v>379339.30827888002</v>
      </c>
      <c r="L39" s="526"/>
      <c r="M39" s="526"/>
      <c r="N39" s="533"/>
      <c r="O39" s="533"/>
      <c r="P39" s="535"/>
      <c r="Q39" s="534"/>
      <c r="R39" s="480" t="s">
        <v>546</v>
      </c>
    </row>
    <row r="40" spans="1:18" s="480" customFormat="1" ht="30" customHeight="1" x14ac:dyDescent="0.25">
      <c r="A40" s="754">
        <v>39</v>
      </c>
      <c r="B40" s="755" t="s">
        <v>707</v>
      </c>
      <c r="C40" s="755" t="s">
        <v>601</v>
      </c>
      <c r="D40" s="754">
        <v>4</v>
      </c>
      <c r="E40" s="658">
        <v>4</v>
      </c>
      <c r="F40" s="479">
        <v>96734.05</v>
      </c>
      <c r="G40" s="676" t="s">
        <v>797</v>
      </c>
      <c r="H40" s="677">
        <v>41789</v>
      </c>
      <c r="I40" s="476">
        <v>2014</v>
      </c>
      <c r="J40" s="529">
        <v>159228.04</v>
      </c>
      <c r="K40" s="479">
        <v>17430418.392746881</v>
      </c>
      <c r="L40" s="526"/>
      <c r="M40" s="526"/>
      <c r="N40" s="533"/>
      <c r="O40" s="533"/>
      <c r="P40" s="535"/>
      <c r="Q40" s="534"/>
      <c r="R40" s="480" t="s">
        <v>546</v>
      </c>
    </row>
    <row r="41" spans="1:18" s="480" customFormat="1" ht="31.5" customHeight="1" x14ac:dyDescent="0.25">
      <c r="A41" s="754">
        <v>40</v>
      </c>
      <c r="B41" s="756" t="s">
        <v>708</v>
      </c>
      <c r="C41" s="755" t="s">
        <v>602</v>
      </c>
      <c r="D41" s="754">
        <v>5</v>
      </c>
      <c r="E41" s="658">
        <v>5</v>
      </c>
      <c r="F41" s="479">
        <v>16818.439999999999</v>
      </c>
      <c r="G41" s="676" t="s">
        <v>798</v>
      </c>
      <c r="H41" s="677">
        <v>41789</v>
      </c>
      <c r="I41" s="476">
        <v>2014</v>
      </c>
      <c r="J41" s="529">
        <v>27683.81</v>
      </c>
      <c r="K41" s="479">
        <v>3030498.8430763199</v>
      </c>
      <c r="L41" s="526"/>
      <c r="M41" s="526"/>
      <c r="N41" s="533"/>
      <c r="O41" s="533"/>
      <c r="P41" s="535"/>
      <c r="Q41" s="534"/>
      <c r="R41" s="480" t="s">
        <v>546</v>
      </c>
    </row>
    <row r="42" spans="1:18" s="480" customFormat="1" ht="30" customHeight="1" x14ac:dyDescent="0.25">
      <c r="A42" s="754">
        <v>41</v>
      </c>
      <c r="B42" s="755" t="s">
        <v>709</v>
      </c>
      <c r="C42" s="755" t="s">
        <v>464</v>
      </c>
      <c r="D42" s="754">
        <v>20</v>
      </c>
      <c r="E42" s="658">
        <v>20</v>
      </c>
      <c r="F42" s="479">
        <v>80.290000000000006</v>
      </c>
      <c r="G42" s="676" t="s">
        <v>799</v>
      </c>
      <c r="H42" s="677">
        <v>40967</v>
      </c>
      <c r="I42" s="476">
        <v>2012</v>
      </c>
      <c r="J42" s="529">
        <v>147.1</v>
      </c>
      <c r="K42" s="479">
        <v>16102.782811199999</v>
      </c>
      <c r="L42" s="526"/>
      <c r="M42" s="526"/>
      <c r="N42" s="533"/>
      <c r="O42" s="533"/>
      <c r="P42" s="535"/>
      <c r="Q42" s="534"/>
      <c r="R42" s="480" t="s">
        <v>546</v>
      </c>
    </row>
    <row r="43" spans="1:18" s="480" customFormat="1" ht="30" customHeight="1" x14ac:dyDescent="0.25">
      <c r="A43" s="754">
        <v>42</v>
      </c>
      <c r="B43" s="756" t="s">
        <v>710</v>
      </c>
      <c r="C43" s="755" t="s">
        <v>126</v>
      </c>
      <c r="D43" s="754">
        <v>8</v>
      </c>
      <c r="E43" s="658">
        <v>8</v>
      </c>
      <c r="F43" s="479">
        <v>147.61000000000001</v>
      </c>
      <c r="G43" s="676" t="s">
        <v>800</v>
      </c>
      <c r="H43" s="677">
        <v>40967</v>
      </c>
      <c r="I43" s="476">
        <v>2012</v>
      </c>
      <c r="J43" s="529">
        <v>270.43</v>
      </c>
      <c r="K43" s="479">
        <v>29603.504796960002</v>
      </c>
      <c r="L43" s="526"/>
      <c r="M43" s="526"/>
      <c r="N43" s="533"/>
      <c r="O43" s="533"/>
      <c r="P43" s="535"/>
      <c r="Q43" s="534"/>
      <c r="R43" s="480" t="s">
        <v>546</v>
      </c>
    </row>
    <row r="44" spans="1:18" s="480" customFormat="1" ht="30" customHeight="1" x14ac:dyDescent="0.25">
      <c r="A44" s="754">
        <v>43</v>
      </c>
      <c r="B44" s="755" t="s">
        <v>711</v>
      </c>
      <c r="C44" s="755" t="s">
        <v>126</v>
      </c>
      <c r="D44" s="754">
        <v>8</v>
      </c>
      <c r="E44" s="658">
        <v>8</v>
      </c>
      <c r="F44" s="479">
        <v>240.88</v>
      </c>
      <c r="G44" s="676" t="s">
        <v>801</v>
      </c>
      <c r="H44" s="677">
        <v>40967</v>
      </c>
      <c r="I44" s="476">
        <v>2012</v>
      </c>
      <c r="J44" s="529">
        <v>441.31</v>
      </c>
      <c r="K44" s="479">
        <v>48309.443116319999</v>
      </c>
      <c r="L44" s="526"/>
      <c r="M44" s="526"/>
      <c r="N44" s="533"/>
      <c r="O44" s="533"/>
      <c r="P44" s="534"/>
      <c r="Q44" s="534"/>
      <c r="R44" s="480" t="s">
        <v>546</v>
      </c>
    </row>
    <row r="45" spans="1:18" s="480" customFormat="1" ht="31.5" customHeight="1" x14ac:dyDescent="0.25">
      <c r="A45" s="754">
        <v>44</v>
      </c>
      <c r="B45" s="756" t="s">
        <v>712</v>
      </c>
      <c r="C45" s="755" t="s">
        <v>603</v>
      </c>
      <c r="D45" s="754">
        <v>5</v>
      </c>
      <c r="E45" s="658">
        <v>5</v>
      </c>
      <c r="F45" s="479">
        <v>217.1</v>
      </c>
      <c r="G45" s="676" t="s">
        <v>802</v>
      </c>
      <c r="H45" s="677">
        <v>41789</v>
      </c>
      <c r="I45" s="476">
        <v>2014</v>
      </c>
      <c r="J45" s="529">
        <v>357.36</v>
      </c>
      <c r="K45" s="479">
        <v>39119.581681920004</v>
      </c>
      <c r="L45" s="526"/>
      <c r="M45" s="526"/>
      <c r="N45" s="533"/>
      <c r="O45" s="533"/>
      <c r="P45" s="535"/>
      <c r="Q45" s="534"/>
      <c r="R45" s="480" t="s">
        <v>546</v>
      </c>
    </row>
    <row r="46" spans="1:18" s="480" customFormat="1" ht="30" customHeight="1" x14ac:dyDescent="0.25">
      <c r="A46" s="754">
        <v>45</v>
      </c>
      <c r="B46" s="755" t="s">
        <v>713</v>
      </c>
      <c r="C46" s="755" t="s">
        <v>604</v>
      </c>
      <c r="D46" s="754">
        <v>10</v>
      </c>
      <c r="E46" s="658">
        <v>10</v>
      </c>
      <c r="F46" s="479">
        <v>13.93</v>
      </c>
      <c r="G46" s="676" t="s">
        <v>803</v>
      </c>
      <c r="H46" s="760" t="s">
        <v>755</v>
      </c>
      <c r="I46" s="476">
        <v>2015</v>
      </c>
      <c r="J46" s="529">
        <v>21.8</v>
      </c>
      <c r="K46" s="479">
        <v>2386.4083296000003</v>
      </c>
      <c r="L46" s="526"/>
      <c r="M46" s="526"/>
      <c r="N46" s="533"/>
      <c r="O46" s="533"/>
      <c r="P46" s="535"/>
      <c r="Q46" s="534"/>
      <c r="R46" s="480" t="s">
        <v>546</v>
      </c>
    </row>
    <row r="47" spans="1:18" s="480" customFormat="1" ht="30" customHeight="1" x14ac:dyDescent="0.25">
      <c r="A47" s="754">
        <v>46</v>
      </c>
      <c r="B47" s="756" t="s">
        <v>714</v>
      </c>
      <c r="C47" s="755" t="s">
        <v>466</v>
      </c>
      <c r="D47" s="754">
        <v>10</v>
      </c>
      <c r="E47" s="658">
        <v>10</v>
      </c>
      <c r="F47" s="479">
        <v>179.59</v>
      </c>
      <c r="G47" s="676" t="s">
        <v>804</v>
      </c>
      <c r="H47" s="677">
        <v>40967</v>
      </c>
      <c r="I47" s="476">
        <v>2012</v>
      </c>
      <c r="J47" s="529">
        <v>329.02</v>
      </c>
      <c r="K47" s="479">
        <v>36017.250853439997</v>
      </c>
      <c r="L47" s="526"/>
      <c r="M47" s="526"/>
      <c r="N47" s="533"/>
      <c r="O47" s="533"/>
      <c r="P47" s="535"/>
      <c r="Q47" s="534"/>
      <c r="R47" s="480" t="s">
        <v>546</v>
      </c>
    </row>
    <row r="48" spans="1:18" s="480" customFormat="1" ht="30" customHeight="1" x14ac:dyDescent="0.25">
      <c r="A48" s="754">
        <v>47</v>
      </c>
      <c r="B48" s="755" t="s">
        <v>715</v>
      </c>
      <c r="C48" s="755" t="s">
        <v>466</v>
      </c>
      <c r="D48" s="754">
        <v>9</v>
      </c>
      <c r="E48" s="658">
        <v>9</v>
      </c>
      <c r="F48" s="479">
        <v>179.59</v>
      </c>
      <c r="G48" s="676" t="s">
        <v>805</v>
      </c>
      <c r="H48" s="677">
        <v>40967</v>
      </c>
      <c r="I48" s="476">
        <v>2012</v>
      </c>
      <c r="J48" s="529">
        <v>329.02</v>
      </c>
      <c r="K48" s="479">
        <v>36017.250853439997</v>
      </c>
      <c r="L48" s="526"/>
      <c r="M48" s="526"/>
      <c r="N48" s="533"/>
      <c r="O48" s="533"/>
      <c r="P48" s="535"/>
      <c r="Q48" s="534"/>
      <c r="R48" s="480" t="s">
        <v>546</v>
      </c>
    </row>
    <row r="49" spans="1:18" s="480" customFormat="1" ht="30" customHeight="1" x14ac:dyDescent="0.25">
      <c r="A49" s="754">
        <v>48</v>
      </c>
      <c r="B49" s="756" t="s">
        <v>716</v>
      </c>
      <c r="C49" s="755" t="s">
        <v>605</v>
      </c>
      <c r="D49" s="754">
        <v>14</v>
      </c>
      <c r="E49" s="658">
        <v>14</v>
      </c>
      <c r="F49" s="479">
        <v>3.91</v>
      </c>
      <c r="G49" s="676" t="s">
        <v>806</v>
      </c>
      <c r="H49" s="677">
        <v>39386</v>
      </c>
      <c r="I49" s="476">
        <v>2007</v>
      </c>
      <c r="J49" s="529">
        <v>8.9499999999999993</v>
      </c>
      <c r="K49" s="479">
        <v>979.74103439999988</v>
      </c>
      <c r="L49" s="526"/>
      <c r="M49" s="526"/>
      <c r="N49" s="533"/>
      <c r="O49" s="533"/>
      <c r="P49" s="535"/>
      <c r="Q49" s="534"/>
      <c r="R49" s="480" t="s">
        <v>546</v>
      </c>
    </row>
    <row r="50" spans="1:18" s="480" customFormat="1" ht="30" customHeight="1" x14ac:dyDescent="0.25">
      <c r="A50" s="754">
        <v>49</v>
      </c>
      <c r="B50" s="755" t="s">
        <v>717</v>
      </c>
      <c r="C50" s="755" t="s">
        <v>128</v>
      </c>
      <c r="D50" s="754">
        <v>22</v>
      </c>
      <c r="E50" s="658">
        <v>22</v>
      </c>
      <c r="F50" s="479">
        <v>0.41</v>
      </c>
      <c r="G50" s="676" t="s">
        <v>807</v>
      </c>
      <c r="H50" s="677">
        <v>39386</v>
      </c>
      <c r="I50" s="476">
        <v>2007</v>
      </c>
      <c r="J50" s="529">
        <v>0.94</v>
      </c>
      <c r="K50" s="479">
        <v>102.90017567999999</v>
      </c>
      <c r="L50" s="526"/>
      <c r="M50" s="526"/>
      <c r="N50" s="533"/>
      <c r="O50" s="533"/>
      <c r="P50" s="535"/>
      <c r="Q50" s="534"/>
      <c r="R50" s="480" t="s">
        <v>546</v>
      </c>
    </row>
    <row r="51" spans="1:18" s="480" customFormat="1" ht="30" customHeight="1" x14ac:dyDescent="0.25">
      <c r="A51" s="754">
        <v>50</v>
      </c>
      <c r="B51" s="756" t="s">
        <v>718</v>
      </c>
      <c r="C51" s="755" t="s">
        <v>128</v>
      </c>
      <c r="D51" s="754">
        <v>31</v>
      </c>
      <c r="E51" s="658">
        <v>31</v>
      </c>
      <c r="F51" s="479">
        <v>1.75</v>
      </c>
      <c r="G51" s="676" t="s">
        <v>808</v>
      </c>
      <c r="H51" s="760" t="s">
        <v>755</v>
      </c>
      <c r="I51" s="476">
        <v>2015</v>
      </c>
      <c r="J51" s="529">
        <v>2.74</v>
      </c>
      <c r="K51" s="479">
        <v>299.94306528000004</v>
      </c>
      <c r="L51" s="526"/>
      <c r="M51" s="526"/>
      <c r="N51" s="533"/>
      <c r="O51" s="533"/>
      <c r="P51" s="535"/>
      <c r="Q51" s="534"/>
      <c r="R51" s="480" t="s">
        <v>546</v>
      </c>
    </row>
    <row r="52" spans="1:18" s="480" customFormat="1" ht="30" customHeight="1" x14ac:dyDescent="0.25">
      <c r="A52" s="754">
        <v>51</v>
      </c>
      <c r="B52" s="755" t="s">
        <v>719</v>
      </c>
      <c r="C52" s="755" t="s">
        <v>128</v>
      </c>
      <c r="D52" s="754">
        <v>5</v>
      </c>
      <c r="E52" s="658">
        <v>5</v>
      </c>
      <c r="F52" s="479">
        <v>20.260000000000002</v>
      </c>
      <c r="G52" s="676" t="s">
        <v>809</v>
      </c>
      <c r="H52" s="760" t="s">
        <v>755</v>
      </c>
      <c r="I52" s="476">
        <v>2015</v>
      </c>
      <c r="J52" s="529">
        <v>31.7</v>
      </c>
      <c r="K52" s="479">
        <v>3470.1442223999998</v>
      </c>
      <c r="L52" s="526"/>
      <c r="M52" s="526"/>
      <c r="N52" s="533"/>
      <c r="O52" s="533"/>
      <c r="P52" s="535"/>
      <c r="Q52" s="534"/>
      <c r="R52" s="480" t="s">
        <v>546</v>
      </c>
    </row>
    <row r="53" spans="1:18" s="480" customFormat="1" ht="30" customHeight="1" x14ac:dyDescent="0.25">
      <c r="A53" s="754">
        <v>52</v>
      </c>
      <c r="B53" s="756" t="s">
        <v>720</v>
      </c>
      <c r="C53" s="755" t="s">
        <v>606</v>
      </c>
      <c r="D53" s="754">
        <v>3</v>
      </c>
      <c r="E53" s="658">
        <v>3</v>
      </c>
      <c r="F53" s="479">
        <v>19948</v>
      </c>
      <c r="G53" s="676" t="s">
        <v>810</v>
      </c>
      <c r="H53" s="677">
        <v>41789</v>
      </c>
      <c r="I53" s="476">
        <v>2014</v>
      </c>
      <c r="J53" s="529">
        <v>32835.19</v>
      </c>
      <c r="K53" s="479">
        <v>3594411.5100916806</v>
      </c>
      <c r="L53" s="526"/>
      <c r="M53" s="526"/>
      <c r="N53" s="533"/>
      <c r="O53" s="533"/>
      <c r="P53" s="535"/>
      <c r="Q53" s="534"/>
      <c r="R53" s="480" t="s">
        <v>546</v>
      </c>
    </row>
    <row r="54" spans="1:18" s="480" customFormat="1" ht="30" customHeight="1" x14ac:dyDescent="0.25">
      <c r="A54" s="754">
        <v>53</v>
      </c>
      <c r="B54" s="755" t="s">
        <v>721</v>
      </c>
      <c r="C54" s="755" t="s">
        <v>120</v>
      </c>
      <c r="D54" s="754">
        <v>5</v>
      </c>
      <c r="E54" s="658">
        <v>5</v>
      </c>
      <c r="F54" s="479">
        <v>414.87</v>
      </c>
      <c r="G54" s="676" t="s">
        <v>811</v>
      </c>
      <c r="H54" s="760" t="s">
        <v>755</v>
      </c>
      <c r="I54" s="476">
        <v>2015</v>
      </c>
      <c r="J54" s="529">
        <v>649.14</v>
      </c>
      <c r="K54" s="479">
        <v>71060.234086080003</v>
      </c>
      <c r="L54" s="526"/>
      <c r="M54" s="526"/>
      <c r="N54" s="533"/>
      <c r="O54" s="533"/>
      <c r="P54" s="535"/>
      <c r="Q54" s="534"/>
      <c r="R54" s="480" t="s">
        <v>546</v>
      </c>
    </row>
    <row r="55" spans="1:18" s="480" customFormat="1" ht="30" customHeight="1" x14ac:dyDescent="0.25">
      <c r="A55" s="754">
        <v>54</v>
      </c>
      <c r="B55" s="756" t="s">
        <v>722</v>
      </c>
      <c r="C55" s="755" t="s">
        <v>607</v>
      </c>
      <c r="D55" s="754">
        <v>16</v>
      </c>
      <c r="E55" s="658">
        <v>16</v>
      </c>
      <c r="F55" s="479">
        <v>819.87</v>
      </c>
      <c r="G55" s="676" t="s">
        <v>812</v>
      </c>
      <c r="H55" s="760" t="s">
        <v>755</v>
      </c>
      <c r="I55" s="476">
        <v>2015</v>
      </c>
      <c r="J55" s="529">
        <v>1282.83</v>
      </c>
      <c r="K55" s="479">
        <v>140429.18336975999</v>
      </c>
      <c r="L55" s="526"/>
      <c r="M55" s="526"/>
      <c r="N55" s="533"/>
      <c r="O55" s="533"/>
      <c r="P55" s="535"/>
      <c r="Q55" s="534"/>
      <c r="R55" s="480" t="s">
        <v>546</v>
      </c>
    </row>
    <row r="56" spans="1:18" s="480" customFormat="1" ht="30" customHeight="1" x14ac:dyDescent="0.25">
      <c r="A56" s="754">
        <v>55</v>
      </c>
      <c r="B56" s="755" t="s">
        <v>723</v>
      </c>
      <c r="C56" s="755" t="s">
        <v>608</v>
      </c>
      <c r="D56" s="754">
        <v>7</v>
      </c>
      <c r="E56" s="658">
        <v>7</v>
      </c>
      <c r="F56" s="479">
        <v>473.38</v>
      </c>
      <c r="G56" s="676" t="s">
        <v>813</v>
      </c>
      <c r="H56" s="677">
        <v>42944</v>
      </c>
      <c r="I56" s="476">
        <v>2017</v>
      </c>
      <c r="J56" s="529">
        <v>670.55</v>
      </c>
      <c r="K56" s="479">
        <v>73403.949789599996</v>
      </c>
      <c r="L56" s="526"/>
      <c r="M56" s="526"/>
      <c r="N56" s="533"/>
      <c r="O56" s="533"/>
      <c r="P56" s="535"/>
      <c r="Q56" s="534"/>
      <c r="R56" s="480" t="s">
        <v>546</v>
      </c>
    </row>
    <row r="57" spans="1:18" s="480" customFormat="1" ht="30" customHeight="1" x14ac:dyDescent="0.25">
      <c r="A57" s="754">
        <v>56</v>
      </c>
      <c r="B57" s="756" t="s">
        <v>724</v>
      </c>
      <c r="C57" s="755" t="s">
        <v>467</v>
      </c>
      <c r="D57" s="754">
        <v>5</v>
      </c>
      <c r="E57" s="658">
        <v>5</v>
      </c>
      <c r="F57" s="479">
        <v>1468.85</v>
      </c>
      <c r="G57" s="676" t="s">
        <v>814</v>
      </c>
      <c r="H57" s="677">
        <v>41789</v>
      </c>
      <c r="I57" s="476">
        <v>2014</v>
      </c>
      <c r="J57" s="529">
        <v>2417.7800000000002</v>
      </c>
      <c r="K57" s="479">
        <v>264670.19867616001</v>
      </c>
      <c r="L57" s="526"/>
      <c r="M57" s="526"/>
      <c r="N57" s="533"/>
      <c r="O57" s="533"/>
      <c r="P57" s="535"/>
      <c r="Q57" s="534"/>
      <c r="R57" s="480" t="s">
        <v>546</v>
      </c>
    </row>
    <row r="58" spans="1:18" s="480" customFormat="1" ht="30" customHeight="1" x14ac:dyDescent="0.25">
      <c r="A58" s="754">
        <v>57</v>
      </c>
      <c r="B58" s="755" t="s">
        <v>725</v>
      </c>
      <c r="C58" s="755" t="s">
        <v>468</v>
      </c>
      <c r="D58" s="754">
        <v>5</v>
      </c>
      <c r="E58" s="658">
        <v>5</v>
      </c>
      <c r="F58" s="479">
        <v>1468.85</v>
      </c>
      <c r="G58" s="676" t="s">
        <v>815</v>
      </c>
      <c r="H58" s="677">
        <v>41789</v>
      </c>
      <c r="I58" s="476">
        <v>2014</v>
      </c>
      <c r="J58" s="529">
        <v>2417.7800000000002</v>
      </c>
      <c r="K58" s="479">
        <v>264670.19867616001</v>
      </c>
      <c r="L58" s="526"/>
      <c r="M58" s="526"/>
      <c r="N58" s="533"/>
      <c r="O58" s="639"/>
      <c r="P58" s="535"/>
      <c r="Q58" s="534"/>
      <c r="R58" s="480" t="s">
        <v>546</v>
      </c>
    </row>
    <row r="59" spans="1:18" s="480" customFormat="1" ht="30" customHeight="1" x14ac:dyDescent="0.25">
      <c r="A59" s="754">
        <v>58</v>
      </c>
      <c r="B59" s="756" t="s">
        <v>726</v>
      </c>
      <c r="C59" s="755" t="s">
        <v>609</v>
      </c>
      <c r="D59" s="754">
        <v>5</v>
      </c>
      <c r="E59" s="658">
        <v>5</v>
      </c>
      <c r="F59" s="479">
        <v>148.77000000000001</v>
      </c>
      <c r="G59" s="676" t="s">
        <v>816</v>
      </c>
      <c r="H59" s="677">
        <v>42944</v>
      </c>
      <c r="I59" s="476">
        <v>2017</v>
      </c>
      <c r="J59" s="529">
        <v>210.73</v>
      </c>
      <c r="K59" s="479">
        <v>23068.248958560001</v>
      </c>
      <c r="L59" s="526"/>
      <c r="M59" s="526"/>
      <c r="N59" s="533"/>
      <c r="O59" s="639"/>
      <c r="P59" s="528"/>
      <c r="Q59" s="534"/>
      <c r="R59" s="480" t="s">
        <v>546</v>
      </c>
    </row>
    <row r="60" spans="1:18" s="480" customFormat="1" ht="30" customHeight="1" x14ac:dyDescent="0.25">
      <c r="A60" s="754">
        <v>59</v>
      </c>
      <c r="B60" s="755" t="s">
        <v>727</v>
      </c>
      <c r="C60" s="755" t="s">
        <v>610</v>
      </c>
      <c r="D60" s="754">
        <v>10</v>
      </c>
      <c r="E60" s="658">
        <v>10</v>
      </c>
      <c r="F60" s="479">
        <v>1061.47</v>
      </c>
      <c r="G60" s="676" t="s">
        <v>817</v>
      </c>
      <c r="H60" s="677">
        <v>40967</v>
      </c>
      <c r="I60" s="476">
        <v>2012</v>
      </c>
      <c r="J60" s="529">
        <v>1944.7</v>
      </c>
      <c r="K60" s="479">
        <v>212882.94855840001</v>
      </c>
      <c r="L60" s="526"/>
      <c r="M60" s="526"/>
      <c r="N60" s="533"/>
      <c r="O60" s="533"/>
      <c r="P60" s="535"/>
      <c r="Q60" s="534"/>
      <c r="R60" s="480" t="s">
        <v>546</v>
      </c>
    </row>
    <row r="61" spans="1:18" s="480" customFormat="1" ht="30" customHeight="1" x14ac:dyDescent="0.25">
      <c r="A61" s="754">
        <v>60</v>
      </c>
      <c r="B61" s="756" t="s">
        <v>728</v>
      </c>
      <c r="C61" s="755" t="s">
        <v>121</v>
      </c>
      <c r="D61" s="754">
        <v>7</v>
      </c>
      <c r="E61" s="658">
        <v>7</v>
      </c>
      <c r="F61" s="479">
        <v>174.15</v>
      </c>
      <c r="G61" s="676" t="s">
        <v>818</v>
      </c>
      <c r="H61" s="677">
        <v>40967</v>
      </c>
      <c r="I61" s="476">
        <v>2012</v>
      </c>
      <c r="J61" s="529">
        <v>319.06</v>
      </c>
      <c r="K61" s="479">
        <v>34926.946864320002</v>
      </c>
      <c r="L61" s="526"/>
      <c r="M61" s="526"/>
      <c r="N61" s="533"/>
      <c r="O61" s="533"/>
      <c r="P61" s="535"/>
      <c r="Q61" s="534"/>
      <c r="R61" s="480" t="s">
        <v>546</v>
      </c>
    </row>
    <row r="62" spans="1:18" s="480" customFormat="1" ht="30" customHeight="1" x14ac:dyDescent="0.25">
      <c r="A62" s="754">
        <v>61</v>
      </c>
      <c r="B62" s="755" t="s">
        <v>729</v>
      </c>
      <c r="C62" s="755" t="s">
        <v>611</v>
      </c>
      <c r="D62" s="754">
        <v>11</v>
      </c>
      <c r="E62" s="658">
        <v>11</v>
      </c>
      <c r="F62" s="479">
        <v>47224.06</v>
      </c>
      <c r="G62" s="676" t="s">
        <v>819</v>
      </c>
      <c r="H62" s="677">
        <v>41789</v>
      </c>
      <c r="I62" s="476">
        <v>2014</v>
      </c>
      <c r="J62" s="529">
        <v>77732.66</v>
      </c>
      <c r="K62" s="479">
        <v>8509259.9681635201</v>
      </c>
      <c r="L62" s="526"/>
      <c r="M62" s="526"/>
      <c r="N62" s="533"/>
      <c r="O62" s="533"/>
      <c r="P62" s="535"/>
      <c r="Q62" s="534"/>
      <c r="R62" s="480" t="s">
        <v>546</v>
      </c>
    </row>
    <row r="63" spans="1:18" s="480" customFormat="1" ht="31.5" customHeight="1" x14ac:dyDescent="0.25">
      <c r="A63" s="754">
        <v>62</v>
      </c>
      <c r="B63" s="756" t="s">
        <v>730</v>
      </c>
      <c r="C63" s="755" t="s">
        <v>612</v>
      </c>
      <c r="D63" s="754">
        <v>5</v>
      </c>
      <c r="E63" s="658">
        <v>5</v>
      </c>
      <c r="F63" s="479">
        <v>8835.44</v>
      </c>
      <c r="G63" s="676" t="s">
        <v>820</v>
      </c>
      <c r="H63" s="677">
        <v>40967</v>
      </c>
      <c r="I63" s="476">
        <v>2012</v>
      </c>
      <c r="J63" s="529">
        <v>16187.24</v>
      </c>
      <c r="K63" s="479">
        <v>1771989.19124928</v>
      </c>
      <c r="L63" s="526"/>
      <c r="M63" s="526"/>
      <c r="N63" s="533"/>
      <c r="O63" s="533"/>
      <c r="P63" s="534"/>
      <c r="Q63" s="534"/>
      <c r="R63" s="480" t="s">
        <v>546</v>
      </c>
    </row>
    <row r="64" spans="1:18" s="480" customFormat="1" ht="30" customHeight="1" x14ac:dyDescent="0.25">
      <c r="A64" s="754">
        <v>63</v>
      </c>
      <c r="B64" s="755" t="s">
        <v>731</v>
      </c>
      <c r="C64" s="755" t="s">
        <v>130</v>
      </c>
      <c r="D64" s="754">
        <v>4</v>
      </c>
      <c r="E64" s="658">
        <v>4</v>
      </c>
      <c r="F64" s="479">
        <v>16917.419999999998</v>
      </c>
      <c r="G64" s="676" t="s">
        <v>821</v>
      </c>
      <c r="H64" s="677">
        <v>41789</v>
      </c>
      <c r="I64" s="476">
        <v>2014</v>
      </c>
      <c r="J64" s="529">
        <v>27846.74</v>
      </c>
      <c r="K64" s="479">
        <v>3048334.5086332802</v>
      </c>
      <c r="L64" s="531"/>
      <c r="M64" s="537"/>
      <c r="N64" s="533"/>
      <c r="O64" s="639"/>
      <c r="P64" s="534"/>
      <c r="Q64" s="534"/>
      <c r="R64" s="480" t="s">
        <v>546</v>
      </c>
    </row>
    <row r="65" spans="1:18" s="480" customFormat="1" ht="30" customHeight="1" x14ac:dyDescent="0.25">
      <c r="A65" s="754">
        <v>64</v>
      </c>
      <c r="B65" s="756" t="s">
        <v>732</v>
      </c>
      <c r="C65" s="755" t="s">
        <v>613</v>
      </c>
      <c r="D65" s="754">
        <v>4</v>
      </c>
      <c r="E65" s="658">
        <v>4</v>
      </c>
      <c r="F65" s="479">
        <v>16957.400000000001</v>
      </c>
      <c r="G65" s="676" t="s">
        <v>822</v>
      </c>
      <c r="H65" s="677">
        <v>41789</v>
      </c>
      <c r="I65" s="476">
        <v>2014</v>
      </c>
      <c r="J65" s="529">
        <v>27912.55</v>
      </c>
      <c r="K65" s="479">
        <v>3055538.6156136002</v>
      </c>
      <c r="L65" s="526"/>
      <c r="M65" s="526"/>
      <c r="N65" s="533"/>
      <c r="O65" s="533"/>
      <c r="P65" s="534"/>
      <c r="Q65" s="534"/>
      <c r="R65" s="480" t="s">
        <v>546</v>
      </c>
    </row>
    <row r="66" spans="1:18" s="480" customFormat="1" ht="30" customHeight="1" x14ac:dyDescent="0.25">
      <c r="A66" s="754">
        <v>65</v>
      </c>
      <c r="B66" s="755" t="s">
        <v>733</v>
      </c>
      <c r="C66" s="755" t="s">
        <v>614</v>
      </c>
      <c r="D66" s="754">
        <v>4</v>
      </c>
      <c r="E66" s="658">
        <v>4</v>
      </c>
      <c r="F66" s="479">
        <v>16858.41</v>
      </c>
      <c r="G66" s="676" t="s">
        <v>823</v>
      </c>
      <c r="H66" s="677">
        <v>41789</v>
      </c>
      <c r="I66" s="476">
        <v>2014</v>
      </c>
      <c r="J66" s="529">
        <v>27749.599999999999</v>
      </c>
      <c r="K66" s="479">
        <v>3037700.7606911995</v>
      </c>
      <c r="L66" s="526"/>
      <c r="M66" s="526"/>
      <c r="N66" s="533"/>
      <c r="O66" s="533"/>
      <c r="P66" s="534"/>
      <c r="Q66" s="534"/>
      <c r="R66" s="480" t="s">
        <v>546</v>
      </c>
    </row>
    <row r="67" spans="1:18" s="480" customFormat="1" ht="31.5" customHeight="1" x14ac:dyDescent="0.25">
      <c r="A67" s="754">
        <v>66</v>
      </c>
      <c r="B67" s="756" t="s">
        <v>734</v>
      </c>
      <c r="C67" s="755" t="s">
        <v>615</v>
      </c>
      <c r="D67" s="754">
        <v>5</v>
      </c>
      <c r="E67" s="658">
        <v>5</v>
      </c>
      <c r="F67" s="479">
        <v>16782.25</v>
      </c>
      <c r="G67" s="676" t="s">
        <v>824</v>
      </c>
      <c r="H67" s="677">
        <v>41789</v>
      </c>
      <c r="I67" s="476">
        <v>2014</v>
      </c>
      <c r="J67" s="529">
        <v>27624.240000000002</v>
      </c>
      <c r="K67" s="479">
        <v>3023977.8181132805</v>
      </c>
      <c r="L67" s="526"/>
      <c r="M67" s="526"/>
      <c r="N67" s="533"/>
      <c r="O67" s="533"/>
      <c r="P67" s="534"/>
      <c r="Q67" s="534"/>
      <c r="R67" s="480" t="s">
        <v>546</v>
      </c>
    </row>
    <row r="68" spans="1:18" s="480" customFormat="1" ht="30" customHeight="1" x14ac:dyDescent="0.25">
      <c r="A68" s="754">
        <v>67</v>
      </c>
      <c r="B68" s="755" t="s">
        <v>735</v>
      </c>
      <c r="C68" s="755" t="s">
        <v>616</v>
      </c>
      <c r="D68" s="754">
        <v>4</v>
      </c>
      <c r="E68" s="658">
        <v>4</v>
      </c>
      <c r="F68" s="479">
        <v>15175.56</v>
      </c>
      <c r="G68" s="676" t="s">
        <v>825</v>
      </c>
      <c r="H68" s="677">
        <v>40967</v>
      </c>
      <c r="I68" s="476">
        <v>2012</v>
      </c>
      <c r="J68" s="529">
        <v>27802.86</v>
      </c>
      <c r="K68" s="479">
        <v>3043531.04085792</v>
      </c>
      <c r="L68" s="526"/>
      <c r="M68" s="526"/>
      <c r="N68" s="533"/>
      <c r="O68" s="533"/>
      <c r="P68" s="535"/>
      <c r="Q68" s="534"/>
      <c r="R68" s="480" t="s">
        <v>546</v>
      </c>
    </row>
    <row r="69" spans="1:18" s="480" customFormat="1" ht="30" customHeight="1" x14ac:dyDescent="0.25">
      <c r="A69" s="754">
        <v>68</v>
      </c>
      <c r="B69" s="756" t="s">
        <v>736</v>
      </c>
      <c r="C69" s="755" t="s">
        <v>617</v>
      </c>
      <c r="D69" s="754">
        <v>5</v>
      </c>
      <c r="E69" s="658">
        <v>5</v>
      </c>
      <c r="F69" s="479">
        <v>16778.46</v>
      </c>
      <c r="G69" s="676" t="s">
        <v>826</v>
      </c>
      <c r="H69" s="677">
        <v>41789</v>
      </c>
      <c r="I69" s="476">
        <v>2014</v>
      </c>
      <c r="J69" s="529">
        <v>27618</v>
      </c>
      <c r="K69" s="479">
        <v>3023294.7360959998</v>
      </c>
      <c r="L69" s="526"/>
      <c r="M69" s="526"/>
      <c r="N69" s="533"/>
      <c r="O69" s="533"/>
      <c r="P69" s="535"/>
      <c r="Q69" s="534"/>
      <c r="R69" s="480" t="s">
        <v>546</v>
      </c>
    </row>
    <row r="70" spans="1:18" s="480" customFormat="1" ht="31.5" customHeight="1" x14ac:dyDescent="0.25">
      <c r="A70" s="754">
        <v>69</v>
      </c>
      <c r="B70" s="755" t="s">
        <v>737</v>
      </c>
      <c r="C70" s="755" t="s">
        <v>618</v>
      </c>
      <c r="D70" s="754">
        <v>4</v>
      </c>
      <c r="E70" s="658">
        <v>4</v>
      </c>
      <c r="F70" s="479">
        <v>37098.300000000003</v>
      </c>
      <c r="G70" s="676" t="s">
        <v>827</v>
      </c>
      <c r="H70" s="677">
        <v>40967</v>
      </c>
      <c r="I70" s="476">
        <v>2012</v>
      </c>
      <c r="J70" s="529">
        <v>67967.100000000006</v>
      </c>
      <c r="K70" s="479">
        <v>7440240.989851201</v>
      </c>
      <c r="L70" s="526"/>
      <c r="M70" s="526"/>
      <c r="N70" s="533"/>
      <c r="O70" s="533"/>
      <c r="P70" s="535"/>
      <c r="Q70" s="534"/>
      <c r="R70" s="480" t="s">
        <v>546</v>
      </c>
    </row>
    <row r="71" spans="1:18" s="480" customFormat="1" ht="30" customHeight="1" x14ac:dyDescent="0.25">
      <c r="A71" s="754">
        <v>70</v>
      </c>
      <c r="B71" s="756" t="s">
        <v>738</v>
      </c>
      <c r="C71" s="755" t="s">
        <v>619</v>
      </c>
      <c r="D71" s="754">
        <v>5</v>
      </c>
      <c r="E71" s="658">
        <v>5</v>
      </c>
      <c r="F71" s="479">
        <v>16856.5</v>
      </c>
      <c r="G71" s="676" t="s">
        <v>828</v>
      </c>
      <c r="H71" s="677">
        <v>41789</v>
      </c>
      <c r="I71" s="476">
        <v>2014</v>
      </c>
      <c r="J71" s="529">
        <v>27746.46</v>
      </c>
      <c r="K71" s="479">
        <v>3037357.0303171198</v>
      </c>
      <c r="L71" s="526"/>
      <c r="M71" s="526"/>
      <c r="N71" s="533"/>
      <c r="O71" s="533"/>
      <c r="P71" s="535"/>
      <c r="Q71" s="534"/>
      <c r="R71" s="480" t="s">
        <v>546</v>
      </c>
    </row>
    <row r="72" spans="1:18" s="480" customFormat="1" ht="30" customHeight="1" x14ac:dyDescent="0.25">
      <c r="A72" s="754">
        <v>71</v>
      </c>
      <c r="B72" s="755" t="s">
        <v>739</v>
      </c>
      <c r="C72" s="755" t="s">
        <v>620</v>
      </c>
      <c r="D72" s="754">
        <v>14</v>
      </c>
      <c r="E72" s="658">
        <v>14</v>
      </c>
      <c r="F72" s="479">
        <v>196.8</v>
      </c>
      <c r="G72" s="676" t="s">
        <v>829</v>
      </c>
      <c r="H72" s="677">
        <v>40967</v>
      </c>
      <c r="I72" s="476">
        <v>2012</v>
      </c>
      <c r="J72" s="529">
        <v>360.55</v>
      </c>
      <c r="K72" s="479">
        <v>39468.785469600007</v>
      </c>
      <c r="L72" s="530"/>
      <c r="M72" s="536"/>
      <c r="N72" s="533"/>
      <c r="O72" s="639"/>
      <c r="P72" s="534"/>
      <c r="Q72" s="534"/>
      <c r="R72" s="480" t="s">
        <v>546</v>
      </c>
    </row>
    <row r="73" spans="1:18" s="480" customFormat="1" ht="15.75" x14ac:dyDescent="0.25">
      <c r="A73" s="754">
        <v>72</v>
      </c>
      <c r="B73" s="756" t="s">
        <v>740</v>
      </c>
      <c r="C73" s="755" t="s">
        <v>621</v>
      </c>
      <c r="D73" s="754">
        <v>18</v>
      </c>
      <c r="E73" s="658">
        <v>18</v>
      </c>
      <c r="F73" s="479">
        <v>39.94</v>
      </c>
      <c r="G73" s="676" t="s">
        <v>830</v>
      </c>
      <c r="H73" s="677">
        <v>40967</v>
      </c>
      <c r="I73" s="476">
        <v>2012</v>
      </c>
      <c r="J73" s="529">
        <v>73.17</v>
      </c>
      <c r="K73" s="479">
        <v>8009.7934622399998</v>
      </c>
      <c r="L73" s="526"/>
      <c r="M73" s="526"/>
      <c r="N73" s="533"/>
      <c r="O73" s="533"/>
      <c r="P73" s="535"/>
      <c r="Q73" s="534"/>
      <c r="R73" s="480" t="s">
        <v>546</v>
      </c>
    </row>
    <row r="74" spans="1:18" s="480" customFormat="1" ht="30" customHeight="1" x14ac:dyDescent="0.25">
      <c r="A74" s="754">
        <v>73</v>
      </c>
      <c r="B74" s="755" t="s">
        <v>741</v>
      </c>
      <c r="C74" s="755" t="s">
        <v>131</v>
      </c>
      <c r="D74" s="754">
        <v>5</v>
      </c>
      <c r="E74" s="658">
        <v>5</v>
      </c>
      <c r="F74" s="479">
        <v>8256.16</v>
      </c>
      <c r="G74" s="676" t="s">
        <v>831</v>
      </c>
      <c r="H74" s="677">
        <v>40967</v>
      </c>
      <c r="I74" s="476">
        <v>2012</v>
      </c>
      <c r="J74" s="529">
        <v>15125.96</v>
      </c>
      <c r="K74" s="479">
        <v>1655812.70354112</v>
      </c>
      <c r="L74" s="530"/>
      <c r="M74" s="536"/>
      <c r="N74" s="533"/>
      <c r="O74" s="639"/>
      <c r="P74" s="534"/>
      <c r="Q74" s="534"/>
      <c r="R74" s="480" t="s">
        <v>546</v>
      </c>
    </row>
    <row r="75" spans="1:18" s="480" customFormat="1" ht="30" customHeight="1" x14ac:dyDescent="0.25">
      <c r="A75" s="754">
        <v>74</v>
      </c>
      <c r="B75" s="756" t="s">
        <v>742</v>
      </c>
      <c r="C75" s="755" t="s">
        <v>132</v>
      </c>
      <c r="D75" s="754">
        <v>5</v>
      </c>
      <c r="E75" s="658">
        <v>5</v>
      </c>
      <c r="F75" s="479">
        <v>12221.21</v>
      </c>
      <c r="G75" s="676" t="s">
        <v>832</v>
      </c>
      <c r="H75" s="677">
        <v>41789</v>
      </c>
      <c r="I75" s="476">
        <v>2014</v>
      </c>
      <c r="J75" s="529">
        <v>20116.59</v>
      </c>
      <c r="K75" s="479">
        <v>2202128.3458324801</v>
      </c>
      <c r="L75" s="526"/>
      <c r="M75" s="526"/>
      <c r="N75" s="533"/>
      <c r="O75" s="533"/>
      <c r="P75" s="534"/>
      <c r="Q75" s="534"/>
      <c r="R75" s="480" t="s">
        <v>546</v>
      </c>
    </row>
    <row r="76" spans="1:18" s="480" customFormat="1" ht="30" customHeight="1" x14ac:dyDescent="0.25">
      <c r="A76" s="754">
        <v>75</v>
      </c>
      <c r="B76" s="755" t="s">
        <v>743</v>
      </c>
      <c r="C76" s="755" t="s">
        <v>463</v>
      </c>
      <c r="D76" s="754">
        <v>10</v>
      </c>
      <c r="E76" s="658">
        <v>10</v>
      </c>
      <c r="F76" s="479">
        <v>890.86</v>
      </c>
      <c r="G76" s="676" t="s">
        <v>833</v>
      </c>
      <c r="H76" s="677">
        <v>41789</v>
      </c>
      <c r="I76" s="476">
        <v>2014</v>
      </c>
      <c r="J76" s="529">
        <v>1466.39</v>
      </c>
      <c r="K76" s="479">
        <v>160523.17937808001</v>
      </c>
      <c r="L76" s="526"/>
      <c r="M76" s="526"/>
      <c r="N76" s="533"/>
      <c r="O76" s="533"/>
      <c r="P76" s="534"/>
      <c r="Q76" s="534"/>
      <c r="R76" s="480" t="s">
        <v>546</v>
      </c>
    </row>
    <row r="77" spans="1:18" s="480" customFormat="1" ht="30" customHeight="1" x14ac:dyDescent="0.25">
      <c r="A77" s="754">
        <v>76</v>
      </c>
      <c r="B77" s="756" t="s">
        <v>744</v>
      </c>
      <c r="C77" s="755" t="s">
        <v>622</v>
      </c>
      <c r="D77" s="754">
        <v>3</v>
      </c>
      <c r="E77" s="658">
        <v>3</v>
      </c>
      <c r="F77" s="479">
        <v>6293.93</v>
      </c>
      <c r="G77" s="676" t="s">
        <v>834</v>
      </c>
      <c r="H77" s="677">
        <v>40967</v>
      </c>
      <c r="I77" s="476">
        <v>2012</v>
      </c>
      <c r="J77" s="529">
        <v>11530.99</v>
      </c>
      <c r="K77" s="479">
        <v>1262277.5497492801</v>
      </c>
      <c r="L77" s="526"/>
      <c r="M77" s="526"/>
      <c r="N77" s="533"/>
      <c r="O77" s="533"/>
      <c r="P77" s="534"/>
      <c r="Q77" s="534"/>
      <c r="R77" s="480" t="s">
        <v>546</v>
      </c>
    </row>
    <row r="78" spans="1:18" s="480" customFormat="1" ht="30" customHeight="1" x14ac:dyDescent="0.25">
      <c r="A78" s="754">
        <v>77</v>
      </c>
      <c r="B78" s="755" t="s">
        <v>745</v>
      </c>
      <c r="C78" s="755" t="s">
        <v>623</v>
      </c>
      <c r="D78" s="754">
        <v>11</v>
      </c>
      <c r="E78" s="658">
        <v>11</v>
      </c>
      <c r="F78" s="479">
        <v>14.89</v>
      </c>
      <c r="G78" s="676" t="s">
        <v>835</v>
      </c>
      <c r="H78" s="677" t="s">
        <v>758</v>
      </c>
      <c r="I78" s="476">
        <v>2017</v>
      </c>
      <c r="J78" s="529">
        <v>21.09</v>
      </c>
      <c r="K78" s="479">
        <v>2308.68585648</v>
      </c>
      <c r="L78" s="526"/>
      <c r="M78" s="537"/>
      <c r="N78" s="533"/>
      <c r="O78" s="639"/>
      <c r="P78" s="535"/>
      <c r="Q78" s="534"/>
      <c r="R78" s="480" t="s">
        <v>546</v>
      </c>
    </row>
    <row r="79" spans="1:18" s="480" customFormat="1" ht="30" customHeight="1" x14ac:dyDescent="0.25">
      <c r="A79" s="754">
        <v>78</v>
      </c>
      <c r="B79" s="756" t="s">
        <v>746</v>
      </c>
      <c r="C79" s="755" t="s">
        <v>624</v>
      </c>
      <c r="D79" s="754">
        <v>20</v>
      </c>
      <c r="E79" s="658">
        <v>20</v>
      </c>
      <c r="F79" s="479">
        <v>46.18</v>
      </c>
      <c r="G79" s="676" t="s">
        <v>836</v>
      </c>
      <c r="H79" s="677">
        <v>40967</v>
      </c>
      <c r="I79" s="476">
        <v>2012</v>
      </c>
      <c r="J79" s="529">
        <v>84.61</v>
      </c>
      <c r="K79" s="479">
        <v>9262.1104939200013</v>
      </c>
      <c r="L79" s="531"/>
      <c r="M79" s="537"/>
      <c r="N79" s="533"/>
      <c r="O79" s="639"/>
      <c r="P79" s="535"/>
      <c r="Q79" s="534"/>
      <c r="R79" s="480" t="s">
        <v>546</v>
      </c>
    </row>
    <row r="80" spans="1:18" s="480" customFormat="1" ht="30" customHeight="1" x14ac:dyDescent="0.25">
      <c r="A80" s="754">
        <v>79</v>
      </c>
      <c r="B80" s="755" t="s">
        <v>747</v>
      </c>
      <c r="C80" s="755" t="s">
        <v>621</v>
      </c>
      <c r="D80" s="754">
        <v>16</v>
      </c>
      <c r="E80" s="658">
        <v>16</v>
      </c>
      <c r="F80" s="479">
        <v>19.09</v>
      </c>
      <c r="G80" s="676" t="s">
        <v>837</v>
      </c>
      <c r="H80" s="677">
        <v>40967</v>
      </c>
      <c r="I80" s="476">
        <v>2012</v>
      </c>
      <c r="J80" s="529">
        <v>34.97</v>
      </c>
      <c r="K80" s="479">
        <v>3828.1054718399996</v>
      </c>
      <c r="L80" s="530"/>
      <c r="M80" s="526"/>
      <c r="N80" s="533"/>
      <c r="O80" s="639"/>
      <c r="P80" s="534"/>
      <c r="Q80" s="534"/>
      <c r="R80" s="480" t="s">
        <v>546</v>
      </c>
    </row>
    <row r="81" spans="1:18" s="480" customFormat="1" ht="30" customHeight="1" x14ac:dyDescent="0.25">
      <c r="A81" s="754">
        <v>80</v>
      </c>
      <c r="B81" s="756" t="s">
        <v>748</v>
      </c>
      <c r="C81" s="755" t="s">
        <v>625</v>
      </c>
      <c r="D81" s="754">
        <v>4</v>
      </c>
      <c r="E81" s="658">
        <v>4</v>
      </c>
      <c r="F81" s="479">
        <v>23941.759999999998</v>
      </c>
      <c r="G81" s="676" t="s">
        <v>838</v>
      </c>
      <c r="H81" s="677">
        <v>41789</v>
      </c>
      <c r="I81" s="476">
        <v>2014</v>
      </c>
      <c r="J81" s="529">
        <v>39409.08</v>
      </c>
      <c r="K81" s="479">
        <v>4314043.8887097603</v>
      </c>
      <c r="L81" s="526"/>
      <c r="M81" s="526"/>
      <c r="N81" s="533"/>
      <c r="O81" s="533"/>
      <c r="P81" s="534"/>
      <c r="Q81" s="534"/>
      <c r="R81" s="480" t="s">
        <v>546</v>
      </c>
    </row>
    <row r="82" spans="1:18" s="480" customFormat="1" ht="30" customHeight="1" x14ac:dyDescent="0.25">
      <c r="A82" s="754">
        <v>81</v>
      </c>
      <c r="B82" s="755" t="s">
        <v>749</v>
      </c>
      <c r="C82" s="755" t="s">
        <v>626</v>
      </c>
      <c r="D82" s="754">
        <v>5</v>
      </c>
      <c r="E82" s="658">
        <v>5</v>
      </c>
      <c r="F82" s="479">
        <v>12393.83</v>
      </c>
      <c r="G82" s="676" t="s">
        <v>839</v>
      </c>
      <c r="H82" s="677">
        <v>39196</v>
      </c>
      <c r="I82" s="476">
        <v>2014</v>
      </c>
      <c r="J82" s="529">
        <v>20400.73</v>
      </c>
      <c r="K82" s="479">
        <v>2233232.6606385601</v>
      </c>
      <c r="L82" s="526"/>
      <c r="M82" s="526"/>
      <c r="N82" s="533"/>
      <c r="O82" s="533"/>
      <c r="P82" s="534"/>
      <c r="Q82" s="534"/>
      <c r="R82" s="480" t="s">
        <v>546</v>
      </c>
    </row>
    <row r="83" spans="1:18" s="480" customFormat="1" ht="30" customHeight="1" x14ac:dyDescent="0.25">
      <c r="A83" s="754">
        <v>82</v>
      </c>
      <c r="B83" s="756" t="s">
        <v>750</v>
      </c>
      <c r="C83" s="755" t="s">
        <v>627</v>
      </c>
      <c r="D83" s="754">
        <v>6</v>
      </c>
      <c r="E83" s="658">
        <v>6</v>
      </c>
      <c r="F83" s="479">
        <v>56.66</v>
      </c>
      <c r="G83" s="676" t="s">
        <v>840</v>
      </c>
      <c r="H83" s="677">
        <v>40967</v>
      </c>
      <c r="I83" s="476">
        <v>2012</v>
      </c>
      <c r="J83" s="529">
        <v>103.81</v>
      </c>
      <c r="K83" s="479">
        <v>11363.90131632</v>
      </c>
      <c r="L83" s="526"/>
      <c r="M83" s="537"/>
      <c r="N83" s="533"/>
      <c r="O83" s="639"/>
      <c r="P83" s="535"/>
      <c r="Q83" s="534"/>
      <c r="R83" s="480" t="s">
        <v>546</v>
      </c>
    </row>
    <row r="84" spans="1:18" s="480" customFormat="1" ht="30" customHeight="1" x14ac:dyDescent="0.25">
      <c r="A84" s="754">
        <v>83</v>
      </c>
      <c r="B84" s="755" t="s">
        <v>751</v>
      </c>
      <c r="C84" s="755" t="s">
        <v>628</v>
      </c>
      <c r="D84" s="754">
        <v>9</v>
      </c>
      <c r="E84" s="658">
        <v>0</v>
      </c>
      <c r="F84" s="479">
        <v>311.05</v>
      </c>
      <c r="G84" s="676" t="s">
        <v>841</v>
      </c>
      <c r="H84" s="677">
        <v>40967</v>
      </c>
      <c r="I84" s="476">
        <v>2012</v>
      </c>
      <c r="J84" s="529">
        <v>569.87</v>
      </c>
      <c r="K84" s="479">
        <v>62382.684164639999</v>
      </c>
      <c r="L84" s="526"/>
      <c r="M84" s="526"/>
      <c r="N84" s="533"/>
      <c r="O84" s="533"/>
      <c r="P84" s="534"/>
      <c r="Q84" s="534"/>
      <c r="R84" s="480" t="s">
        <v>546</v>
      </c>
    </row>
    <row r="85" spans="1:18" s="480" customFormat="1" ht="30" customHeight="1" x14ac:dyDescent="0.25">
      <c r="A85" s="754">
        <v>84</v>
      </c>
      <c r="B85" s="756" t="s">
        <v>752</v>
      </c>
      <c r="C85" s="755" t="s">
        <v>629</v>
      </c>
      <c r="D85" s="754">
        <v>9</v>
      </c>
      <c r="E85" s="658">
        <v>0</v>
      </c>
      <c r="F85" s="479">
        <v>233.29</v>
      </c>
      <c r="G85" s="676" t="s">
        <v>842</v>
      </c>
      <c r="H85" s="677">
        <v>40967</v>
      </c>
      <c r="I85" s="476">
        <v>2012</v>
      </c>
      <c r="J85" s="529">
        <v>427.41</v>
      </c>
      <c r="K85" s="479">
        <v>46787.834135520003</v>
      </c>
      <c r="L85" s="526"/>
      <c r="M85" s="526"/>
      <c r="N85" s="533"/>
      <c r="O85" s="533"/>
      <c r="P85" s="534"/>
      <c r="Q85" s="534"/>
      <c r="R85" s="480" t="s">
        <v>546</v>
      </c>
    </row>
    <row r="86" spans="1:18" s="480" customFormat="1" ht="30" customHeight="1" x14ac:dyDescent="0.25">
      <c r="A86" s="754">
        <v>85</v>
      </c>
      <c r="B86" s="755" t="s">
        <v>753</v>
      </c>
      <c r="C86" s="755" t="s">
        <v>122</v>
      </c>
      <c r="D86" s="754">
        <v>10</v>
      </c>
      <c r="E86" s="658">
        <v>10</v>
      </c>
      <c r="F86" s="479">
        <v>1.1000000000000001</v>
      </c>
      <c r="G86" s="676" t="s">
        <v>843</v>
      </c>
      <c r="H86" s="677">
        <v>39386</v>
      </c>
      <c r="I86" s="476">
        <v>2007</v>
      </c>
      <c r="J86" s="529">
        <v>2.52</v>
      </c>
      <c r="K86" s="479">
        <v>275.86004543999996</v>
      </c>
      <c r="L86" s="526"/>
      <c r="M86" s="526"/>
      <c r="N86" s="533"/>
      <c r="O86" s="533"/>
      <c r="P86" s="534"/>
      <c r="Q86" s="534"/>
      <c r="R86" s="480" t="s">
        <v>546</v>
      </c>
    </row>
    <row r="87" spans="1:18" s="480" customFormat="1" x14ac:dyDescent="0.25">
      <c r="A87" s="656"/>
      <c r="B87" s="662"/>
      <c r="C87" s="657"/>
      <c r="D87" s="658"/>
      <c r="E87" s="658"/>
      <c r="F87" s="479"/>
      <c r="G87" s="479"/>
      <c r="H87" s="677"/>
      <c r="I87" s="476"/>
      <c r="J87" s="479"/>
      <c r="K87" s="479"/>
      <c r="L87" s="526"/>
      <c r="M87" s="526"/>
      <c r="N87" s="533"/>
      <c r="O87" s="533"/>
      <c r="P87" s="534"/>
      <c r="Q87" s="534"/>
    </row>
    <row r="88" spans="1:18" s="480" customFormat="1" x14ac:dyDescent="0.25">
      <c r="A88" s="656"/>
      <c r="B88" s="662"/>
      <c r="C88" s="657"/>
      <c r="D88" s="658"/>
      <c r="E88" s="658"/>
      <c r="F88" s="479"/>
      <c r="G88" s="479"/>
      <c r="H88" s="677"/>
      <c r="I88" s="476"/>
      <c r="J88" s="479"/>
      <c r="K88" s="479"/>
      <c r="L88" s="526"/>
      <c r="M88" s="526"/>
      <c r="N88" s="533"/>
      <c r="O88" s="533"/>
      <c r="P88" s="535"/>
      <c r="Q88" s="534"/>
    </row>
    <row r="89" spans="1:18" s="480" customFormat="1" x14ac:dyDescent="0.25">
      <c r="A89" s="656"/>
      <c r="B89" s="662"/>
      <c r="C89" s="657"/>
      <c r="D89" s="658"/>
      <c r="E89" s="658"/>
      <c r="F89" s="479"/>
      <c r="G89" s="479"/>
      <c r="H89" s="677"/>
      <c r="I89" s="476"/>
      <c r="J89" s="479"/>
      <c r="K89" s="479"/>
      <c r="L89" s="526"/>
      <c r="M89" s="526"/>
      <c r="N89" s="533"/>
      <c r="O89" s="533"/>
      <c r="P89" s="534"/>
      <c r="Q89" s="534"/>
    </row>
    <row r="90" spans="1:18" s="480" customFormat="1" x14ac:dyDescent="0.25">
      <c r="A90" s="656"/>
      <c r="B90" s="662"/>
      <c r="C90" s="657"/>
      <c r="D90" s="658"/>
      <c r="E90" s="658"/>
      <c r="F90" s="479"/>
      <c r="G90" s="479"/>
      <c r="H90" s="677"/>
      <c r="I90" s="476"/>
      <c r="J90" s="479"/>
      <c r="K90" s="479"/>
      <c r="L90" s="531"/>
      <c r="M90" s="537"/>
      <c r="N90" s="533"/>
      <c r="O90" s="639"/>
      <c r="P90" s="534"/>
      <c r="Q90" s="534"/>
    </row>
    <row r="91" spans="1:18" s="480" customFormat="1" x14ac:dyDescent="0.25">
      <c r="A91" s="656"/>
      <c r="B91" s="662"/>
      <c r="C91" s="657"/>
      <c r="D91" s="658"/>
      <c r="E91" s="658"/>
      <c r="F91" s="479"/>
      <c r="G91" s="479"/>
      <c r="H91" s="677"/>
      <c r="I91" s="476"/>
      <c r="J91" s="479"/>
      <c r="K91" s="479"/>
      <c r="L91" s="526"/>
      <c r="M91" s="526"/>
      <c r="N91" s="533"/>
      <c r="O91" s="533"/>
      <c r="P91" s="534"/>
      <c r="Q91" s="534"/>
    </row>
    <row r="92" spans="1:18" s="480" customFormat="1" x14ac:dyDescent="0.25">
      <c r="A92" s="656"/>
      <c r="B92" s="662"/>
      <c r="C92" s="657"/>
      <c r="D92" s="658"/>
      <c r="E92" s="658"/>
      <c r="F92" s="479"/>
      <c r="G92" s="479"/>
      <c r="H92" s="677"/>
      <c r="I92" s="476"/>
      <c r="J92" s="479"/>
      <c r="K92" s="479"/>
      <c r="L92" s="529"/>
      <c r="M92" s="532"/>
      <c r="N92" s="533"/>
      <c r="O92" s="639"/>
      <c r="P92" s="535"/>
      <c r="Q92" s="534"/>
    </row>
    <row r="93" spans="1:18" s="480" customFormat="1" x14ac:dyDescent="0.25">
      <c r="A93" s="656"/>
      <c r="B93" s="662"/>
      <c r="C93" s="657"/>
      <c r="D93" s="658"/>
      <c r="E93" s="658"/>
      <c r="F93" s="479"/>
      <c r="G93" s="479"/>
      <c r="H93" s="677"/>
      <c r="I93" s="476"/>
      <c r="J93" s="479"/>
      <c r="K93" s="479"/>
      <c r="L93" s="526"/>
      <c r="M93" s="526"/>
      <c r="N93" s="533"/>
      <c r="O93" s="533"/>
      <c r="P93" s="534"/>
      <c r="Q93" s="534"/>
    </row>
    <row r="94" spans="1:18" s="480" customFormat="1" x14ac:dyDescent="0.25">
      <c r="A94" s="656"/>
      <c r="B94" s="662"/>
      <c r="C94" s="657"/>
      <c r="D94" s="658"/>
      <c r="E94" s="658"/>
      <c r="F94" s="479"/>
      <c r="G94" s="479"/>
      <c r="H94" s="677"/>
      <c r="I94" s="476"/>
      <c r="J94" s="479"/>
      <c r="K94" s="479"/>
      <c r="L94" s="526"/>
      <c r="M94" s="526"/>
      <c r="N94" s="533"/>
      <c r="O94" s="533"/>
      <c r="P94" s="534"/>
      <c r="Q94" s="534"/>
    </row>
    <row r="95" spans="1:18" s="480" customFormat="1" x14ac:dyDescent="0.25">
      <c r="A95" s="656"/>
      <c r="B95" s="662"/>
      <c r="C95" s="657"/>
      <c r="D95" s="658"/>
      <c r="E95" s="658"/>
      <c r="F95" s="479"/>
      <c r="G95" s="479"/>
      <c r="H95" s="677"/>
      <c r="I95" s="476"/>
      <c r="J95" s="479"/>
      <c r="K95" s="479"/>
      <c r="L95" s="526"/>
      <c r="M95" s="526"/>
      <c r="N95" s="533"/>
      <c r="O95" s="533"/>
      <c r="P95" s="534"/>
      <c r="Q95" s="534"/>
    </row>
    <row r="96" spans="1:18" s="480" customFormat="1" x14ac:dyDescent="0.25">
      <c r="A96" s="656"/>
      <c r="B96" s="662"/>
      <c r="C96" s="657"/>
      <c r="D96" s="658"/>
      <c r="E96" s="658"/>
      <c r="F96" s="479"/>
      <c r="G96" s="479"/>
      <c r="H96" s="677"/>
      <c r="I96" s="476"/>
      <c r="J96" s="479"/>
      <c r="K96" s="479"/>
      <c r="L96" s="526"/>
      <c r="M96" s="526"/>
      <c r="N96" s="533"/>
      <c r="O96" s="533"/>
      <c r="P96" s="534"/>
      <c r="Q96" s="534"/>
    </row>
    <row r="97" spans="1:17" s="480" customFormat="1" x14ac:dyDescent="0.25">
      <c r="A97" s="656"/>
      <c r="B97" s="662"/>
      <c r="C97" s="657"/>
      <c r="D97" s="658"/>
      <c r="E97" s="658"/>
      <c r="F97" s="479"/>
      <c r="G97" s="479"/>
      <c r="H97" s="677"/>
      <c r="I97" s="476"/>
      <c r="J97" s="479"/>
      <c r="K97" s="479"/>
      <c r="L97" s="526"/>
      <c r="M97" s="526"/>
      <c r="N97" s="533"/>
      <c r="O97" s="533"/>
      <c r="P97" s="528"/>
      <c r="Q97" s="534"/>
    </row>
    <row r="98" spans="1:17" s="480" customFormat="1" x14ac:dyDescent="0.25">
      <c r="A98" s="656"/>
      <c r="B98" s="662"/>
      <c r="C98" s="657"/>
      <c r="D98" s="658"/>
      <c r="E98" s="658"/>
      <c r="F98" s="479"/>
      <c r="G98" s="479"/>
      <c r="H98" s="677"/>
      <c r="I98" s="476"/>
      <c r="J98" s="479"/>
      <c r="K98" s="479"/>
      <c r="L98" s="526"/>
      <c r="M98" s="526"/>
      <c r="N98" s="533"/>
      <c r="O98" s="533"/>
      <c r="P98" s="534"/>
      <c r="Q98" s="534"/>
    </row>
    <row r="99" spans="1:17" s="480" customFormat="1" x14ac:dyDescent="0.25">
      <c r="A99" s="656"/>
      <c r="B99" s="662"/>
      <c r="C99" s="657"/>
      <c r="D99" s="658"/>
      <c r="E99" s="658"/>
      <c r="F99" s="479"/>
      <c r="G99" s="479"/>
      <c r="H99" s="677"/>
      <c r="I99" s="476"/>
      <c r="J99" s="479"/>
      <c r="K99" s="479"/>
      <c r="L99" s="526"/>
      <c r="M99" s="532"/>
      <c r="N99" s="533"/>
      <c r="O99" s="639"/>
      <c r="P99" s="535"/>
      <c r="Q99" s="534"/>
    </row>
    <row r="100" spans="1:17" s="480" customFormat="1" x14ac:dyDescent="0.25">
      <c r="A100" s="656"/>
      <c r="B100" s="662"/>
      <c r="C100" s="657"/>
      <c r="D100" s="658"/>
      <c r="E100" s="658"/>
      <c r="F100" s="479"/>
      <c r="G100" s="479"/>
      <c r="H100" s="677"/>
      <c r="I100" s="476"/>
      <c r="J100" s="479"/>
      <c r="K100" s="479"/>
      <c r="L100" s="526"/>
      <c r="M100" s="526"/>
      <c r="N100" s="533"/>
      <c r="O100" s="533"/>
      <c r="P100" s="534"/>
      <c r="Q100" s="534"/>
    </row>
    <row r="101" spans="1:17" s="480" customFormat="1" x14ac:dyDescent="0.25">
      <c r="A101" s="656"/>
      <c r="B101" s="662"/>
      <c r="C101" s="657"/>
      <c r="D101" s="658"/>
      <c r="E101" s="658"/>
      <c r="F101" s="479"/>
      <c r="G101" s="479"/>
      <c r="H101" s="677"/>
      <c r="I101" s="476"/>
      <c r="J101" s="479"/>
      <c r="K101" s="479"/>
      <c r="L101" s="531"/>
      <c r="M101" s="537"/>
      <c r="N101" s="533"/>
      <c r="O101" s="639"/>
      <c r="P101" s="534"/>
      <c r="Q101" s="534"/>
    </row>
    <row r="102" spans="1:17" s="480" customFormat="1" x14ac:dyDescent="0.25">
      <c r="A102" s="656"/>
      <c r="B102" s="662"/>
      <c r="C102" s="657"/>
      <c r="D102" s="658"/>
      <c r="E102" s="658"/>
      <c r="F102" s="479"/>
      <c r="G102" s="479"/>
      <c r="H102" s="678"/>
      <c r="I102" s="476"/>
      <c r="J102" s="479"/>
      <c r="K102" s="479"/>
      <c r="L102" s="526"/>
      <c r="M102" s="526"/>
      <c r="N102" s="533"/>
      <c r="O102" s="533"/>
      <c r="P102" s="535"/>
      <c r="Q102" s="534"/>
    </row>
    <row r="103" spans="1:17" s="480" customFormat="1" x14ac:dyDescent="0.25">
      <c r="A103" s="656"/>
      <c r="B103" s="662"/>
      <c r="C103" s="657"/>
      <c r="D103" s="658"/>
      <c r="E103" s="658"/>
      <c r="F103" s="479"/>
      <c r="G103" s="479"/>
      <c r="H103" s="677"/>
      <c r="I103" s="476"/>
      <c r="J103" s="479"/>
      <c r="K103" s="479"/>
      <c r="L103" s="531"/>
      <c r="M103" s="537"/>
      <c r="N103" s="533"/>
      <c r="O103" s="639"/>
      <c r="P103" s="534"/>
      <c r="Q103" s="534"/>
    </row>
    <row r="104" spans="1:17" s="480" customFormat="1" x14ac:dyDescent="0.25">
      <c r="A104" s="656"/>
      <c r="B104" s="662"/>
      <c r="C104" s="657"/>
      <c r="D104" s="658"/>
      <c r="E104" s="658"/>
      <c r="F104" s="479"/>
      <c r="G104" s="479"/>
      <c r="H104" s="677"/>
      <c r="I104" s="476"/>
      <c r="J104" s="479"/>
      <c r="K104" s="479"/>
      <c r="L104" s="526"/>
      <c r="M104" s="532"/>
      <c r="N104" s="533"/>
      <c r="O104" s="639"/>
      <c r="P104" s="528"/>
      <c r="Q104" s="534"/>
    </row>
    <row r="105" spans="1:17" s="480" customFormat="1" x14ac:dyDescent="0.25">
      <c r="A105" s="656"/>
      <c r="B105" s="662"/>
      <c r="C105" s="657"/>
      <c r="D105" s="658"/>
      <c r="E105" s="658"/>
      <c r="F105" s="479"/>
      <c r="G105" s="479"/>
      <c r="H105" s="677"/>
      <c r="I105" s="476"/>
      <c r="J105" s="479"/>
      <c r="K105" s="479"/>
      <c r="L105" s="526"/>
      <c r="M105" s="526"/>
      <c r="N105" s="533"/>
      <c r="O105" s="533"/>
      <c r="P105" s="534"/>
      <c r="Q105" s="534"/>
    </row>
    <row r="106" spans="1:17" s="480" customFormat="1" x14ac:dyDescent="0.25">
      <c r="A106" s="656"/>
      <c r="B106" s="662"/>
      <c r="C106" s="657"/>
      <c r="D106" s="658"/>
      <c r="E106" s="658"/>
      <c r="F106" s="479"/>
      <c r="G106" s="479"/>
      <c r="H106" s="677"/>
      <c r="I106" s="476"/>
      <c r="J106" s="479"/>
      <c r="K106" s="479"/>
      <c r="L106" s="526"/>
      <c r="M106" s="526"/>
      <c r="N106" s="533"/>
      <c r="O106" s="533"/>
      <c r="P106" s="534"/>
      <c r="Q106" s="534"/>
    </row>
    <row r="107" spans="1:17" s="480" customFormat="1" x14ac:dyDescent="0.25">
      <c r="A107" s="656"/>
      <c r="B107" s="662"/>
      <c r="C107" s="657"/>
      <c r="D107" s="658"/>
      <c r="E107" s="658"/>
      <c r="F107" s="479"/>
      <c r="G107" s="479"/>
      <c r="H107" s="677"/>
      <c r="I107" s="476"/>
      <c r="J107" s="479"/>
      <c r="K107" s="479"/>
      <c r="L107" s="526"/>
      <c r="M107" s="526"/>
      <c r="N107" s="533"/>
      <c r="O107" s="533"/>
      <c r="P107" s="535"/>
      <c r="Q107" s="534"/>
    </row>
    <row r="108" spans="1:17" s="480" customFormat="1" x14ac:dyDescent="0.25">
      <c r="A108" s="656"/>
      <c r="B108" s="662"/>
      <c r="C108" s="657"/>
      <c r="D108" s="658"/>
      <c r="E108" s="658"/>
      <c r="F108" s="479"/>
      <c r="G108" s="479"/>
      <c r="H108" s="677"/>
      <c r="I108" s="476"/>
      <c r="J108" s="479"/>
      <c r="K108" s="479"/>
      <c r="L108" s="526"/>
      <c r="M108" s="526"/>
      <c r="N108" s="533"/>
      <c r="O108" s="533"/>
      <c r="P108" s="534"/>
      <c r="Q108" s="534"/>
    </row>
    <row r="109" spans="1:17" s="480" customFormat="1" x14ac:dyDescent="0.25">
      <c r="A109" s="656"/>
      <c r="B109" s="662"/>
      <c r="C109" s="657"/>
      <c r="D109" s="658"/>
      <c r="E109" s="658"/>
      <c r="F109" s="479"/>
      <c r="G109" s="479"/>
      <c r="H109" s="677"/>
      <c r="I109" s="476"/>
      <c r="J109" s="479"/>
      <c r="K109" s="479"/>
      <c r="L109" s="526"/>
      <c r="M109" s="526"/>
      <c r="N109" s="533"/>
      <c r="O109" s="533"/>
      <c r="P109" s="534"/>
      <c r="Q109" s="534"/>
    </row>
    <row r="110" spans="1:17" s="480" customFormat="1" x14ac:dyDescent="0.25">
      <c r="A110" s="656"/>
      <c r="B110" s="662"/>
      <c r="C110" s="657"/>
      <c r="D110" s="658"/>
      <c r="E110" s="658"/>
      <c r="F110" s="479"/>
      <c r="G110" s="479"/>
      <c r="H110" s="677"/>
      <c r="I110" s="476"/>
      <c r="J110" s="479"/>
      <c r="K110" s="479"/>
      <c r="L110" s="526"/>
      <c r="M110" s="526"/>
      <c r="N110" s="533"/>
      <c r="O110" s="533"/>
      <c r="P110" s="535"/>
      <c r="Q110" s="534"/>
    </row>
    <row r="111" spans="1:17" s="480" customFormat="1" x14ac:dyDescent="0.25">
      <c r="A111" s="656"/>
      <c r="B111" s="662"/>
      <c r="C111" s="657"/>
      <c r="D111" s="658"/>
      <c r="E111" s="658"/>
      <c r="F111" s="479"/>
      <c r="G111" s="479"/>
      <c r="H111" s="677"/>
      <c r="I111" s="476"/>
      <c r="J111" s="479"/>
      <c r="K111" s="479"/>
      <c r="L111" s="526"/>
      <c r="M111" s="526"/>
      <c r="N111" s="533"/>
      <c r="O111" s="533"/>
      <c r="P111" s="534"/>
      <c r="Q111" s="534"/>
    </row>
    <row r="112" spans="1:17" s="480" customFormat="1" x14ac:dyDescent="0.25">
      <c r="A112" s="656"/>
      <c r="B112" s="662"/>
      <c r="C112" s="657"/>
      <c r="D112" s="658"/>
      <c r="E112" s="658"/>
      <c r="F112" s="479"/>
      <c r="G112" s="479"/>
      <c r="H112" s="677"/>
      <c r="I112" s="476"/>
      <c r="J112" s="479"/>
      <c r="K112" s="479"/>
      <c r="L112" s="526"/>
      <c r="M112" s="537"/>
      <c r="N112" s="533"/>
      <c r="O112" s="639"/>
      <c r="P112" s="534"/>
      <c r="Q112" s="534"/>
    </row>
    <row r="113" spans="1:17" s="480" customFormat="1" x14ac:dyDescent="0.25">
      <c r="A113" s="656"/>
      <c r="B113" s="662"/>
      <c r="C113" s="657"/>
      <c r="D113" s="658"/>
      <c r="E113" s="658"/>
      <c r="F113" s="479"/>
      <c r="G113" s="479"/>
      <c r="H113" s="677"/>
      <c r="I113" s="476"/>
      <c r="J113" s="479"/>
      <c r="K113" s="479"/>
      <c r="L113" s="526"/>
      <c r="M113" s="526"/>
      <c r="N113" s="533"/>
      <c r="O113" s="533"/>
      <c r="P113" s="534"/>
      <c r="Q113" s="534"/>
    </row>
    <row r="114" spans="1:17" s="480" customFormat="1" x14ac:dyDescent="0.25">
      <c r="A114" s="656"/>
      <c r="B114" s="662"/>
      <c r="C114" s="657"/>
      <c r="D114" s="658"/>
      <c r="E114" s="658"/>
      <c r="F114" s="479"/>
      <c r="G114" s="479"/>
      <c r="H114" s="677"/>
      <c r="I114" s="476"/>
      <c r="J114" s="479"/>
      <c r="K114" s="479"/>
      <c r="L114" s="526"/>
      <c r="M114" s="526"/>
      <c r="N114" s="533"/>
      <c r="O114" s="533"/>
      <c r="P114" s="535"/>
      <c r="Q114" s="534"/>
    </row>
    <row r="115" spans="1:17" s="480" customFormat="1" x14ac:dyDescent="0.25">
      <c r="A115" s="656"/>
      <c r="B115" s="662"/>
      <c r="C115" s="657"/>
      <c r="D115" s="658"/>
      <c r="E115" s="658"/>
      <c r="F115" s="479"/>
      <c r="G115" s="479"/>
      <c r="H115" s="677"/>
      <c r="I115" s="476"/>
      <c r="J115" s="479"/>
      <c r="K115" s="479"/>
      <c r="L115" s="526"/>
      <c r="M115" s="526"/>
      <c r="N115" s="533"/>
      <c r="O115" s="533"/>
      <c r="P115" s="535"/>
      <c r="Q115" s="534"/>
    </row>
    <row r="116" spans="1:17" s="480" customFormat="1" x14ac:dyDescent="0.25">
      <c r="A116" s="656"/>
      <c r="B116" s="662"/>
      <c r="C116" s="657"/>
      <c r="D116" s="658"/>
      <c r="E116" s="658"/>
      <c r="F116" s="479"/>
      <c r="G116" s="479"/>
      <c r="H116" s="677"/>
      <c r="I116" s="476"/>
      <c r="J116" s="479"/>
      <c r="K116" s="479"/>
      <c r="L116" s="526"/>
      <c r="M116" s="526"/>
      <c r="N116" s="533"/>
      <c r="O116" s="533"/>
      <c r="P116" s="534"/>
      <c r="Q116" s="534"/>
    </row>
    <row r="117" spans="1:17" s="480" customFormat="1" x14ac:dyDescent="0.25">
      <c r="A117" s="656"/>
      <c r="B117" s="662"/>
      <c r="C117" s="657"/>
      <c r="D117" s="658"/>
      <c r="E117" s="658"/>
      <c r="F117" s="479"/>
      <c r="G117" s="479"/>
      <c r="H117" s="677"/>
      <c r="I117" s="476"/>
      <c r="J117" s="479"/>
      <c r="K117" s="479"/>
      <c r="L117" s="526"/>
      <c r="M117" s="526"/>
      <c r="N117" s="533"/>
      <c r="O117" s="533"/>
      <c r="P117" s="534"/>
      <c r="Q117" s="534"/>
    </row>
    <row r="118" spans="1:17" s="480" customFormat="1" x14ac:dyDescent="0.25">
      <c r="A118" s="656"/>
      <c r="B118" s="663"/>
      <c r="C118" s="664"/>
      <c r="D118" s="664"/>
      <c r="E118" s="664"/>
      <c r="F118" s="479"/>
      <c r="G118" s="479"/>
      <c r="H118" s="677"/>
      <c r="I118" s="476"/>
      <c r="J118" s="479"/>
      <c r="K118" s="479"/>
      <c r="L118" s="526"/>
      <c r="M118" s="526"/>
      <c r="N118" s="533"/>
      <c r="O118" s="533"/>
      <c r="P118" s="534"/>
      <c r="Q118" s="534"/>
    </row>
    <row r="119" spans="1:17" s="480" customFormat="1" x14ac:dyDescent="0.25">
      <c r="A119" s="656"/>
      <c r="B119" s="662"/>
      <c r="C119" s="657"/>
      <c r="D119" s="658"/>
      <c r="E119" s="658"/>
      <c r="F119" s="479"/>
      <c r="G119" s="479"/>
      <c r="H119" s="677"/>
      <c r="I119" s="476"/>
      <c r="J119" s="479"/>
      <c r="K119" s="479"/>
      <c r="L119" s="526"/>
      <c r="M119" s="526"/>
      <c r="N119" s="533"/>
      <c r="O119" s="533"/>
      <c r="P119" s="534"/>
      <c r="Q119" s="534"/>
    </row>
    <row r="120" spans="1:17" s="480" customFormat="1" x14ac:dyDescent="0.25">
      <c r="A120" s="656"/>
      <c r="B120" s="662"/>
      <c r="C120" s="657"/>
      <c r="D120" s="658"/>
      <c r="E120" s="658"/>
      <c r="F120" s="479"/>
      <c r="G120" s="479"/>
      <c r="H120" s="677"/>
      <c r="I120" s="476"/>
      <c r="J120" s="479"/>
      <c r="K120" s="479"/>
      <c r="L120" s="526"/>
      <c r="M120" s="526"/>
      <c r="N120" s="533"/>
      <c r="O120" s="533"/>
      <c r="P120" s="534"/>
      <c r="Q120" s="534"/>
    </row>
    <row r="121" spans="1:17" s="480" customFormat="1" x14ac:dyDescent="0.25">
      <c r="A121" s="656"/>
      <c r="B121" s="662"/>
      <c r="C121" s="657"/>
      <c r="D121" s="658"/>
      <c r="E121" s="658"/>
      <c r="F121" s="479"/>
      <c r="G121" s="479"/>
      <c r="H121" s="677"/>
      <c r="I121" s="476"/>
      <c r="J121" s="479"/>
      <c r="K121" s="479"/>
      <c r="L121" s="531"/>
      <c r="M121" s="537"/>
      <c r="N121" s="533"/>
      <c r="O121" s="639"/>
      <c r="P121" s="534"/>
      <c r="Q121" s="534"/>
    </row>
    <row r="122" spans="1:17" s="480" customFormat="1" x14ac:dyDescent="0.25">
      <c r="A122" s="656"/>
      <c r="B122" s="662"/>
      <c r="C122" s="657"/>
      <c r="D122" s="658"/>
      <c r="E122" s="658"/>
      <c r="F122" s="479"/>
      <c r="G122" s="479"/>
      <c r="H122" s="677"/>
      <c r="I122" s="476"/>
      <c r="J122" s="479"/>
      <c r="K122" s="479"/>
      <c r="L122" s="526"/>
      <c r="M122" s="526"/>
      <c r="N122" s="533"/>
      <c r="O122" s="533"/>
      <c r="P122" s="535"/>
      <c r="Q122" s="534"/>
    </row>
    <row r="123" spans="1:17" s="480" customFormat="1" x14ac:dyDescent="0.25">
      <c r="A123" s="656"/>
      <c r="B123" s="662"/>
      <c r="C123" s="657"/>
      <c r="D123" s="658"/>
      <c r="E123" s="658"/>
      <c r="F123" s="479"/>
      <c r="G123" s="479"/>
      <c r="H123" s="677"/>
      <c r="I123" s="476"/>
      <c r="J123" s="479"/>
      <c r="K123" s="479"/>
      <c r="L123" s="526"/>
      <c r="M123" s="526"/>
      <c r="N123" s="533"/>
      <c r="O123" s="533"/>
      <c r="P123" s="535"/>
      <c r="Q123" s="534"/>
    </row>
    <row r="124" spans="1:17" s="480" customFormat="1" x14ac:dyDescent="0.25">
      <c r="A124" s="656"/>
      <c r="B124" s="662"/>
      <c r="C124" s="657"/>
      <c r="D124" s="658"/>
      <c r="E124" s="658"/>
      <c r="F124" s="479"/>
      <c r="G124" s="479"/>
      <c r="H124" s="677"/>
      <c r="I124" s="476"/>
      <c r="J124" s="479"/>
      <c r="K124" s="479"/>
      <c r="L124" s="526"/>
      <c r="M124" s="526"/>
      <c r="N124" s="533"/>
      <c r="O124" s="533"/>
      <c r="P124" s="534"/>
      <c r="Q124" s="534"/>
    </row>
    <row r="125" spans="1:17" s="480" customFormat="1" x14ac:dyDescent="0.25">
      <c r="A125" s="656"/>
      <c r="B125" s="657"/>
      <c r="C125" s="657"/>
      <c r="D125" s="658"/>
      <c r="E125" s="658"/>
      <c r="F125" s="479"/>
      <c r="G125" s="479"/>
      <c r="H125" s="677"/>
      <c r="I125" s="476"/>
      <c r="J125" s="479"/>
      <c r="K125" s="479"/>
      <c r="L125" s="526"/>
      <c r="M125" s="526"/>
      <c r="N125" s="533"/>
      <c r="O125" s="533"/>
      <c r="P125" s="534"/>
      <c r="Q125" s="534"/>
    </row>
    <row r="126" spans="1:17" s="480" customFormat="1" x14ac:dyDescent="0.25">
      <c r="A126" s="656"/>
      <c r="B126" s="657"/>
      <c r="C126" s="657"/>
      <c r="D126" s="658"/>
      <c r="E126" s="658"/>
      <c r="F126" s="479"/>
      <c r="G126" s="479"/>
      <c r="H126" s="677"/>
      <c r="I126" s="476"/>
      <c r="J126" s="479"/>
      <c r="K126" s="479"/>
      <c r="L126" s="526"/>
      <c r="M126" s="526"/>
      <c r="N126" s="533"/>
      <c r="O126" s="533"/>
      <c r="P126" s="534"/>
      <c r="Q126" s="534"/>
    </row>
    <row r="127" spans="1:17" s="480" customFormat="1" x14ac:dyDescent="0.25">
      <c r="A127" s="656"/>
      <c r="B127" s="657"/>
      <c r="C127" s="657"/>
      <c r="D127" s="658"/>
      <c r="E127" s="658"/>
      <c r="F127" s="479"/>
      <c r="G127" s="479"/>
      <c r="H127" s="677"/>
      <c r="I127" s="476"/>
      <c r="J127" s="479"/>
      <c r="K127" s="479"/>
      <c r="L127" s="526"/>
      <c r="M127" s="526"/>
      <c r="N127" s="533"/>
      <c r="O127" s="533"/>
      <c r="P127" s="534"/>
      <c r="Q127" s="534"/>
    </row>
    <row r="128" spans="1:17" s="480" customFormat="1" x14ac:dyDescent="0.25">
      <c r="A128" s="656"/>
      <c r="B128" s="657"/>
      <c r="C128" s="657"/>
      <c r="D128" s="658"/>
      <c r="E128" s="658"/>
      <c r="F128" s="479"/>
      <c r="G128" s="676"/>
      <c r="H128" s="677"/>
      <c r="I128" s="476"/>
      <c r="J128" s="479"/>
      <c r="K128" s="479"/>
      <c r="L128" s="526"/>
      <c r="M128" s="526"/>
      <c r="N128" s="533"/>
      <c r="O128" s="533"/>
      <c r="P128" s="534"/>
      <c r="Q128" s="534"/>
    </row>
    <row r="129" spans="1:17" s="480" customFormat="1" x14ac:dyDescent="0.25">
      <c r="A129" s="656"/>
      <c r="B129" s="657"/>
      <c r="C129" s="657"/>
      <c r="D129" s="658"/>
      <c r="E129" s="658"/>
      <c r="F129" s="479"/>
      <c r="G129" s="479"/>
      <c r="H129" s="677"/>
      <c r="I129" s="476"/>
      <c r="J129" s="479"/>
      <c r="K129" s="479"/>
      <c r="L129" s="526"/>
      <c r="M129" s="526"/>
      <c r="N129" s="533"/>
      <c r="O129" s="533"/>
      <c r="P129" s="534"/>
      <c r="Q129" s="534"/>
    </row>
    <row r="130" spans="1:17" s="480" customFormat="1" x14ac:dyDescent="0.25">
      <c r="A130" s="656"/>
      <c r="B130" s="657"/>
      <c r="C130" s="657"/>
      <c r="D130" s="658"/>
      <c r="E130" s="658"/>
      <c r="F130" s="479"/>
      <c r="G130" s="676"/>
      <c r="H130" s="677"/>
      <c r="I130" s="476"/>
      <c r="J130" s="479"/>
      <c r="K130" s="479"/>
      <c r="L130" s="526"/>
      <c r="M130" s="526"/>
      <c r="N130" s="533"/>
      <c r="O130" s="533"/>
      <c r="P130" s="534"/>
      <c r="Q130" s="534"/>
    </row>
    <row r="131" spans="1:17" s="480" customFormat="1" x14ac:dyDescent="0.25">
      <c r="A131" s="656"/>
      <c r="B131" s="657"/>
      <c r="C131" s="657"/>
      <c r="D131" s="658"/>
      <c r="E131" s="658"/>
      <c r="F131" s="479"/>
      <c r="G131" s="676"/>
      <c r="H131" s="677"/>
      <c r="I131" s="476"/>
      <c r="J131" s="479"/>
      <c r="K131" s="479"/>
      <c r="L131" s="526"/>
      <c r="M131" s="526"/>
      <c r="N131" s="533"/>
      <c r="O131" s="533"/>
      <c r="P131" s="534"/>
      <c r="Q131" s="534"/>
    </row>
    <row r="132" spans="1:17" s="480" customFormat="1" x14ac:dyDescent="0.25">
      <c r="A132" s="656"/>
      <c r="B132" s="657"/>
      <c r="C132" s="657"/>
      <c r="D132" s="658"/>
      <c r="E132" s="658"/>
      <c r="F132" s="479"/>
      <c r="G132" s="676"/>
      <c r="H132" s="677"/>
      <c r="I132" s="476"/>
      <c r="J132" s="479"/>
      <c r="K132" s="479"/>
      <c r="L132" s="526"/>
      <c r="M132" s="526"/>
      <c r="N132" s="533"/>
      <c r="O132" s="533"/>
      <c r="P132" s="534"/>
      <c r="Q132" s="534"/>
    </row>
    <row r="133" spans="1:17" s="480" customFormat="1" x14ac:dyDescent="0.25">
      <c r="A133" s="656"/>
      <c r="B133" s="657"/>
      <c r="C133" s="657"/>
      <c r="D133" s="658"/>
      <c r="E133" s="658"/>
      <c r="F133" s="479"/>
      <c r="G133" s="479"/>
      <c r="H133" s="677"/>
      <c r="I133" s="476"/>
      <c r="J133" s="479"/>
      <c r="K133" s="479"/>
      <c r="L133" s="526"/>
      <c r="M133" s="526"/>
      <c r="N133" s="533"/>
      <c r="O133" s="533"/>
      <c r="P133" s="534"/>
      <c r="Q133" s="534"/>
    </row>
    <row r="134" spans="1:17" s="480" customFormat="1" x14ac:dyDescent="0.25">
      <c r="A134" s="656"/>
      <c r="B134" s="657"/>
      <c r="C134" s="657"/>
      <c r="D134" s="658"/>
      <c r="E134" s="658"/>
      <c r="F134" s="479"/>
      <c r="G134" s="479"/>
      <c r="H134" s="677"/>
      <c r="I134" s="476"/>
      <c r="J134" s="479"/>
      <c r="K134" s="479"/>
      <c r="L134" s="526"/>
      <c r="M134" s="526"/>
      <c r="N134" s="533"/>
      <c r="O134" s="533"/>
      <c r="P134" s="535"/>
      <c r="Q134" s="534"/>
    </row>
    <row r="135" spans="1:17" s="480" customFormat="1" x14ac:dyDescent="0.25">
      <c r="A135" s="656"/>
      <c r="B135" s="657"/>
      <c r="C135" s="657"/>
      <c r="D135" s="658"/>
      <c r="E135" s="658"/>
      <c r="F135" s="479"/>
      <c r="G135" s="479"/>
      <c r="H135" s="677"/>
      <c r="I135" s="476"/>
      <c r="J135" s="479"/>
      <c r="K135" s="479"/>
      <c r="L135" s="526"/>
      <c r="M135" s="526"/>
      <c r="N135" s="533"/>
      <c r="O135" s="533"/>
      <c r="P135" s="534"/>
      <c r="Q135" s="534"/>
    </row>
    <row r="136" spans="1:17" s="480" customFormat="1" x14ac:dyDescent="0.25">
      <c r="A136" s="656"/>
      <c r="B136" s="657"/>
      <c r="C136" s="657"/>
      <c r="D136" s="658"/>
      <c r="E136" s="658"/>
      <c r="F136" s="479"/>
      <c r="G136" s="479"/>
      <c r="H136" s="677"/>
      <c r="I136" s="476"/>
      <c r="J136" s="479"/>
      <c r="K136" s="479"/>
      <c r="L136" s="526"/>
      <c r="M136" s="526"/>
      <c r="N136" s="533"/>
      <c r="O136" s="533"/>
      <c r="P136" s="534"/>
      <c r="Q136" s="534"/>
    </row>
    <row r="137" spans="1:17" s="480" customFormat="1" x14ac:dyDescent="0.25">
      <c r="A137" s="656"/>
      <c r="B137" s="657"/>
      <c r="C137" s="657"/>
      <c r="D137" s="658"/>
      <c r="E137" s="658"/>
      <c r="F137" s="479"/>
      <c r="G137" s="676"/>
      <c r="H137" s="677"/>
      <c r="I137" s="476"/>
      <c r="J137" s="479"/>
      <c r="K137" s="479"/>
      <c r="L137" s="526"/>
      <c r="M137" s="526"/>
      <c r="N137" s="533"/>
      <c r="O137" s="533"/>
      <c r="P137" s="534"/>
      <c r="Q137" s="534"/>
    </row>
    <row r="138" spans="1:17" s="480" customFormat="1" x14ac:dyDescent="0.25">
      <c r="A138" s="656"/>
      <c r="B138" s="657"/>
      <c r="C138" s="657"/>
      <c r="D138" s="658"/>
      <c r="E138" s="658"/>
      <c r="F138" s="479"/>
      <c r="G138" s="479"/>
      <c r="H138" s="677"/>
      <c r="I138" s="476"/>
      <c r="J138" s="479"/>
      <c r="K138" s="479"/>
      <c r="L138" s="526"/>
      <c r="M138" s="526"/>
      <c r="N138" s="533"/>
      <c r="O138" s="533"/>
      <c r="P138" s="534"/>
      <c r="Q138" s="534"/>
    </row>
    <row r="139" spans="1:17" s="480" customFormat="1" x14ac:dyDescent="0.25">
      <c r="A139" s="656"/>
      <c r="B139" s="657"/>
      <c r="C139" s="657"/>
      <c r="D139" s="658"/>
      <c r="E139" s="658"/>
      <c r="F139" s="479"/>
      <c r="G139" s="676"/>
      <c r="H139" s="677"/>
      <c r="I139" s="476"/>
      <c r="J139" s="479"/>
      <c r="K139" s="479"/>
      <c r="L139" s="526"/>
      <c r="M139" s="526"/>
      <c r="N139" s="533"/>
      <c r="O139" s="533"/>
      <c r="P139" s="534"/>
      <c r="Q139" s="534"/>
    </row>
    <row r="140" spans="1:17" s="480" customFormat="1" x14ac:dyDescent="0.25">
      <c r="A140" s="656"/>
      <c r="B140" s="657"/>
      <c r="C140" s="657"/>
      <c r="D140" s="658"/>
      <c r="E140" s="658"/>
      <c r="F140" s="479"/>
      <c r="G140" s="479"/>
      <c r="H140" s="677"/>
      <c r="I140" s="476"/>
      <c r="J140" s="479"/>
      <c r="K140" s="479"/>
      <c r="L140" s="526"/>
      <c r="M140" s="526"/>
      <c r="N140" s="533"/>
      <c r="O140" s="533"/>
      <c r="P140" s="534"/>
      <c r="Q140" s="534"/>
    </row>
    <row r="141" spans="1:17" s="480" customFormat="1" x14ac:dyDescent="0.25">
      <c r="A141" s="656"/>
      <c r="B141" s="657"/>
      <c r="C141" s="657"/>
      <c r="D141" s="658"/>
      <c r="E141" s="658"/>
      <c r="F141" s="479"/>
      <c r="G141" s="479"/>
      <c r="H141" s="677"/>
      <c r="I141" s="476"/>
      <c r="J141" s="479"/>
      <c r="K141" s="479"/>
      <c r="L141" s="526"/>
      <c r="M141" s="526"/>
      <c r="N141" s="533"/>
      <c r="O141" s="533"/>
      <c r="P141" s="535"/>
      <c r="Q141" s="534"/>
    </row>
    <row r="142" spans="1:17" s="480" customFormat="1" x14ac:dyDescent="0.25">
      <c r="A142" s="656"/>
      <c r="B142" s="657"/>
      <c r="C142" s="657"/>
      <c r="D142" s="658"/>
      <c r="E142" s="658"/>
      <c r="F142" s="479"/>
      <c r="G142" s="479"/>
      <c r="H142" s="677"/>
      <c r="I142" s="476"/>
      <c r="J142" s="479"/>
      <c r="K142" s="479"/>
      <c r="L142" s="526"/>
      <c r="M142" s="526"/>
      <c r="N142" s="533"/>
      <c r="O142" s="533"/>
      <c r="P142" s="534"/>
      <c r="Q142" s="534"/>
    </row>
    <row r="143" spans="1:17" s="480" customFormat="1" x14ac:dyDescent="0.25">
      <c r="A143" s="656"/>
      <c r="B143" s="657"/>
      <c r="C143" s="657"/>
      <c r="D143" s="658"/>
      <c r="E143" s="658"/>
      <c r="F143" s="479"/>
      <c r="G143" s="479"/>
      <c r="H143" s="677"/>
      <c r="I143" s="476"/>
      <c r="J143" s="479"/>
      <c r="K143" s="479"/>
      <c r="L143" s="526"/>
      <c r="M143" s="526"/>
      <c r="N143" s="533"/>
      <c r="O143" s="533"/>
      <c r="P143" s="535"/>
      <c r="Q143" s="534"/>
    </row>
    <row r="144" spans="1:17" s="480" customFormat="1" x14ac:dyDescent="0.25">
      <c r="A144" s="656"/>
      <c r="B144" s="657"/>
      <c r="C144" s="657"/>
      <c r="D144" s="658"/>
      <c r="E144" s="658"/>
      <c r="F144" s="479"/>
      <c r="G144" s="479"/>
      <c r="H144" s="677"/>
      <c r="I144" s="476"/>
      <c r="J144" s="479"/>
      <c r="K144" s="479"/>
      <c r="L144" s="526"/>
      <c r="M144" s="526"/>
      <c r="N144" s="533"/>
      <c r="O144" s="533"/>
      <c r="P144" s="534"/>
      <c r="Q144" s="534"/>
    </row>
    <row r="145" spans="1:17" s="480" customFormat="1" x14ac:dyDescent="0.25">
      <c r="A145" s="656"/>
      <c r="B145" s="657"/>
      <c r="C145" s="657"/>
      <c r="D145" s="658"/>
      <c r="E145" s="658"/>
      <c r="F145" s="479"/>
      <c r="G145" s="676"/>
      <c r="H145" s="677"/>
      <c r="I145" s="476"/>
      <c r="J145" s="479"/>
      <c r="K145" s="479"/>
      <c r="L145" s="526"/>
      <c r="M145" s="526"/>
      <c r="N145" s="533"/>
      <c r="O145" s="533"/>
      <c r="P145" s="534"/>
      <c r="Q145" s="534"/>
    </row>
    <row r="146" spans="1:17" s="480" customFormat="1" x14ac:dyDescent="0.25">
      <c r="A146" s="656"/>
      <c r="B146" s="657"/>
      <c r="C146" s="657"/>
      <c r="D146" s="658"/>
      <c r="E146" s="658"/>
      <c r="F146" s="479"/>
      <c r="G146" s="676"/>
      <c r="H146" s="677"/>
      <c r="I146" s="476"/>
      <c r="J146" s="479"/>
      <c r="K146" s="479"/>
      <c r="L146" s="526"/>
      <c r="M146" s="526"/>
      <c r="N146" s="533"/>
      <c r="O146" s="533"/>
      <c r="P146" s="534"/>
      <c r="Q146" s="534"/>
    </row>
    <row r="147" spans="1:17" s="480" customFormat="1" x14ac:dyDescent="0.25">
      <c r="A147" s="656"/>
      <c r="B147" s="657"/>
      <c r="C147" s="657"/>
      <c r="D147" s="658"/>
      <c r="E147" s="658"/>
      <c r="F147" s="479"/>
      <c r="G147" s="479"/>
      <c r="H147" s="677"/>
      <c r="I147" s="476"/>
      <c r="J147" s="479"/>
      <c r="K147" s="479"/>
      <c r="L147" s="526"/>
      <c r="M147" s="526"/>
      <c r="N147" s="533"/>
      <c r="O147" s="533"/>
      <c r="P147" s="534"/>
      <c r="Q147" s="534"/>
    </row>
    <row r="148" spans="1:17" s="480" customFormat="1" x14ac:dyDescent="0.25">
      <c r="A148" s="656"/>
      <c r="B148" s="657"/>
      <c r="C148" s="657"/>
      <c r="D148" s="658"/>
      <c r="E148" s="658"/>
      <c r="F148" s="479"/>
      <c r="G148" s="676"/>
      <c r="H148" s="677"/>
      <c r="I148" s="476"/>
      <c r="J148" s="479"/>
      <c r="K148" s="479"/>
      <c r="L148" s="526"/>
      <c r="M148" s="526"/>
      <c r="N148" s="533"/>
      <c r="O148" s="533"/>
      <c r="P148" s="534"/>
      <c r="Q148" s="534"/>
    </row>
    <row r="149" spans="1:17" s="480" customFormat="1" x14ac:dyDescent="0.25">
      <c r="A149" s="656"/>
      <c r="B149" s="657"/>
      <c r="C149" s="657"/>
      <c r="D149" s="658"/>
      <c r="E149" s="658"/>
      <c r="F149" s="479"/>
      <c r="G149" s="479"/>
      <c r="H149" s="677"/>
      <c r="I149" s="476"/>
      <c r="J149" s="479"/>
      <c r="K149" s="479"/>
      <c r="L149" s="526"/>
      <c r="M149" s="526"/>
      <c r="N149" s="533"/>
      <c r="O149" s="533"/>
      <c r="P149" s="534"/>
      <c r="Q149" s="534"/>
    </row>
    <row r="150" spans="1:17" s="480" customFormat="1" x14ac:dyDescent="0.25">
      <c r="A150" s="656"/>
      <c r="B150" s="657"/>
      <c r="C150" s="657"/>
      <c r="D150" s="658"/>
      <c r="E150" s="658"/>
      <c r="F150" s="479"/>
      <c r="G150" s="479"/>
      <c r="H150" s="677"/>
      <c r="I150" s="476"/>
      <c r="J150" s="479"/>
      <c r="K150" s="479"/>
      <c r="L150" s="526"/>
      <c r="M150" s="526"/>
      <c r="N150" s="533"/>
      <c r="O150" s="533"/>
      <c r="P150" s="534"/>
      <c r="Q150" s="534"/>
    </row>
    <row r="151" spans="1:17" s="480" customFormat="1" x14ac:dyDescent="0.25">
      <c r="A151" s="659"/>
      <c r="B151" s="660"/>
      <c r="C151" s="660"/>
      <c r="D151" s="661"/>
      <c r="E151" s="661"/>
      <c r="F151" s="479"/>
      <c r="G151" s="479"/>
      <c r="H151" s="677"/>
      <c r="I151" s="476"/>
      <c r="J151" s="479"/>
      <c r="K151" s="479"/>
      <c r="L151" s="526"/>
      <c r="M151" s="526"/>
      <c r="N151" s="533"/>
      <c r="O151" s="639"/>
      <c r="P151" s="528"/>
      <c r="Q151" s="534"/>
    </row>
    <row r="152" spans="1:17" s="480" customFormat="1" x14ac:dyDescent="0.25">
      <c r="A152" s="656"/>
      <c r="B152" s="657"/>
      <c r="C152" s="657"/>
      <c r="D152" s="658"/>
      <c r="E152" s="658"/>
      <c r="F152" s="479"/>
      <c r="G152" s="676"/>
      <c r="H152" s="678"/>
      <c r="I152" s="476"/>
      <c r="J152" s="479"/>
      <c r="K152" s="479"/>
      <c r="L152" s="526"/>
      <c r="M152" s="526"/>
      <c r="N152" s="533"/>
      <c r="O152" s="533"/>
      <c r="P152" s="535"/>
      <c r="Q152" s="534"/>
    </row>
    <row r="153" spans="1:17" s="480" customFormat="1" x14ac:dyDescent="0.25">
      <c r="A153" s="656"/>
      <c r="B153" s="657"/>
      <c r="C153" s="657"/>
      <c r="D153" s="658"/>
      <c r="E153" s="658"/>
      <c r="F153" s="479"/>
      <c r="G153" s="479"/>
      <c r="H153" s="677"/>
      <c r="I153" s="476"/>
      <c r="J153" s="479"/>
      <c r="K153" s="479"/>
      <c r="L153" s="526"/>
      <c r="M153" s="526"/>
      <c r="N153" s="533"/>
      <c r="O153" s="533"/>
      <c r="P153" s="534"/>
      <c r="Q153" s="534"/>
    </row>
    <row r="154" spans="1:17" s="480" customFormat="1" x14ac:dyDescent="0.25">
      <c r="A154" s="656"/>
      <c r="B154" s="657"/>
      <c r="C154" s="657"/>
      <c r="D154" s="658"/>
      <c r="E154" s="658"/>
      <c r="F154" s="479"/>
      <c r="G154" s="479"/>
      <c r="H154" s="677"/>
      <c r="I154" s="476"/>
      <c r="J154" s="479"/>
      <c r="K154" s="479"/>
      <c r="L154" s="526"/>
      <c r="M154" s="526"/>
      <c r="N154" s="533"/>
      <c r="O154" s="533"/>
      <c r="P154" s="534"/>
      <c r="Q154" s="534"/>
    </row>
    <row r="155" spans="1:17" s="480" customFormat="1" x14ac:dyDescent="0.25">
      <c r="A155" s="656"/>
      <c r="B155" s="657"/>
      <c r="C155" s="657"/>
      <c r="D155" s="658"/>
      <c r="E155" s="658"/>
      <c r="F155" s="479"/>
      <c r="G155" s="479"/>
      <c r="H155" s="677"/>
      <c r="I155" s="476"/>
      <c r="J155" s="479"/>
      <c r="K155" s="479"/>
      <c r="L155" s="526"/>
      <c r="M155" s="526"/>
      <c r="N155" s="533"/>
      <c r="O155" s="533"/>
      <c r="P155" s="535"/>
      <c r="Q155" s="534"/>
    </row>
    <row r="156" spans="1:17" s="480" customFormat="1" x14ac:dyDescent="0.25">
      <c r="A156" s="656"/>
      <c r="B156" s="662"/>
      <c r="C156" s="657"/>
      <c r="D156" s="658"/>
      <c r="E156" s="658"/>
      <c r="F156" s="479"/>
      <c r="G156" s="479"/>
      <c r="H156" s="677"/>
      <c r="I156" s="476"/>
      <c r="J156" s="479"/>
      <c r="K156" s="479"/>
      <c r="L156" s="526"/>
      <c r="M156" s="526"/>
      <c r="N156" s="533"/>
      <c r="O156" s="533"/>
      <c r="P156" s="535"/>
      <c r="Q156" s="534"/>
    </row>
    <row r="157" spans="1:17" s="480" customFormat="1" x14ac:dyDescent="0.25">
      <c r="A157" s="656"/>
      <c r="B157" s="662"/>
      <c r="C157" s="657"/>
      <c r="D157" s="658"/>
      <c r="E157" s="658"/>
      <c r="F157" s="479"/>
      <c r="G157" s="479"/>
      <c r="H157" s="677"/>
      <c r="I157" s="476"/>
      <c r="J157" s="479"/>
      <c r="K157" s="479"/>
      <c r="L157" s="526"/>
      <c r="M157" s="526"/>
      <c r="N157" s="533"/>
      <c r="O157" s="533"/>
      <c r="P157" s="534"/>
      <c r="Q157" s="534"/>
    </row>
    <row r="158" spans="1:17" s="480" customFormat="1" x14ac:dyDescent="0.25">
      <c r="A158" s="656"/>
      <c r="B158" s="657"/>
      <c r="C158" s="657"/>
      <c r="D158" s="658"/>
      <c r="E158" s="658"/>
      <c r="F158" s="479"/>
      <c r="G158" s="479"/>
      <c r="H158" s="677"/>
      <c r="I158" s="476"/>
      <c r="J158" s="479"/>
      <c r="K158" s="479"/>
      <c r="L158" s="526"/>
      <c r="M158" s="526"/>
      <c r="N158" s="533"/>
      <c r="O158" s="533"/>
      <c r="P158" s="535"/>
      <c r="Q158" s="534"/>
    </row>
    <row r="159" spans="1:17" s="480" customFormat="1" x14ac:dyDescent="0.25">
      <c r="A159" s="656"/>
      <c r="B159" s="657"/>
      <c r="C159" s="657"/>
      <c r="D159" s="658"/>
      <c r="E159" s="658"/>
      <c r="F159" s="479"/>
      <c r="G159" s="676"/>
      <c r="H159" s="677"/>
      <c r="I159" s="476"/>
      <c r="J159" s="479"/>
      <c r="K159" s="479"/>
      <c r="L159" s="526"/>
      <c r="M159" s="526"/>
      <c r="N159" s="533"/>
      <c r="O159" s="533"/>
      <c r="P159" s="534"/>
      <c r="Q159" s="534"/>
    </row>
    <row r="160" spans="1:17" s="480" customFormat="1" x14ac:dyDescent="0.25">
      <c r="A160" s="656"/>
      <c r="B160" s="657"/>
      <c r="C160" s="657"/>
      <c r="D160" s="658"/>
      <c r="E160" s="658"/>
      <c r="F160" s="479"/>
      <c r="G160" s="676"/>
      <c r="H160" s="677"/>
      <c r="I160" s="476"/>
      <c r="J160" s="479"/>
      <c r="K160" s="479"/>
      <c r="L160" s="526"/>
      <c r="M160" s="526"/>
      <c r="N160" s="533"/>
      <c r="O160" s="533"/>
      <c r="P160" s="534"/>
      <c r="Q160" s="534"/>
    </row>
    <row r="161" spans="1:17" s="480" customFormat="1" x14ac:dyDescent="0.25">
      <c r="A161" s="656"/>
      <c r="B161" s="657"/>
      <c r="C161" s="657"/>
      <c r="D161" s="658"/>
      <c r="E161" s="658"/>
      <c r="F161" s="479"/>
      <c r="G161" s="676"/>
      <c r="H161" s="677"/>
      <c r="I161" s="476"/>
      <c r="J161" s="479"/>
      <c r="K161" s="479"/>
      <c r="L161" s="526"/>
      <c r="M161" s="526"/>
      <c r="N161" s="533"/>
      <c r="O161" s="533"/>
      <c r="P161" s="534"/>
      <c r="Q161" s="534"/>
    </row>
    <row r="162" spans="1:17" s="480" customFormat="1" x14ac:dyDescent="0.25">
      <c r="A162" s="656"/>
      <c r="B162" s="657"/>
      <c r="C162" s="657"/>
      <c r="D162" s="658"/>
      <c r="E162" s="658"/>
      <c r="F162" s="479"/>
      <c r="G162" s="479"/>
      <c r="H162" s="677"/>
      <c r="I162" s="476"/>
      <c r="J162" s="479"/>
      <c r="K162" s="479"/>
      <c r="L162" s="526"/>
      <c r="M162" s="526"/>
      <c r="N162" s="533"/>
      <c r="O162" s="533"/>
      <c r="P162" s="534"/>
      <c r="Q162" s="534"/>
    </row>
    <row r="163" spans="1:17" s="480" customFormat="1" x14ac:dyDescent="0.25">
      <c r="A163" s="656"/>
      <c r="B163" s="657"/>
      <c r="C163" s="657"/>
      <c r="D163" s="658"/>
      <c r="E163" s="658"/>
      <c r="F163" s="479"/>
      <c r="G163" s="676"/>
      <c r="H163" s="678"/>
      <c r="I163" s="476"/>
      <c r="J163" s="479"/>
      <c r="K163" s="479"/>
      <c r="L163" s="526"/>
      <c r="M163" s="526"/>
      <c r="N163" s="533"/>
      <c r="O163" s="533"/>
      <c r="P163" s="535"/>
      <c r="Q163" s="534"/>
    </row>
    <row r="164" spans="1:17" s="480" customFormat="1" x14ac:dyDescent="0.25">
      <c r="A164" s="656"/>
      <c r="B164" s="657"/>
      <c r="C164" s="657"/>
      <c r="D164" s="658"/>
      <c r="E164" s="658"/>
      <c r="F164" s="479"/>
      <c r="G164" s="479"/>
      <c r="H164" s="677"/>
      <c r="I164" s="476"/>
      <c r="J164" s="479"/>
      <c r="K164" s="479"/>
      <c r="L164" s="526"/>
      <c r="M164" s="526"/>
      <c r="N164" s="533"/>
      <c r="O164" s="533"/>
      <c r="P164" s="535"/>
      <c r="Q164" s="534"/>
    </row>
    <row r="165" spans="1:17" s="480" customFormat="1" x14ac:dyDescent="0.25">
      <c r="A165" s="656"/>
      <c r="B165" s="657"/>
      <c r="C165" s="657"/>
      <c r="D165" s="658"/>
      <c r="E165" s="658"/>
      <c r="F165" s="479"/>
      <c r="G165" s="479"/>
      <c r="H165" s="677"/>
      <c r="I165" s="476"/>
      <c r="J165" s="479"/>
      <c r="K165" s="479"/>
      <c r="L165" s="526"/>
      <c r="M165" s="526"/>
      <c r="N165" s="533"/>
      <c r="O165" s="533"/>
      <c r="P165" s="534"/>
      <c r="Q165" s="534"/>
    </row>
    <row r="166" spans="1:17" s="480" customFormat="1" x14ac:dyDescent="0.25">
      <c r="A166" s="656"/>
      <c r="B166" s="657"/>
      <c r="C166" s="657"/>
      <c r="D166" s="658"/>
      <c r="E166" s="658"/>
      <c r="F166" s="479"/>
      <c r="G166" s="676"/>
      <c r="H166" s="677"/>
      <c r="I166" s="476"/>
      <c r="J166" s="479"/>
      <c r="K166" s="479"/>
      <c r="L166" s="526"/>
      <c r="M166" s="526"/>
      <c r="N166" s="533"/>
      <c r="O166" s="533"/>
      <c r="P166" s="535"/>
      <c r="Q166" s="534"/>
    </row>
    <row r="167" spans="1:17" s="480" customFormat="1" x14ac:dyDescent="0.25">
      <c r="A167" s="656"/>
      <c r="B167" s="657"/>
      <c r="C167" s="657"/>
      <c r="D167" s="658"/>
      <c r="E167" s="658"/>
      <c r="F167" s="479"/>
      <c r="G167" s="676"/>
      <c r="H167" s="677"/>
      <c r="I167" s="476"/>
      <c r="J167" s="479"/>
      <c r="K167" s="479"/>
      <c r="L167" s="526"/>
      <c r="M167" s="526"/>
      <c r="N167" s="533"/>
      <c r="O167" s="533"/>
      <c r="P167" s="535"/>
      <c r="Q167" s="534"/>
    </row>
    <row r="168" spans="1:17" s="480" customFormat="1" x14ac:dyDescent="0.25">
      <c r="A168" s="656"/>
      <c r="B168" s="657"/>
      <c r="C168" s="657"/>
      <c r="D168" s="658"/>
      <c r="E168" s="658"/>
      <c r="F168" s="479"/>
      <c r="G168" s="676"/>
      <c r="H168" s="677"/>
      <c r="I168" s="476"/>
      <c r="J168" s="479"/>
      <c r="K168" s="479"/>
      <c r="L168" s="526"/>
      <c r="M168" s="526"/>
      <c r="N168" s="533"/>
      <c r="O168" s="533"/>
      <c r="P168" s="535"/>
      <c r="Q168" s="534"/>
    </row>
    <row r="169" spans="1:17" s="480" customFormat="1" x14ac:dyDescent="0.25">
      <c r="A169" s="656"/>
      <c r="B169" s="657"/>
      <c r="C169" s="657"/>
      <c r="D169" s="658"/>
      <c r="E169" s="658"/>
      <c r="F169" s="479"/>
      <c r="G169" s="479"/>
      <c r="H169" s="677"/>
      <c r="I169" s="476"/>
      <c r="J169" s="479"/>
      <c r="K169" s="479"/>
      <c r="L169" s="526"/>
      <c r="M169" s="526"/>
      <c r="N169" s="533"/>
      <c r="O169" s="533"/>
      <c r="P169" s="535"/>
      <c r="Q169" s="534"/>
    </row>
    <row r="170" spans="1:17" s="480" customFormat="1" x14ac:dyDescent="0.25">
      <c r="A170" s="656"/>
      <c r="B170" s="657"/>
      <c r="C170" s="657"/>
      <c r="D170" s="658"/>
      <c r="E170" s="658"/>
      <c r="F170" s="479"/>
      <c r="G170" s="676"/>
      <c r="H170" s="677"/>
      <c r="I170" s="476"/>
      <c r="J170" s="479"/>
      <c r="K170" s="479"/>
      <c r="L170" s="526"/>
      <c r="M170" s="526"/>
      <c r="N170" s="533"/>
      <c r="O170" s="533"/>
      <c r="P170" s="535"/>
      <c r="Q170" s="534"/>
    </row>
    <row r="171" spans="1:17" s="480" customFormat="1" x14ac:dyDescent="0.25">
      <c r="A171" s="656"/>
      <c r="B171" s="657"/>
      <c r="C171" s="657"/>
      <c r="D171" s="658"/>
      <c r="E171" s="658"/>
      <c r="F171" s="479"/>
      <c r="G171" s="676"/>
      <c r="H171" s="677"/>
      <c r="I171" s="476"/>
      <c r="J171" s="479"/>
      <c r="K171" s="479"/>
      <c r="L171" s="526"/>
      <c r="M171" s="526"/>
      <c r="N171" s="533"/>
      <c r="O171" s="533"/>
      <c r="P171" s="535"/>
      <c r="Q171" s="534"/>
    </row>
    <row r="172" spans="1:17" s="480" customFormat="1" x14ac:dyDescent="0.25">
      <c r="A172" s="656"/>
      <c r="B172" s="657"/>
      <c r="C172" s="657"/>
      <c r="D172" s="658"/>
      <c r="E172" s="658"/>
      <c r="F172" s="479"/>
      <c r="G172" s="676"/>
      <c r="H172" s="677"/>
      <c r="I172" s="476"/>
      <c r="J172" s="479"/>
      <c r="K172" s="479"/>
      <c r="L172" s="526"/>
      <c r="M172" s="526"/>
      <c r="N172" s="533"/>
      <c r="O172" s="533"/>
      <c r="P172" s="535"/>
      <c r="Q172" s="534"/>
    </row>
    <row r="173" spans="1:17" s="480" customFormat="1" x14ac:dyDescent="0.25">
      <c r="A173" s="656"/>
      <c r="B173" s="657"/>
      <c r="C173" s="657"/>
      <c r="D173" s="658"/>
      <c r="E173" s="658"/>
      <c r="F173" s="479"/>
      <c r="G173" s="676"/>
      <c r="H173" s="677"/>
      <c r="I173" s="476"/>
      <c r="J173" s="479"/>
      <c r="K173" s="479"/>
      <c r="L173" s="526"/>
      <c r="M173" s="526"/>
      <c r="N173" s="533"/>
      <c r="O173" s="533"/>
      <c r="P173" s="535"/>
      <c r="Q173" s="534"/>
    </row>
    <row r="174" spans="1:17" s="480" customFormat="1" x14ac:dyDescent="0.25">
      <c r="A174" s="656"/>
      <c r="B174" s="657"/>
      <c r="C174" s="657"/>
      <c r="D174" s="658"/>
      <c r="E174" s="658"/>
      <c r="F174" s="479"/>
      <c r="G174" s="676"/>
      <c r="H174" s="677"/>
      <c r="I174" s="476"/>
      <c r="J174" s="479"/>
      <c r="K174" s="479"/>
      <c r="L174" s="526"/>
      <c r="M174" s="526"/>
      <c r="N174" s="533"/>
      <c r="O174" s="533"/>
      <c r="P174" s="535"/>
      <c r="Q174" s="534"/>
    </row>
    <row r="175" spans="1:17" s="480" customFormat="1" x14ac:dyDescent="0.25">
      <c r="A175" s="656"/>
      <c r="B175" s="657"/>
      <c r="C175" s="657"/>
      <c r="D175" s="658"/>
      <c r="E175" s="658"/>
      <c r="F175" s="479"/>
      <c r="G175" s="479"/>
      <c r="H175" s="677"/>
      <c r="I175" s="476"/>
      <c r="J175" s="479"/>
      <c r="K175" s="479"/>
      <c r="L175" s="526"/>
      <c r="M175" s="526"/>
      <c r="N175" s="533"/>
      <c r="O175" s="533"/>
      <c r="P175" s="534"/>
      <c r="Q175" s="534"/>
    </row>
    <row r="176" spans="1:17" s="480" customFormat="1" x14ac:dyDescent="0.25">
      <c r="A176" s="656"/>
      <c r="B176" s="657"/>
      <c r="C176" s="657"/>
      <c r="D176" s="658"/>
      <c r="E176" s="658"/>
      <c r="F176" s="479"/>
      <c r="G176" s="676"/>
      <c r="H176" s="677"/>
      <c r="I176" s="476"/>
      <c r="J176" s="479"/>
      <c r="K176" s="479"/>
      <c r="L176" s="526"/>
      <c r="M176" s="526"/>
      <c r="N176" s="533"/>
      <c r="O176" s="533"/>
      <c r="P176" s="534"/>
      <c r="Q176" s="534"/>
    </row>
    <row r="177" spans="1:17" s="480" customFormat="1" x14ac:dyDescent="0.25">
      <c r="A177" s="656"/>
      <c r="B177" s="657"/>
      <c r="C177" s="657"/>
      <c r="D177" s="658"/>
      <c r="E177" s="658"/>
      <c r="F177" s="479"/>
      <c r="G177" s="479"/>
      <c r="H177" s="677"/>
      <c r="I177" s="476"/>
      <c r="J177" s="479"/>
      <c r="K177" s="479"/>
      <c r="L177" s="526"/>
      <c r="M177" s="526"/>
      <c r="N177" s="533"/>
      <c r="O177" s="533"/>
      <c r="P177" s="534"/>
      <c r="Q177" s="534"/>
    </row>
    <row r="178" spans="1:17" s="480" customFormat="1" x14ac:dyDescent="0.25">
      <c r="A178" s="656"/>
      <c r="B178" s="657"/>
      <c r="C178" s="657"/>
      <c r="D178" s="658"/>
      <c r="E178" s="658"/>
      <c r="F178" s="479"/>
      <c r="G178" s="479"/>
      <c r="H178" s="677"/>
      <c r="I178" s="476"/>
      <c r="J178" s="479"/>
      <c r="K178" s="479"/>
      <c r="L178" s="526"/>
      <c r="M178" s="526"/>
      <c r="N178" s="533"/>
      <c r="O178" s="533"/>
      <c r="P178" s="534"/>
      <c r="Q178" s="534"/>
    </row>
    <row r="179" spans="1:17" s="480" customFormat="1" x14ac:dyDescent="0.25">
      <c r="A179" s="656"/>
      <c r="B179" s="657"/>
      <c r="C179" s="657"/>
      <c r="D179" s="658"/>
      <c r="E179" s="658"/>
      <c r="F179" s="479"/>
      <c r="G179" s="479"/>
      <c r="H179" s="677"/>
      <c r="I179" s="476"/>
      <c r="J179" s="479"/>
      <c r="K179" s="479"/>
      <c r="L179" s="526"/>
      <c r="M179" s="526"/>
      <c r="N179" s="533"/>
      <c r="O179" s="533"/>
      <c r="P179" s="535"/>
      <c r="Q179" s="534"/>
    </row>
    <row r="180" spans="1:17" s="480" customFormat="1" x14ac:dyDescent="0.25">
      <c r="A180" s="656"/>
      <c r="B180" s="657"/>
      <c r="C180" s="657"/>
      <c r="D180" s="658"/>
      <c r="E180" s="658"/>
      <c r="F180" s="479"/>
      <c r="G180" s="479"/>
      <c r="H180" s="677"/>
      <c r="I180" s="476"/>
      <c r="J180" s="479"/>
      <c r="K180" s="479"/>
      <c r="L180" s="526"/>
      <c r="M180" s="526"/>
      <c r="N180" s="533"/>
      <c r="O180" s="533"/>
      <c r="P180" s="534"/>
      <c r="Q180" s="534"/>
    </row>
    <row r="181" spans="1:17" s="480" customFormat="1" x14ac:dyDescent="0.25">
      <c r="A181" s="656"/>
      <c r="B181" s="657"/>
      <c r="C181" s="657"/>
      <c r="D181" s="658"/>
      <c r="E181" s="658"/>
      <c r="F181" s="479"/>
      <c r="G181" s="479"/>
      <c r="H181" s="677"/>
      <c r="I181" s="476"/>
      <c r="J181" s="479"/>
      <c r="K181" s="479"/>
      <c r="L181" s="526"/>
      <c r="M181" s="526"/>
      <c r="N181" s="533"/>
      <c r="O181" s="533"/>
      <c r="P181" s="535"/>
      <c r="Q181" s="534"/>
    </row>
    <row r="182" spans="1:17" s="480" customFormat="1" x14ac:dyDescent="0.25">
      <c r="A182" s="656"/>
      <c r="B182" s="657"/>
      <c r="C182" s="657"/>
      <c r="D182" s="658"/>
      <c r="E182" s="658"/>
      <c r="F182" s="479"/>
      <c r="G182" s="479"/>
      <c r="H182" s="677"/>
      <c r="I182" s="476"/>
      <c r="J182" s="479"/>
      <c r="K182" s="479"/>
      <c r="L182" s="526"/>
      <c r="M182" s="526"/>
      <c r="N182" s="533"/>
      <c r="O182" s="533"/>
      <c r="P182" s="534"/>
      <c r="Q182" s="534"/>
    </row>
    <row r="183" spans="1:17" s="480" customFormat="1" x14ac:dyDescent="0.25">
      <c r="A183" s="656"/>
      <c r="B183" s="657"/>
      <c r="C183" s="657"/>
      <c r="D183" s="658"/>
      <c r="E183" s="658"/>
      <c r="F183" s="479"/>
      <c r="G183" s="479"/>
      <c r="H183" s="677"/>
      <c r="I183" s="476"/>
      <c r="J183" s="479"/>
      <c r="K183" s="479"/>
      <c r="L183" s="526"/>
      <c r="M183" s="526"/>
      <c r="N183" s="533"/>
      <c r="O183" s="533"/>
      <c r="P183" s="535"/>
      <c r="Q183" s="534"/>
    </row>
    <row r="184" spans="1:17" s="480" customFormat="1" x14ac:dyDescent="0.25">
      <c r="A184" s="656"/>
      <c r="B184" s="657"/>
      <c r="C184" s="657"/>
      <c r="D184" s="658"/>
      <c r="E184" s="658"/>
      <c r="F184" s="479"/>
      <c r="G184" s="479"/>
      <c r="H184" s="677"/>
      <c r="I184" s="476"/>
      <c r="J184" s="479"/>
      <c r="K184" s="479"/>
      <c r="L184" s="526"/>
      <c r="M184" s="526"/>
      <c r="N184" s="533"/>
      <c r="O184" s="533"/>
      <c r="P184" s="535"/>
      <c r="Q184" s="534"/>
    </row>
    <row r="185" spans="1:17" s="480" customFormat="1" x14ac:dyDescent="0.25">
      <c r="A185" s="656"/>
      <c r="B185" s="657"/>
      <c r="C185" s="657"/>
      <c r="D185" s="658"/>
      <c r="E185" s="658"/>
      <c r="F185" s="479"/>
      <c r="G185" s="479"/>
      <c r="H185" s="677"/>
      <c r="I185" s="476"/>
      <c r="J185" s="479"/>
      <c r="K185" s="479"/>
      <c r="L185" s="526"/>
      <c r="M185" s="526"/>
      <c r="N185" s="533"/>
      <c r="O185" s="533"/>
      <c r="P185" s="534"/>
      <c r="Q185" s="534"/>
    </row>
    <row r="186" spans="1:17" s="480" customFormat="1" x14ac:dyDescent="0.25">
      <c r="A186" s="656"/>
      <c r="B186" s="657"/>
      <c r="C186" s="657"/>
      <c r="D186" s="658"/>
      <c r="E186" s="658"/>
      <c r="F186" s="479"/>
      <c r="G186" s="479"/>
      <c r="H186" s="677"/>
      <c r="I186" s="476"/>
      <c r="J186" s="479"/>
      <c r="K186" s="479"/>
      <c r="L186" s="526"/>
      <c r="M186" s="537"/>
      <c r="N186" s="533"/>
      <c r="O186" s="533"/>
      <c r="P186" s="535"/>
      <c r="Q186" s="534"/>
    </row>
    <row r="187" spans="1:17" s="480" customFormat="1" x14ac:dyDescent="0.25">
      <c r="A187" s="656"/>
      <c r="B187" s="657"/>
      <c r="C187" s="657"/>
      <c r="D187" s="658"/>
      <c r="E187" s="658"/>
      <c r="F187" s="479"/>
      <c r="G187" s="479"/>
      <c r="H187" s="677"/>
      <c r="I187" s="476"/>
      <c r="J187" s="479"/>
      <c r="K187" s="479"/>
      <c r="L187" s="526"/>
      <c r="M187" s="526"/>
      <c r="N187" s="533"/>
      <c r="O187" s="533"/>
      <c r="P187" s="534"/>
      <c r="Q187" s="534"/>
    </row>
    <row r="188" spans="1:17" s="480" customFormat="1" x14ac:dyDescent="0.25">
      <c r="A188" s="656"/>
      <c r="B188" s="657"/>
      <c r="C188" s="657"/>
      <c r="D188" s="658"/>
      <c r="E188" s="658"/>
      <c r="F188" s="479"/>
      <c r="G188" s="479"/>
      <c r="H188" s="677"/>
      <c r="I188" s="476"/>
      <c r="J188" s="479"/>
      <c r="K188" s="479"/>
      <c r="L188" s="526"/>
      <c r="M188" s="526"/>
      <c r="N188" s="533"/>
      <c r="O188" s="533"/>
      <c r="P188" s="534"/>
      <c r="Q188" s="534"/>
    </row>
    <row r="189" spans="1:17" s="480" customFormat="1" x14ac:dyDescent="0.25">
      <c r="A189" s="656"/>
      <c r="B189" s="657"/>
      <c r="C189" s="657"/>
      <c r="D189" s="658"/>
      <c r="E189" s="658"/>
      <c r="F189" s="479"/>
      <c r="G189" s="479"/>
      <c r="H189" s="677"/>
      <c r="I189" s="476"/>
      <c r="J189" s="479"/>
      <c r="K189" s="479"/>
      <c r="L189" s="526"/>
      <c r="M189" s="526"/>
      <c r="N189" s="533"/>
      <c r="O189" s="533"/>
      <c r="P189" s="534"/>
      <c r="Q189" s="534"/>
    </row>
    <row r="190" spans="1:17" s="480" customFormat="1" x14ac:dyDescent="0.25">
      <c r="A190" s="656"/>
      <c r="B190" s="657"/>
      <c r="C190" s="657"/>
      <c r="D190" s="658"/>
      <c r="E190" s="658"/>
      <c r="F190" s="479"/>
      <c r="G190" s="479"/>
      <c r="H190" s="677"/>
      <c r="I190" s="476"/>
      <c r="J190" s="479"/>
      <c r="K190" s="479"/>
      <c r="L190" s="526"/>
      <c r="M190" s="526"/>
      <c r="N190" s="533"/>
      <c r="O190" s="533"/>
      <c r="P190" s="534"/>
      <c r="Q190" s="534"/>
    </row>
    <row r="191" spans="1:17" s="480" customFormat="1" x14ac:dyDescent="0.25">
      <c r="A191" s="656"/>
      <c r="B191" s="657"/>
      <c r="C191" s="657"/>
      <c r="D191" s="658"/>
      <c r="E191" s="658"/>
      <c r="F191" s="479"/>
      <c r="G191" s="479"/>
      <c r="H191" s="677"/>
      <c r="I191" s="476"/>
      <c r="J191" s="479"/>
      <c r="K191" s="479"/>
      <c r="L191" s="526"/>
      <c r="M191" s="526"/>
      <c r="N191" s="533"/>
      <c r="O191" s="533"/>
      <c r="P191" s="534"/>
      <c r="Q191" s="534"/>
    </row>
    <row r="192" spans="1:17" s="480" customFormat="1" x14ac:dyDescent="0.25">
      <c r="A192" s="656"/>
      <c r="B192" s="657"/>
      <c r="C192" s="657"/>
      <c r="D192" s="658"/>
      <c r="E192" s="658"/>
      <c r="F192" s="479"/>
      <c r="G192" s="479"/>
      <c r="H192" s="677"/>
      <c r="I192" s="476"/>
      <c r="J192" s="479"/>
      <c r="K192" s="479"/>
      <c r="L192" s="526"/>
      <c r="M192" s="526"/>
      <c r="N192" s="533"/>
      <c r="O192" s="533"/>
      <c r="P192" s="534"/>
      <c r="Q192" s="534"/>
    </row>
    <row r="193" spans="1:17" s="480" customFormat="1" x14ac:dyDescent="0.25">
      <c r="A193" s="656"/>
      <c r="B193" s="657"/>
      <c r="C193" s="657"/>
      <c r="D193" s="658"/>
      <c r="E193" s="658"/>
      <c r="F193" s="479"/>
      <c r="G193" s="479"/>
      <c r="H193" s="677"/>
      <c r="I193" s="476"/>
      <c r="J193" s="479"/>
      <c r="K193" s="479"/>
      <c r="L193" s="526"/>
      <c r="M193" s="526"/>
      <c r="N193" s="533"/>
      <c r="O193" s="533"/>
      <c r="P193" s="534"/>
      <c r="Q193" s="534"/>
    </row>
    <row r="194" spans="1:17" s="480" customFormat="1" x14ac:dyDescent="0.25">
      <c r="A194" s="656"/>
      <c r="B194" s="657"/>
      <c r="C194" s="657"/>
      <c r="D194" s="658"/>
      <c r="E194" s="658"/>
      <c r="F194" s="479"/>
      <c r="G194" s="479"/>
      <c r="H194" s="677"/>
      <c r="I194" s="476"/>
      <c r="J194" s="479"/>
      <c r="K194" s="479"/>
      <c r="L194" s="526"/>
      <c r="M194" s="526"/>
      <c r="N194" s="533"/>
      <c r="O194" s="533"/>
      <c r="P194" s="534"/>
      <c r="Q194" s="534"/>
    </row>
    <row r="195" spans="1:17" s="480" customFormat="1" x14ac:dyDescent="0.25">
      <c r="A195" s="656"/>
      <c r="B195" s="657"/>
      <c r="C195" s="657"/>
      <c r="D195" s="658"/>
      <c r="E195" s="658"/>
      <c r="F195" s="479"/>
      <c r="G195" s="479"/>
      <c r="H195" s="677"/>
      <c r="I195" s="476"/>
      <c r="J195" s="479"/>
      <c r="K195" s="479"/>
      <c r="L195" s="526"/>
      <c r="M195" s="526"/>
      <c r="N195" s="533"/>
      <c r="O195" s="533"/>
      <c r="P195" s="534"/>
      <c r="Q195" s="534"/>
    </row>
    <row r="196" spans="1:17" s="480" customFormat="1" x14ac:dyDescent="0.25">
      <c r="A196" s="656"/>
      <c r="B196" s="657"/>
      <c r="C196" s="657"/>
      <c r="D196" s="658"/>
      <c r="E196" s="658"/>
      <c r="F196" s="479"/>
      <c r="G196" s="479"/>
      <c r="H196" s="677"/>
      <c r="I196" s="476"/>
      <c r="J196" s="479"/>
      <c r="K196" s="479"/>
      <c r="L196" s="526"/>
      <c r="M196" s="526"/>
      <c r="N196" s="533"/>
      <c r="O196" s="533"/>
      <c r="P196" s="534"/>
      <c r="Q196" s="534"/>
    </row>
    <row r="197" spans="1:17" s="480" customFormat="1" x14ac:dyDescent="0.25">
      <c r="A197" s="656"/>
      <c r="B197" s="657"/>
      <c r="C197" s="657"/>
      <c r="D197" s="658"/>
      <c r="E197" s="658"/>
      <c r="F197" s="479"/>
      <c r="G197" s="479"/>
      <c r="H197" s="677"/>
      <c r="I197" s="476"/>
      <c r="J197" s="479"/>
      <c r="K197" s="479"/>
      <c r="L197" s="526"/>
      <c r="M197" s="526"/>
      <c r="N197" s="533"/>
      <c r="O197" s="533"/>
      <c r="P197" s="534"/>
      <c r="Q197" s="534"/>
    </row>
    <row r="198" spans="1:17" s="480" customFormat="1" x14ac:dyDescent="0.25">
      <c r="A198" s="656"/>
      <c r="B198" s="657"/>
      <c r="C198" s="657"/>
      <c r="D198" s="658"/>
      <c r="E198" s="658"/>
      <c r="F198" s="479"/>
      <c r="G198" s="676"/>
      <c r="H198" s="677"/>
      <c r="I198" s="476"/>
      <c r="J198" s="479"/>
      <c r="K198" s="479"/>
      <c r="L198" s="526"/>
      <c r="M198" s="526"/>
      <c r="N198" s="533"/>
      <c r="O198" s="533"/>
      <c r="P198" s="534"/>
      <c r="Q198" s="534"/>
    </row>
    <row r="199" spans="1:17" s="480" customFormat="1" x14ac:dyDescent="0.25">
      <c r="A199" s="656"/>
      <c r="B199" s="657"/>
      <c r="C199" s="657"/>
      <c r="D199" s="658"/>
      <c r="E199" s="658"/>
      <c r="F199" s="479"/>
      <c r="G199" s="479"/>
      <c r="H199" s="677"/>
      <c r="I199" s="476"/>
      <c r="J199" s="479"/>
      <c r="K199" s="479"/>
      <c r="L199" s="526"/>
      <c r="M199" s="526"/>
      <c r="N199" s="533"/>
      <c r="O199" s="533"/>
      <c r="P199" s="534"/>
      <c r="Q199" s="534"/>
    </row>
    <row r="200" spans="1:17" s="480" customFormat="1" x14ac:dyDescent="0.25">
      <c r="A200" s="656"/>
      <c r="B200" s="657"/>
      <c r="C200" s="657"/>
      <c r="D200" s="658"/>
      <c r="E200" s="658"/>
      <c r="F200" s="479"/>
      <c r="G200" s="479"/>
      <c r="H200" s="677"/>
      <c r="I200" s="476"/>
      <c r="J200" s="479"/>
      <c r="K200" s="479"/>
      <c r="L200" s="526"/>
      <c r="M200" s="526"/>
      <c r="N200" s="533"/>
      <c r="O200" s="533"/>
      <c r="P200" s="534"/>
      <c r="Q200" s="534"/>
    </row>
    <row r="201" spans="1:17" s="480" customFormat="1" x14ac:dyDescent="0.25">
      <c r="A201" s="656"/>
      <c r="B201" s="657"/>
      <c r="C201" s="657"/>
      <c r="D201" s="658"/>
      <c r="E201" s="658"/>
      <c r="F201" s="479"/>
      <c r="G201" s="479"/>
      <c r="H201" s="677"/>
      <c r="I201" s="476"/>
      <c r="J201" s="479"/>
      <c r="K201" s="479"/>
      <c r="L201" s="526"/>
      <c r="M201" s="526"/>
      <c r="N201" s="533"/>
      <c r="O201" s="533"/>
      <c r="P201" s="534"/>
      <c r="Q201" s="534"/>
    </row>
    <row r="202" spans="1:17" s="480" customFormat="1" x14ac:dyDescent="0.25">
      <c r="A202" s="656"/>
      <c r="B202" s="657"/>
      <c r="C202" s="657"/>
      <c r="D202" s="658"/>
      <c r="E202" s="658"/>
      <c r="F202" s="479"/>
      <c r="G202" s="479"/>
      <c r="H202" s="677"/>
      <c r="I202" s="476"/>
      <c r="J202" s="479"/>
      <c r="K202" s="479"/>
      <c r="L202" s="526"/>
      <c r="M202" s="526"/>
      <c r="N202" s="533"/>
      <c r="O202" s="533"/>
      <c r="P202" s="534"/>
      <c r="Q202" s="534"/>
    </row>
    <row r="203" spans="1:17" s="480" customFormat="1" x14ac:dyDescent="0.25">
      <c r="A203" s="656"/>
      <c r="B203" s="657"/>
      <c r="C203" s="657"/>
      <c r="D203" s="658"/>
      <c r="E203" s="658"/>
      <c r="F203" s="479"/>
      <c r="G203" s="479"/>
      <c r="H203" s="677"/>
      <c r="I203" s="476"/>
      <c r="J203" s="479"/>
      <c r="K203" s="479"/>
      <c r="L203" s="526"/>
      <c r="M203" s="526"/>
      <c r="N203" s="533"/>
      <c r="O203" s="533"/>
      <c r="P203" s="534"/>
      <c r="Q203" s="534"/>
    </row>
    <row r="204" spans="1:17" s="480" customFormat="1" x14ac:dyDescent="0.25">
      <c r="A204" s="656"/>
      <c r="B204" s="657"/>
      <c r="C204" s="657"/>
      <c r="D204" s="658"/>
      <c r="E204" s="658"/>
      <c r="F204" s="479"/>
      <c r="G204" s="479"/>
      <c r="H204" s="677"/>
      <c r="I204" s="476"/>
      <c r="J204" s="479"/>
      <c r="K204" s="479"/>
      <c r="L204" s="526"/>
      <c r="M204" s="526"/>
      <c r="N204" s="533"/>
      <c r="O204" s="533"/>
      <c r="P204" s="534"/>
      <c r="Q204" s="534"/>
    </row>
    <row r="205" spans="1:17" s="480" customFormat="1" x14ac:dyDescent="0.25">
      <c r="A205" s="656"/>
      <c r="B205" s="657"/>
      <c r="C205" s="657"/>
      <c r="D205" s="658"/>
      <c r="E205" s="658"/>
      <c r="F205" s="479"/>
      <c r="G205" s="479"/>
      <c r="H205" s="677"/>
      <c r="I205" s="476"/>
      <c r="J205" s="479"/>
      <c r="K205" s="479"/>
      <c r="L205" s="526"/>
      <c r="M205" s="526"/>
      <c r="N205" s="533"/>
      <c r="O205" s="533"/>
      <c r="P205" s="534"/>
      <c r="Q205" s="534"/>
    </row>
    <row r="206" spans="1:17" s="480" customFormat="1" x14ac:dyDescent="0.25">
      <c r="A206" s="656"/>
      <c r="B206" s="657"/>
      <c r="C206" s="657"/>
      <c r="D206" s="658"/>
      <c r="E206" s="658"/>
      <c r="F206" s="479"/>
      <c r="G206" s="479"/>
      <c r="H206" s="677"/>
      <c r="I206" s="476"/>
      <c r="J206" s="479"/>
      <c r="K206" s="479"/>
      <c r="L206" s="526"/>
      <c r="M206" s="526"/>
      <c r="N206" s="533"/>
      <c r="O206" s="533"/>
      <c r="P206" s="534"/>
      <c r="Q206" s="534"/>
    </row>
    <row r="207" spans="1:17" s="480" customFormat="1" x14ac:dyDescent="0.25">
      <c r="A207" s="656"/>
      <c r="B207" s="657"/>
      <c r="C207" s="657"/>
      <c r="D207" s="658"/>
      <c r="E207" s="658"/>
      <c r="F207" s="479"/>
      <c r="G207" s="479"/>
      <c r="H207" s="677"/>
      <c r="I207" s="476"/>
      <c r="J207" s="479"/>
      <c r="K207" s="479"/>
      <c r="L207" s="526"/>
      <c r="M207" s="526"/>
      <c r="N207" s="533"/>
      <c r="O207" s="533"/>
      <c r="P207" s="535"/>
      <c r="Q207" s="534"/>
    </row>
    <row r="208" spans="1:17" s="480" customFormat="1" x14ac:dyDescent="0.25">
      <c r="A208" s="656"/>
      <c r="B208" s="657"/>
      <c r="C208" s="657"/>
      <c r="D208" s="658"/>
      <c r="E208" s="658"/>
      <c r="F208" s="479"/>
      <c r="G208" s="479"/>
      <c r="H208" s="677"/>
      <c r="I208" s="476"/>
      <c r="J208" s="479"/>
      <c r="K208" s="479"/>
      <c r="L208" s="526"/>
      <c r="M208" s="526"/>
      <c r="N208" s="533"/>
      <c r="O208" s="533"/>
      <c r="P208" s="535"/>
      <c r="Q208" s="534"/>
    </row>
    <row r="209" spans="1:17" s="480" customFormat="1" x14ac:dyDescent="0.25">
      <c r="A209" s="656"/>
      <c r="B209" s="657"/>
      <c r="C209" s="657"/>
      <c r="D209" s="658"/>
      <c r="E209" s="658"/>
      <c r="F209" s="479"/>
      <c r="G209" s="479"/>
      <c r="H209" s="677"/>
      <c r="I209" s="476"/>
      <c r="J209" s="479"/>
      <c r="K209" s="479"/>
      <c r="L209" s="526"/>
      <c r="M209" s="526"/>
      <c r="N209" s="533"/>
      <c r="O209" s="533"/>
      <c r="P209" s="535"/>
      <c r="Q209" s="534"/>
    </row>
    <row r="210" spans="1:17" s="480" customFormat="1" x14ac:dyDescent="0.25">
      <c r="A210" s="656"/>
      <c r="B210" s="657"/>
      <c r="C210" s="657"/>
      <c r="D210" s="658"/>
      <c r="E210" s="658"/>
      <c r="F210" s="479"/>
      <c r="G210" s="479"/>
      <c r="H210" s="677"/>
      <c r="I210" s="476"/>
      <c r="J210" s="479"/>
      <c r="K210" s="479"/>
      <c r="L210" s="526"/>
      <c r="M210" s="526"/>
      <c r="N210" s="533"/>
      <c r="O210" s="533"/>
      <c r="P210" s="535"/>
      <c r="Q210" s="534"/>
    </row>
    <row r="211" spans="1:17" s="480" customFormat="1" x14ac:dyDescent="0.25">
      <c r="A211" s="656"/>
      <c r="B211" s="657"/>
      <c r="C211" s="657"/>
      <c r="D211" s="658"/>
      <c r="E211" s="658"/>
      <c r="F211" s="479"/>
      <c r="G211" s="479"/>
      <c r="H211" s="677"/>
      <c r="I211" s="476"/>
      <c r="J211" s="479"/>
      <c r="K211" s="479"/>
      <c r="L211" s="526"/>
      <c r="M211" s="526"/>
      <c r="N211" s="533"/>
      <c r="O211" s="533"/>
      <c r="P211" s="535"/>
      <c r="Q211" s="534"/>
    </row>
    <row r="212" spans="1:17" s="480" customFormat="1" x14ac:dyDescent="0.25">
      <c r="A212" s="656"/>
      <c r="B212" s="657"/>
      <c r="C212" s="657"/>
      <c r="D212" s="658"/>
      <c r="E212" s="658"/>
      <c r="F212" s="479"/>
      <c r="G212" s="479"/>
      <c r="H212" s="677"/>
      <c r="I212" s="476"/>
      <c r="J212" s="479"/>
      <c r="K212" s="479"/>
      <c r="L212" s="526"/>
      <c r="M212" s="526"/>
      <c r="N212" s="533"/>
      <c r="O212" s="533"/>
      <c r="P212" s="535"/>
      <c r="Q212" s="534"/>
    </row>
    <row r="213" spans="1:17" s="480" customFormat="1" x14ac:dyDescent="0.25">
      <c r="A213" s="656"/>
      <c r="B213" s="657"/>
      <c r="C213" s="657"/>
      <c r="D213" s="658"/>
      <c r="E213" s="658"/>
      <c r="F213" s="479"/>
      <c r="G213" s="479"/>
      <c r="H213" s="677"/>
      <c r="I213" s="476"/>
      <c r="J213" s="479"/>
      <c r="K213" s="479"/>
      <c r="L213" s="526"/>
      <c r="M213" s="526"/>
      <c r="N213" s="533"/>
      <c r="O213" s="533"/>
      <c r="P213" s="535"/>
      <c r="Q213" s="534"/>
    </row>
    <row r="214" spans="1:17" s="480" customFormat="1" x14ac:dyDescent="0.25">
      <c r="A214" s="656"/>
      <c r="B214" s="657"/>
      <c r="C214" s="657"/>
      <c r="D214" s="658"/>
      <c r="E214" s="658"/>
      <c r="F214" s="479"/>
      <c r="G214" s="479"/>
      <c r="H214" s="677"/>
      <c r="I214" s="476"/>
      <c r="J214" s="479"/>
      <c r="K214" s="479"/>
      <c r="L214" s="526"/>
      <c r="M214" s="526"/>
      <c r="N214" s="533"/>
      <c r="O214" s="533"/>
      <c r="P214" s="535"/>
      <c r="Q214" s="534"/>
    </row>
    <row r="215" spans="1:17" s="480" customFormat="1" x14ac:dyDescent="0.25">
      <c r="A215" s="656"/>
      <c r="B215" s="657"/>
      <c r="C215" s="657"/>
      <c r="D215" s="658"/>
      <c r="E215" s="658"/>
      <c r="F215" s="479"/>
      <c r="G215" s="479"/>
      <c r="H215" s="677"/>
      <c r="I215" s="476"/>
      <c r="J215" s="479"/>
      <c r="K215" s="479"/>
      <c r="L215" s="526"/>
      <c r="M215" s="526"/>
      <c r="N215" s="533"/>
      <c r="O215" s="533"/>
      <c r="P215" s="535"/>
      <c r="Q215" s="534"/>
    </row>
    <row r="216" spans="1:17" s="480" customFormat="1" x14ac:dyDescent="0.25">
      <c r="A216" s="656"/>
      <c r="B216" s="657"/>
      <c r="C216" s="657"/>
      <c r="D216" s="658"/>
      <c r="E216" s="658"/>
      <c r="F216" s="479"/>
      <c r="G216" s="479"/>
      <c r="H216" s="677"/>
      <c r="I216" s="476"/>
      <c r="J216" s="479"/>
      <c r="K216" s="479"/>
      <c r="L216" s="526"/>
      <c r="M216" s="526"/>
      <c r="N216" s="533"/>
      <c r="O216" s="533"/>
      <c r="P216" s="534"/>
      <c r="Q216" s="534"/>
    </row>
    <row r="217" spans="1:17" s="480" customFormat="1" x14ac:dyDescent="0.25">
      <c r="A217" s="656"/>
      <c r="B217" s="657"/>
      <c r="C217" s="657"/>
      <c r="D217" s="658"/>
      <c r="E217" s="658"/>
      <c r="F217" s="479"/>
      <c r="G217" s="479"/>
      <c r="H217" s="677"/>
      <c r="I217" s="476"/>
      <c r="J217" s="479"/>
      <c r="K217" s="479"/>
      <c r="L217" s="526"/>
      <c r="M217" s="526"/>
      <c r="N217" s="533"/>
      <c r="O217" s="533"/>
      <c r="P217" s="528"/>
      <c r="Q217" s="534"/>
    </row>
    <row r="218" spans="1:17" s="480" customFormat="1" x14ac:dyDescent="0.25">
      <c r="A218" s="656"/>
      <c r="B218" s="657"/>
      <c r="C218" s="657"/>
      <c r="D218" s="658"/>
      <c r="E218" s="658"/>
      <c r="F218" s="479"/>
      <c r="G218" s="479"/>
      <c r="H218" s="677"/>
      <c r="I218" s="476"/>
      <c r="J218" s="479"/>
      <c r="K218" s="479"/>
      <c r="L218" s="526"/>
      <c r="M218" s="526"/>
      <c r="N218" s="533"/>
      <c r="O218" s="533"/>
      <c r="P218" s="535"/>
      <c r="Q218" s="534"/>
    </row>
    <row r="219" spans="1:17" s="480" customFormat="1" x14ac:dyDescent="0.25">
      <c r="A219" s="656"/>
      <c r="B219" s="657"/>
      <c r="C219" s="657"/>
      <c r="D219" s="658"/>
      <c r="E219" s="658"/>
      <c r="F219" s="479"/>
      <c r="G219" s="479"/>
      <c r="H219" s="677"/>
      <c r="I219" s="476"/>
      <c r="J219" s="479"/>
      <c r="K219" s="479"/>
      <c r="L219" s="526"/>
      <c r="M219" s="526"/>
      <c r="N219" s="533"/>
      <c r="O219" s="533"/>
      <c r="P219" s="534"/>
      <c r="Q219" s="534"/>
    </row>
    <row r="220" spans="1:17" s="480" customFormat="1" x14ac:dyDescent="0.25">
      <c r="A220" s="656"/>
      <c r="B220" s="657"/>
      <c r="C220" s="657"/>
      <c r="D220" s="658"/>
      <c r="E220" s="658"/>
      <c r="F220" s="479"/>
      <c r="G220" s="479"/>
      <c r="H220" s="677"/>
      <c r="I220" s="476"/>
      <c r="J220" s="479"/>
      <c r="K220" s="479"/>
      <c r="L220" s="526"/>
      <c r="M220" s="526"/>
      <c r="N220" s="533"/>
      <c r="O220" s="533"/>
      <c r="P220" s="534"/>
      <c r="Q220" s="534"/>
    </row>
    <row r="221" spans="1:17" s="480" customFormat="1" x14ac:dyDescent="0.25">
      <c r="A221" s="656"/>
      <c r="B221" s="657"/>
      <c r="C221" s="657"/>
      <c r="D221" s="658"/>
      <c r="E221" s="658"/>
      <c r="F221" s="479"/>
      <c r="G221" s="479"/>
      <c r="H221" s="677"/>
      <c r="I221" s="476"/>
      <c r="J221" s="479"/>
      <c r="K221" s="479"/>
      <c r="L221" s="526"/>
      <c r="M221" s="526"/>
      <c r="N221" s="533"/>
      <c r="O221" s="533"/>
      <c r="P221" s="535"/>
      <c r="Q221" s="534"/>
    </row>
    <row r="222" spans="1:17" s="480" customFormat="1" x14ac:dyDescent="0.25">
      <c r="A222" s="656"/>
      <c r="B222" s="657"/>
      <c r="C222" s="657"/>
      <c r="D222" s="658"/>
      <c r="E222" s="658"/>
      <c r="F222" s="479"/>
      <c r="G222" s="479"/>
      <c r="H222" s="677"/>
      <c r="I222" s="476"/>
      <c r="J222" s="479"/>
      <c r="K222" s="479"/>
      <c r="L222" s="526"/>
      <c r="M222" s="526"/>
      <c r="N222" s="533"/>
      <c r="O222" s="533"/>
      <c r="P222" s="534"/>
      <c r="Q222" s="534"/>
    </row>
    <row r="223" spans="1:17" s="480" customFormat="1" x14ac:dyDescent="0.25">
      <c r="A223" s="656"/>
      <c r="B223" s="657"/>
      <c r="C223" s="657"/>
      <c r="D223" s="658"/>
      <c r="E223" s="658"/>
      <c r="F223" s="479"/>
      <c r="G223" s="479"/>
      <c r="H223" s="677"/>
      <c r="I223" s="476"/>
      <c r="J223" s="479"/>
      <c r="K223" s="479"/>
      <c r="L223" s="526"/>
      <c r="M223" s="526"/>
      <c r="N223" s="533"/>
      <c r="O223" s="533"/>
      <c r="P223" s="534"/>
      <c r="Q223" s="534"/>
    </row>
    <row r="224" spans="1:17" s="480" customFormat="1" x14ac:dyDescent="0.25">
      <c r="A224" s="656"/>
      <c r="B224" s="657"/>
      <c r="C224" s="657"/>
      <c r="D224" s="658"/>
      <c r="E224" s="658"/>
      <c r="F224" s="479"/>
      <c r="G224" s="479"/>
      <c r="H224" s="677"/>
      <c r="I224" s="476"/>
      <c r="J224" s="479"/>
      <c r="K224" s="479"/>
      <c r="L224" s="526"/>
      <c r="M224" s="526"/>
      <c r="N224" s="533"/>
      <c r="O224" s="533"/>
      <c r="P224" s="535"/>
      <c r="Q224" s="534"/>
    </row>
    <row r="225" spans="1:17" s="480" customFormat="1" x14ac:dyDescent="0.25">
      <c r="A225" s="656"/>
      <c r="B225" s="657"/>
      <c r="C225" s="657"/>
      <c r="D225" s="658"/>
      <c r="E225" s="658"/>
      <c r="F225" s="479"/>
      <c r="G225" s="479"/>
      <c r="H225" s="677"/>
      <c r="I225" s="476"/>
      <c r="J225" s="479"/>
      <c r="K225" s="479"/>
      <c r="L225" s="526"/>
      <c r="M225" s="526"/>
      <c r="N225" s="533"/>
      <c r="O225" s="533"/>
      <c r="P225" s="535"/>
      <c r="Q225" s="534"/>
    </row>
    <row r="226" spans="1:17" s="480" customFormat="1" x14ac:dyDescent="0.25">
      <c r="A226" s="656"/>
      <c r="B226" s="657"/>
      <c r="C226" s="657"/>
      <c r="D226" s="658"/>
      <c r="E226" s="658"/>
      <c r="F226" s="479"/>
      <c r="G226" s="479"/>
      <c r="H226" s="677"/>
      <c r="I226" s="476"/>
      <c r="J226" s="479"/>
      <c r="K226" s="479"/>
      <c r="L226" s="526"/>
      <c r="M226" s="526"/>
      <c r="N226" s="533"/>
      <c r="O226" s="533"/>
      <c r="P226" s="528"/>
      <c r="Q226" s="534"/>
    </row>
    <row r="227" spans="1:17" s="480" customFormat="1" x14ac:dyDescent="0.25">
      <c r="A227" s="656"/>
      <c r="B227" s="657"/>
      <c r="C227" s="657"/>
      <c r="D227" s="658"/>
      <c r="E227" s="658"/>
      <c r="F227" s="479"/>
      <c r="G227" s="479"/>
      <c r="H227" s="677"/>
      <c r="I227" s="476"/>
      <c r="J227" s="479"/>
      <c r="K227" s="479"/>
      <c r="L227" s="526"/>
      <c r="M227" s="526"/>
      <c r="N227" s="533"/>
      <c r="O227" s="639"/>
      <c r="P227" s="534"/>
      <c r="Q227" s="534"/>
    </row>
    <row r="228" spans="1:17" s="480" customFormat="1" x14ac:dyDescent="0.25">
      <c r="A228" s="656"/>
      <c r="B228" s="657"/>
      <c r="C228" s="657"/>
      <c r="D228" s="658"/>
      <c r="E228" s="658"/>
      <c r="F228" s="479"/>
      <c r="G228" s="479"/>
      <c r="H228" s="677"/>
      <c r="I228" s="476"/>
      <c r="J228" s="479"/>
      <c r="K228" s="479"/>
      <c r="L228" s="526"/>
      <c r="M228" s="526"/>
      <c r="N228" s="533"/>
      <c r="O228" s="533"/>
      <c r="P228" s="534"/>
      <c r="Q228" s="534"/>
    </row>
    <row r="229" spans="1:17" s="480" customFormat="1" x14ac:dyDescent="0.25">
      <c r="A229" s="656"/>
      <c r="B229" s="657"/>
      <c r="C229" s="657"/>
      <c r="D229" s="658"/>
      <c r="E229" s="658"/>
      <c r="F229" s="479"/>
      <c r="G229" s="479"/>
      <c r="H229" s="677"/>
      <c r="I229" s="476"/>
      <c r="J229" s="479"/>
      <c r="K229" s="479"/>
      <c r="L229" s="526"/>
      <c r="M229" s="526"/>
      <c r="N229" s="533"/>
      <c r="O229" s="533"/>
      <c r="P229" s="534"/>
      <c r="Q229" s="534"/>
    </row>
    <row r="230" spans="1:17" s="480" customFormat="1" x14ac:dyDescent="0.25">
      <c r="A230" s="656"/>
      <c r="B230" s="657"/>
      <c r="C230" s="657"/>
      <c r="D230" s="658"/>
      <c r="E230" s="658"/>
      <c r="F230" s="479"/>
      <c r="G230" s="479"/>
      <c r="H230" s="677"/>
      <c r="I230" s="476"/>
      <c r="J230" s="479"/>
      <c r="K230" s="479"/>
      <c r="L230" s="526"/>
      <c r="M230" s="526"/>
      <c r="N230" s="533"/>
      <c r="O230" s="533"/>
      <c r="P230" s="534"/>
      <c r="Q230" s="534"/>
    </row>
    <row r="231" spans="1:17" s="480" customFormat="1" x14ac:dyDescent="0.25">
      <c r="A231" s="656"/>
      <c r="B231" s="657"/>
      <c r="C231" s="657"/>
      <c r="D231" s="658"/>
      <c r="E231" s="658"/>
      <c r="F231" s="479"/>
      <c r="G231" s="479"/>
      <c r="H231" s="677"/>
      <c r="I231" s="476"/>
      <c r="J231" s="479"/>
      <c r="K231" s="479"/>
      <c r="L231" s="526"/>
      <c r="M231" s="526"/>
      <c r="N231" s="533"/>
      <c r="O231" s="533"/>
      <c r="P231" s="534"/>
      <c r="Q231" s="534"/>
    </row>
    <row r="232" spans="1:17" s="480" customFormat="1" x14ac:dyDescent="0.25">
      <c r="A232" s="656"/>
      <c r="B232" s="657"/>
      <c r="C232" s="657"/>
      <c r="D232" s="658"/>
      <c r="E232" s="658"/>
      <c r="F232" s="479"/>
      <c r="G232" s="479"/>
      <c r="H232" s="677"/>
      <c r="I232" s="476"/>
      <c r="J232" s="479"/>
      <c r="K232" s="479"/>
      <c r="L232" s="526"/>
      <c r="M232" s="526"/>
      <c r="N232" s="533"/>
      <c r="O232" s="533"/>
      <c r="P232" s="534"/>
      <c r="Q232" s="534"/>
    </row>
    <row r="233" spans="1:17" s="480" customFormat="1" x14ac:dyDescent="0.25">
      <c r="A233" s="656"/>
      <c r="B233" s="657"/>
      <c r="C233" s="657"/>
      <c r="D233" s="658"/>
      <c r="E233" s="658"/>
      <c r="F233" s="479"/>
      <c r="G233" s="479"/>
      <c r="H233" s="677"/>
      <c r="I233" s="476"/>
      <c r="J233" s="479"/>
      <c r="K233" s="479"/>
      <c r="L233" s="526"/>
      <c r="M233" s="526"/>
      <c r="N233" s="533"/>
      <c r="O233" s="533"/>
      <c r="P233" s="534"/>
      <c r="Q233" s="534"/>
    </row>
    <row r="234" spans="1:17" s="480" customFormat="1" x14ac:dyDescent="0.25">
      <c r="A234" s="656"/>
      <c r="B234" s="657"/>
      <c r="C234" s="657"/>
      <c r="D234" s="658"/>
      <c r="E234" s="658"/>
      <c r="F234" s="479"/>
      <c r="G234" s="479"/>
      <c r="H234" s="677"/>
      <c r="I234" s="476"/>
      <c r="J234" s="479"/>
      <c r="K234" s="479"/>
      <c r="L234" s="526"/>
      <c r="M234" s="526"/>
      <c r="N234" s="533"/>
      <c r="O234" s="533"/>
      <c r="P234" s="534"/>
      <c r="Q234" s="534"/>
    </row>
    <row r="235" spans="1:17" s="480" customFormat="1" x14ac:dyDescent="0.25">
      <c r="A235" s="656"/>
      <c r="B235" s="657"/>
      <c r="C235" s="657"/>
      <c r="D235" s="658"/>
      <c r="E235" s="658"/>
      <c r="F235" s="479"/>
      <c r="G235" s="479"/>
      <c r="H235" s="677"/>
      <c r="I235" s="476"/>
      <c r="J235" s="479"/>
      <c r="K235" s="479"/>
      <c r="L235" s="526"/>
      <c r="M235" s="526"/>
      <c r="N235" s="533"/>
      <c r="O235" s="533"/>
      <c r="P235" s="534"/>
      <c r="Q235" s="534"/>
    </row>
    <row r="236" spans="1:17" s="480" customFormat="1" x14ac:dyDescent="0.25">
      <c r="A236" s="656"/>
      <c r="B236" s="657"/>
      <c r="C236" s="657"/>
      <c r="D236" s="658"/>
      <c r="E236" s="658"/>
      <c r="F236" s="479"/>
      <c r="G236" s="479"/>
      <c r="H236" s="677"/>
      <c r="I236" s="476"/>
      <c r="J236" s="479"/>
      <c r="K236" s="479"/>
      <c r="L236" s="526"/>
      <c r="M236" s="526"/>
      <c r="N236" s="533"/>
      <c r="O236" s="533"/>
      <c r="P236" s="535"/>
      <c r="Q236" s="534"/>
    </row>
    <row r="237" spans="1:17" s="480" customFormat="1" x14ac:dyDescent="0.25">
      <c r="A237" s="656"/>
      <c r="B237" s="657"/>
      <c r="C237" s="657"/>
      <c r="D237" s="658"/>
      <c r="E237" s="658"/>
      <c r="F237" s="479"/>
      <c r="G237" s="479"/>
      <c r="H237" s="677"/>
      <c r="I237" s="476"/>
      <c r="J237" s="479"/>
      <c r="K237" s="479"/>
      <c r="L237" s="526"/>
      <c r="M237" s="526"/>
      <c r="N237" s="533"/>
      <c r="O237" s="533"/>
      <c r="P237" s="534"/>
      <c r="Q237" s="534"/>
    </row>
    <row r="238" spans="1:17" s="480" customFormat="1" x14ac:dyDescent="0.25">
      <c r="A238" s="656"/>
      <c r="B238" s="657"/>
      <c r="C238" s="657"/>
      <c r="D238" s="658"/>
      <c r="E238" s="658"/>
      <c r="F238" s="479"/>
      <c r="G238" s="479"/>
      <c r="H238" s="677"/>
      <c r="I238" s="476"/>
      <c r="J238" s="479"/>
      <c r="K238" s="479"/>
      <c r="L238" s="526"/>
      <c r="M238" s="526"/>
      <c r="N238" s="533"/>
      <c r="O238" s="639"/>
      <c r="P238" s="528"/>
      <c r="Q238" s="534"/>
    </row>
    <row r="239" spans="1:17" s="480" customFormat="1" x14ac:dyDescent="0.25">
      <c r="A239" s="656"/>
      <c r="B239" s="657"/>
      <c r="C239" s="657"/>
      <c r="D239" s="658"/>
      <c r="E239" s="658"/>
      <c r="F239" s="479"/>
      <c r="G239" s="479"/>
      <c r="H239" s="677"/>
      <c r="I239" s="476"/>
      <c r="J239" s="479"/>
      <c r="K239" s="479"/>
      <c r="L239" s="526"/>
      <c r="M239" s="526"/>
      <c r="N239" s="533"/>
      <c r="O239" s="533"/>
      <c r="P239" s="534"/>
      <c r="Q239" s="534"/>
    </row>
    <row r="240" spans="1:17" s="480" customFormat="1" x14ac:dyDescent="0.25">
      <c r="A240" s="656"/>
      <c r="B240" s="657"/>
      <c r="C240" s="657"/>
      <c r="D240" s="658"/>
      <c r="E240" s="658"/>
      <c r="F240" s="479"/>
      <c r="G240" s="479"/>
      <c r="H240" s="677"/>
      <c r="I240" s="476"/>
      <c r="J240" s="479"/>
      <c r="K240" s="479"/>
      <c r="L240" s="526"/>
      <c r="M240" s="526"/>
      <c r="N240" s="533"/>
      <c r="O240" s="533"/>
      <c r="P240" s="534"/>
      <c r="Q240" s="534"/>
    </row>
    <row r="241" spans="1:17" s="480" customFormat="1" x14ac:dyDescent="0.25">
      <c r="A241" s="656"/>
      <c r="B241" s="662"/>
      <c r="C241" s="657"/>
      <c r="D241" s="658"/>
      <c r="E241" s="658"/>
      <c r="F241" s="479"/>
      <c r="G241" s="479"/>
      <c r="H241" s="677"/>
      <c r="I241" s="476"/>
      <c r="J241" s="479"/>
      <c r="K241" s="479"/>
      <c r="L241" s="526"/>
      <c r="M241" s="526"/>
      <c r="N241" s="533"/>
      <c r="O241" s="533"/>
      <c r="P241" s="534"/>
      <c r="Q241" s="534"/>
    </row>
    <row r="242" spans="1:17" s="480" customFormat="1" x14ac:dyDescent="0.25">
      <c r="A242" s="656"/>
      <c r="B242" s="662"/>
      <c r="C242" s="657"/>
      <c r="D242" s="658"/>
      <c r="E242" s="658"/>
      <c r="F242" s="479"/>
      <c r="G242" s="479"/>
      <c r="H242" s="677"/>
      <c r="I242" s="476"/>
      <c r="J242" s="479"/>
      <c r="K242" s="479"/>
      <c r="L242" s="526"/>
      <c r="M242" s="526"/>
      <c r="N242" s="533"/>
      <c r="O242" s="533"/>
      <c r="P242" s="534"/>
      <c r="Q242" s="534"/>
    </row>
    <row r="243" spans="1:17" s="480" customFormat="1" x14ac:dyDescent="0.25">
      <c r="A243" s="656"/>
      <c r="B243" s="662"/>
      <c r="C243" s="657"/>
      <c r="D243" s="658"/>
      <c r="E243" s="658"/>
      <c r="F243" s="479"/>
      <c r="G243" s="479"/>
      <c r="H243" s="677"/>
      <c r="I243" s="476"/>
      <c r="J243" s="479"/>
      <c r="K243" s="479"/>
      <c r="L243" s="526"/>
      <c r="M243" s="526"/>
      <c r="N243" s="533"/>
      <c r="O243" s="533"/>
      <c r="P243" s="534"/>
      <c r="Q243" s="534"/>
    </row>
    <row r="244" spans="1:17" s="480" customFormat="1" x14ac:dyDescent="0.25">
      <c r="A244" s="656"/>
      <c r="B244" s="657"/>
      <c r="C244" s="657"/>
      <c r="D244" s="658"/>
      <c r="E244" s="658"/>
      <c r="F244" s="479"/>
      <c r="G244" s="479"/>
      <c r="H244" s="677"/>
      <c r="I244" s="476"/>
      <c r="J244" s="479"/>
      <c r="K244" s="479"/>
      <c r="L244" s="526"/>
      <c r="M244" s="526"/>
      <c r="N244" s="533"/>
      <c r="O244" s="533"/>
      <c r="P244" s="534"/>
      <c r="Q244" s="534"/>
    </row>
    <row r="245" spans="1:17" s="480" customFormat="1" x14ac:dyDescent="0.25">
      <c r="A245" s="656"/>
      <c r="B245" s="657"/>
      <c r="C245" s="657"/>
      <c r="D245" s="658"/>
      <c r="E245" s="658"/>
      <c r="F245" s="479"/>
      <c r="G245" s="479"/>
      <c r="H245" s="677"/>
      <c r="I245" s="476"/>
      <c r="J245" s="479"/>
      <c r="K245" s="479"/>
      <c r="L245" s="526"/>
      <c r="M245" s="526"/>
      <c r="N245" s="533"/>
      <c r="O245" s="533"/>
      <c r="P245" s="534"/>
      <c r="Q245" s="534"/>
    </row>
    <row r="246" spans="1:17" s="480" customFormat="1" x14ac:dyDescent="0.25">
      <c r="A246" s="656"/>
      <c r="B246" s="657"/>
      <c r="C246" s="657"/>
      <c r="D246" s="658"/>
      <c r="E246" s="658"/>
      <c r="F246" s="479"/>
      <c r="G246" s="479"/>
      <c r="H246" s="677"/>
      <c r="I246" s="476"/>
      <c r="J246" s="479"/>
      <c r="K246" s="479"/>
      <c r="L246" s="526"/>
      <c r="M246" s="526"/>
      <c r="N246" s="533"/>
      <c r="O246" s="533"/>
      <c r="P246" s="528"/>
      <c r="Q246" s="534"/>
    </row>
    <row r="247" spans="1:17" s="480" customFormat="1" x14ac:dyDescent="0.25">
      <c r="A247" s="656"/>
      <c r="B247" s="657"/>
      <c r="C247" s="657"/>
      <c r="D247" s="658"/>
      <c r="E247" s="658"/>
      <c r="F247" s="479"/>
      <c r="G247" s="479"/>
      <c r="H247" s="677"/>
      <c r="I247" s="476"/>
      <c r="J247" s="479"/>
      <c r="K247" s="479"/>
      <c r="L247" s="526"/>
      <c r="M247" s="526"/>
      <c r="N247" s="533"/>
      <c r="O247" s="533"/>
      <c r="P247" s="534"/>
      <c r="Q247" s="534"/>
    </row>
    <row r="248" spans="1:17" s="480" customFormat="1" x14ac:dyDescent="0.25">
      <c r="A248" s="656"/>
      <c r="B248" s="657"/>
      <c r="C248" s="657"/>
      <c r="D248" s="658"/>
      <c r="E248" s="658"/>
      <c r="F248" s="479"/>
      <c r="G248" s="479"/>
      <c r="H248" s="677"/>
      <c r="I248" s="476"/>
      <c r="J248" s="479"/>
      <c r="K248" s="479"/>
      <c r="L248" s="526"/>
      <c r="M248" s="526"/>
      <c r="N248" s="533"/>
      <c r="O248" s="533"/>
      <c r="P248" s="535"/>
      <c r="Q248" s="534"/>
    </row>
    <row r="249" spans="1:17" s="480" customFormat="1" x14ac:dyDescent="0.25">
      <c r="A249" s="656"/>
      <c r="B249" s="657"/>
      <c r="C249" s="657"/>
      <c r="D249" s="658"/>
      <c r="E249" s="658"/>
      <c r="F249" s="479"/>
      <c r="G249" s="676"/>
      <c r="H249" s="677"/>
      <c r="I249" s="476"/>
      <c r="J249" s="479"/>
      <c r="K249" s="479"/>
      <c r="L249" s="526"/>
      <c r="M249" s="526"/>
      <c r="N249" s="533"/>
      <c r="O249" s="533"/>
      <c r="P249" s="535"/>
      <c r="Q249" s="534"/>
    </row>
    <row r="250" spans="1:17" s="480" customFormat="1" x14ac:dyDescent="0.25">
      <c r="A250" s="656"/>
      <c r="B250" s="657"/>
      <c r="C250" s="657"/>
      <c r="D250" s="658"/>
      <c r="E250" s="658"/>
      <c r="F250" s="479"/>
      <c r="G250" s="479"/>
      <c r="H250" s="677"/>
      <c r="I250" s="476"/>
      <c r="J250" s="479"/>
      <c r="K250" s="479"/>
      <c r="L250" s="526"/>
      <c r="M250" s="526"/>
      <c r="N250" s="533"/>
      <c r="O250" s="533"/>
      <c r="P250" s="534"/>
      <c r="Q250" s="534"/>
    </row>
    <row r="251" spans="1:17" s="480" customFormat="1" x14ac:dyDescent="0.25">
      <c r="A251" s="664"/>
      <c r="B251" s="665"/>
      <c r="C251" s="665"/>
      <c r="D251" s="666"/>
      <c r="E251" s="666"/>
      <c r="F251" s="479"/>
      <c r="G251" s="479"/>
      <c r="H251" s="677"/>
      <c r="I251" s="476"/>
      <c r="J251" s="479"/>
      <c r="K251" s="479"/>
      <c r="L251" s="526"/>
      <c r="M251" s="526"/>
      <c r="N251" s="533"/>
      <c r="O251" s="533"/>
      <c r="P251" s="535"/>
      <c r="Q251" s="534"/>
    </row>
    <row r="252" spans="1:17" s="480" customFormat="1" x14ac:dyDescent="0.25">
      <c r="A252" s="664"/>
      <c r="B252" s="665"/>
      <c r="C252" s="665"/>
      <c r="D252" s="666"/>
      <c r="E252" s="666"/>
      <c r="F252" s="479"/>
      <c r="G252" s="479"/>
      <c r="H252" s="677"/>
      <c r="I252" s="476"/>
      <c r="J252" s="479"/>
      <c r="K252" s="479"/>
      <c r="L252" s="526"/>
      <c r="M252" s="526"/>
      <c r="N252" s="533"/>
      <c r="O252" s="533"/>
      <c r="P252" s="535"/>
      <c r="Q252" s="534"/>
    </row>
    <row r="253" spans="1:17" s="480" customFormat="1" x14ac:dyDescent="0.25">
      <c r="A253" s="664"/>
      <c r="B253" s="665"/>
      <c r="C253" s="665"/>
      <c r="D253" s="666"/>
      <c r="E253" s="666"/>
      <c r="F253" s="479"/>
      <c r="G253" s="479"/>
      <c r="H253" s="677"/>
      <c r="I253" s="476"/>
      <c r="J253" s="479"/>
      <c r="K253" s="479"/>
      <c r="L253" s="526"/>
      <c r="M253" s="526"/>
      <c r="N253" s="533"/>
      <c r="O253" s="533"/>
      <c r="P253" s="534"/>
      <c r="Q253" s="534"/>
    </row>
    <row r="254" spans="1:17" s="480" customFormat="1" x14ac:dyDescent="0.25">
      <c r="A254" s="664"/>
      <c r="B254" s="665"/>
      <c r="C254" s="665"/>
      <c r="D254" s="666"/>
      <c r="E254" s="666"/>
      <c r="F254" s="479"/>
      <c r="G254" s="676"/>
      <c r="H254" s="677"/>
      <c r="I254" s="476"/>
      <c r="J254" s="479"/>
      <c r="K254" s="479"/>
      <c r="L254" s="526"/>
      <c r="M254" s="526"/>
      <c r="N254" s="533"/>
      <c r="O254" s="533"/>
      <c r="P254" s="534"/>
      <c r="Q254" s="534"/>
    </row>
    <row r="255" spans="1:17" s="480" customFormat="1" x14ac:dyDescent="0.25">
      <c r="A255" s="664"/>
      <c r="B255" s="665"/>
      <c r="C255" s="665"/>
      <c r="D255" s="666"/>
      <c r="E255" s="666"/>
      <c r="F255" s="479"/>
      <c r="G255" s="676"/>
      <c r="H255" s="677"/>
      <c r="I255" s="476"/>
      <c r="J255" s="479"/>
      <c r="K255" s="479"/>
      <c r="L255" s="526"/>
      <c r="M255" s="526"/>
      <c r="N255" s="533"/>
      <c r="O255" s="533"/>
      <c r="P255" s="534"/>
      <c r="Q255" s="534"/>
    </row>
    <row r="256" spans="1:17" s="480" customFormat="1" x14ac:dyDescent="0.25">
      <c r="A256" s="664"/>
      <c r="B256" s="665"/>
      <c r="C256" s="665"/>
      <c r="D256" s="666"/>
      <c r="E256" s="666"/>
      <c r="F256" s="479"/>
      <c r="G256" s="676"/>
      <c r="H256" s="677"/>
      <c r="I256" s="476"/>
      <c r="J256" s="479"/>
      <c r="K256" s="479"/>
      <c r="L256" s="526"/>
      <c r="M256" s="526"/>
      <c r="N256" s="533"/>
      <c r="O256" s="639"/>
      <c r="P256" s="534"/>
      <c r="Q256" s="534"/>
    </row>
    <row r="257" spans="1:17" s="480" customFormat="1" x14ac:dyDescent="0.25">
      <c r="A257" s="656"/>
      <c r="B257" s="657"/>
      <c r="C257" s="657"/>
      <c r="D257" s="658"/>
      <c r="E257" s="658"/>
      <c r="F257" s="479"/>
      <c r="G257" s="676"/>
      <c r="H257" s="677"/>
      <c r="I257" s="476"/>
      <c r="J257" s="479"/>
      <c r="K257" s="479"/>
      <c r="L257" s="526"/>
      <c r="M257" s="526"/>
      <c r="N257" s="533"/>
      <c r="O257" s="639"/>
      <c r="P257" s="534"/>
      <c r="Q257" s="534"/>
    </row>
    <row r="258" spans="1:17" s="480" customFormat="1" x14ac:dyDescent="0.25">
      <c r="A258" s="659"/>
      <c r="B258" s="660"/>
      <c r="C258" s="660"/>
      <c r="D258" s="661"/>
      <c r="E258" s="661"/>
      <c r="F258" s="479"/>
      <c r="G258" s="676"/>
      <c r="H258" s="677"/>
      <c r="I258" s="476"/>
      <c r="J258" s="479"/>
      <c r="K258" s="479"/>
      <c r="L258" s="526"/>
      <c r="M258" s="526"/>
      <c r="N258" s="533"/>
      <c r="O258" s="639"/>
      <c r="P258" s="534"/>
      <c r="Q258" s="534"/>
    </row>
    <row r="259" spans="1:17" s="480" customFormat="1" x14ac:dyDescent="0.25">
      <c r="A259" s="656"/>
      <c r="B259" s="657"/>
      <c r="C259" s="657"/>
      <c r="D259" s="658"/>
      <c r="E259" s="658"/>
      <c r="F259" s="479"/>
      <c r="G259" s="676"/>
      <c r="H259" s="677"/>
      <c r="I259" s="476"/>
      <c r="J259" s="479"/>
      <c r="K259" s="479"/>
      <c r="L259" s="530"/>
      <c r="M259" s="536"/>
      <c r="N259" s="533"/>
      <c r="O259" s="639"/>
      <c r="P259" s="534"/>
      <c r="Q259" s="534"/>
    </row>
    <row r="260" spans="1:17" s="480" customFormat="1" x14ac:dyDescent="0.25">
      <c r="A260" s="656"/>
      <c r="B260" s="657"/>
      <c r="C260" s="657"/>
      <c r="D260" s="658"/>
      <c r="E260" s="658"/>
      <c r="F260" s="479"/>
      <c r="G260" s="479"/>
      <c r="H260" s="677"/>
      <c r="I260" s="476"/>
      <c r="J260" s="479"/>
      <c r="K260" s="479"/>
      <c r="L260" s="526"/>
      <c r="M260" s="526"/>
      <c r="N260" s="533"/>
      <c r="O260" s="639"/>
      <c r="P260" s="535"/>
      <c r="Q260" s="534"/>
    </row>
    <row r="261" spans="1:17" s="480" customFormat="1" x14ac:dyDescent="0.25">
      <c r="A261" s="656"/>
      <c r="B261" s="657"/>
      <c r="C261" s="657"/>
      <c r="D261" s="658"/>
      <c r="E261" s="658"/>
      <c r="F261" s="479"/>
      <c r="G261" s="479"/>
      <c r="H261" s="677"/>
      <c r="I261" s="476"/>
      <c r="J261" s="479"/>
      <c r="K261" s="479"/>
      <c r="L261" s="526"/>
      <c r="M261" s="526"/>
      <c r="N261" s="533"/>
      <c r="O261" s="639"/>
      <c r="P261" s="534"/>
      <c r="Q261" s="534"/>
    </row>
    <row r="262" spans="1:17" s="480" customFormat="1" x14ac:dyDescent="0.25">
      <c r="A262" s="656"/>
      <c r="B262" s="657"/>
      <c r="C262" s="657"/>
      <c r="D262" s="658"/>
      <c r="E262" s="658"/>
      <c r="F262" s="479"/>
      <c r="G262" s="479"/>
      <c r="H262" s="677"/>
      <c r="I262" s="476"/>
      <c r="J262" s="479"/>
      <c r="K262" s="479"/>
      <c r="L262" s="526"/>
      <c r="M262" s="526"/>
      <c r="N262" s="533"/>
      <c r="O262" s="639"/>
      <c r="P262" s="534"/>
      <c r="Q262" s="534"/>
    </row>
    <row r="263" spans="1:17" s="480" customFormat="1" x14ac:dyDescent="0.25">
      <c r="A263" s="656"/>
      <c r="B263" s="657"/>
      <c r="C263" s="657"/>
      <c r="D263" s="658"/>
      <c r="E263" s="658"/>
      <c r="F263" s="479"/>
      <c r="G263" s="676"/>
      <c r="H263" s="677"/>
      <c r="I263" s="476"/>
      <c r="J263" s="479"/>
      <c r="K263" s="479"/>
      <c r="L263" s="526"/>
      <c r="M263" s="526"/>
      <c r="N263" s="533"/>
      <c r="O263" s="639"/>
      <c r="P263" s="534"/>
      <c r="Q263" s="534"/>
    </row>
    <row r="264" spans="1:17" s="480" customFormat="1" x14ac:dyDescent="0.25">
      <c r="A264" s="656"/>
      <c r="B264" s="657"/>
      <c r="C264" s="657"/>
      <c r="D264" s="658"/>
      <c r="E264" s="658"/>
      <c r="F264" s="479"/>
      <c r="G264" s="676"/>
      <c r="H264" s="677"/>
      <c r="I264" s="476"/>
      <c r="J264" s="479"/>
      <c r="K264" s="479"/>
      <c r="L264" s="530"/>
      <c r="M264" s="536"/>
      <c r="N264" s="533"/>
      <c r="O264" s="639"/>
      <c r="P264" s="534"/>
      <c r="Q264" s="534"/>
    </row>
    <row r="265" spans="1:17" s="480" customFormat="1" x14ac:dyDescent="0.25">
      <c r="A265" s="656"/>
      <c r="B265" s="657"/>
      <c r="C265" s="657"/>
      <c r="D265" s="658"/>
      <c r="E265" s="658"/>
      <c r="F265" s="479"/>
      <c r="G265" s="479"/>
      <c r="H265" s="677"/>
      <c r="I265" s="476"/>
      <c r="J265" s="479"/>
      <c r="K265" s="479"/>
      <c r="L265" s="526"/>
      <c r="M265" s="526"/>
      <c r="N265" s="533"/>
      <c r="O265" s="639"/>
      <c r="P265" s="534"/>
      <c r="Q265" s="534"/>
    </row>
    <row r="266" spans="1:17" s="480" customFormat="1" x14ac:dyDescent="0.25">
      <c r="A266" s="656"/>
      <c r="B266" s="657"/>
      <c r="C266" s="657"/>
      <c r="D266" s="658"/>
      <c r="E266" s="658"/>
      <c r="F266" s="479"/>
      <c r="G266" s="479"/>
      <c r="H266" s="677"/>
      <c r="I266" s="476"/>
      <c r="J266" s="479"/>
      <c r="K266" s="479"/>
      <c r="L266" s="529"/>
      <c r="M266" s="532"/>
      <c r="N266" s="533"/>
      <c r="O266" s="639"/>
      <c r="P266" s="534"/>
      <c r="Q266" s="534"/>
    </row>
    <row r="267" spans="1:17" s="480" customFormat="1" x14ac:dyDescent="0.25">
      <c r="A267" s="656"/>
      <c r="B267" s="657"/>
      <c r="C267" s="657"/>
      <c r="D267" s="658"/>
      <c r="E267" s="658"/>
      <c r="F267" s="479"/>
      <c r="G267" s="479"/>
      <c r="H267" s="677"/>
      <c r="I267" s="476"/>
      <c r="J267" s="479"/>
      <c r="K267" s="479"/>
      <c r="L267" s="526"/>
      <c r="M267" s="532"/>
      <c r="N267" s="533"/>
      <c r="O267" s="639"/>
      <c r="P267" s="534"/>
      <c r="Q267" s="534"/>
    </row>
    <row r="268" spans="1:17" s="480" customFormat="1" x14ac:dyDescent="0.25">
      <c r="A268" s="656"/>
      <c r="B268" s="657"/>
      <c r="C268" s="657"/>
      <c r="D268" s="658"/>
      <c r="E268" s="658"/>
      <c r="F268" s="479"/>
      <c r="G268" s="479"/>
      <c r="H268" s="677"/>
      <c r="I268" s="476"/>
      <c r="J268" s="479"/>
      <c r="K268" s="479"/>
      <c r="L268" s="526"/>
      <c r="M268" s="526"/>
      <c r="N268" s="533"/>
      <c r="O268" s="533"/>
      <c r="P268" s="534"/>
      <c r="Q268" s="534"/>
    </row>
    <row r="269" spans="1:17" s="480" customFormat="1" x14ac:dyDescent="0.25">
      <c r="A269" s="656"/>
      <c r="B269" s="657"/>
      <c r="C269" s="657"/>
      <c r="D269" s="658"/>
      <c r="E269" s="658"/>
      <c r="F269" s="479"/>
      <c r="G269" s="676"/>
      <c r="H269" s="677"/>
      <c r="I269" s="476"/>
      <c r="J269" s="479"/>
      <c r="K269" s="479"/>
      <c r="L269" s="526"/>
      <c r="M269" s="526"/>
      <c r="N269" s="533"/>
      <c r="O269" s="533"/>
      <c r="P269" s="535"/>
      <c r="Q269" s="534"/>
    </row>
    <row r="270" spans="1:17" s="480" customFormat="1" x14ac:dyDescent="0.25">
      <c r="A270" s="656"/>
      <c r="B270" s="657"/>
      <c r="C270" s="657"/>
      <c r="D270" s="658"/>
      <c r="E270" s="658"/>
      <c r="F270" s="479"/>
      <c r="G270" s="479"/>
      <c r="H270" s="677"/>
      <c r="I270" s="476"/>
      <c r="J270" s="479"/>
      <c r="K270" s="479"/>
      <c r="L270" s="526"/>
      <c r="M270" s="526"/>
      <c r="N270" s="533"/>
      <c r="O270" s="533"/>
      <c r="P270" s="535"/>
      <c r="Q270" s="534"/>
    </row>
    <row r="271" spans="1:17" s="480" customFormat="1" x14ac:dyDescent="0.25">
      <c r="A271" s="656"/>
      <c r="B271" s="657"/>
      <c r="C271" s="657"/>
      <c r="D271" s="658"/>
      <c r="E271" s="658"/>
      <c r="F271" s="479"/>
      <c r="G271" s="676"/>
      <c r="H271" s="677"/>
      <c r="I271" s="476"/>
      <c r="J271" s="479"/>
      <c r="K271" s="479"/>
      <c r="L271" s="526"/>
      <c r="M271" s="526"/>
      <c r="N271" s="533"/>
      <c r="O271" s="533"/>
      <c r="P271" s="535"/>
      <c r="Q271" s="534"/>
    </row>
    <row r="272" spans="1:17" s="480" customFormat="1" x14ac:dyDescent="0.25">
      <c r="A272" s="656"/>
      <c r="B272" s="657"/>
      <c r="C272" s="657"/>
      <c r="D272" s="658"/>
      <c r="E272" s="658"/>
      <c r="F272" s="479"/>
      <c r="G272" s="479"/>
      <c r="H272" s="677"/>
      <c r="I272" s="476"/>
      <c r="J272" s="479"/>
      <c r="K272" s="479"/>
      <c r="L272" s="526"/>
      <c r="M272" s="526"/>
      <c r="N272" s="533"/>
      <c r="O272" s="533"/>
      <c r="P272" s="535"/>
      <c r="Q272" s="534"/>
    </row>
    <row r="273" spans="1:17" s="480" customFormat="1" x14ac:dyDescent="0.25">
      <c r="A273" s="656"/>
      <c r="B273" s="657"/>
      <c r="C273" s="657"/>
      <c r="D273" s="658"/>
      <c r="E273" s="658"/>
      <c r="F273" s="479"/>
      <c r="G273" s="479"/>
      <c r="H273" s="677"/>
      <c r="I273" s="476"/>
      <c r="J273" s="479"/>
      <c r="K273" s="479"/>
      <c r="L273" s="526"/>
      <c r="M273" s="526"/>
      <c r="N273" s="533"/>
      <c r="O273" s="533"/>
      <c r="P273" s="535"/>
      <c r="Q273" s="534"/>
    </row>
    <row r="274" spans="1:17" s="480" customFormat="1" x14ac:dyDescent="0.25">
      <c r="A274" s="656"/>
      <c r="B274" s="657"/>
      <c r="C274" s="657"/>
      <c r="D274" s="658"/>
      <c r="E274" s="658"/>
      <c r="F274" s="479"/>
      <c r="G274" s="479"/>
      <c r="H274" s="677"/>
      <c r="I274" s="476"/>
      <c r="J274" s="479"/>
      <c r="K274" s="479"/>
      <c r="L274" s="526"/>
      <c r="M274" s="526"/>
      <c r="N274" s="533"/>
      <c r="O274" s="533"/>
      <c r="P274" s="535"/>
      <c r="Q274" s="534"/>
    </row>
    <row r="275" spans="1:17" s="480" customFormat="1" x14ac:dyDescent="0.25">
      <c r="A275" s="656"/>
      <c r="B275" s="657"/>
      <c r="C275" s="657"/>
      <c r="D275" s="658"/>
      <c r="E275" s="658"/>
      <c r="F275" s="479"/>
      <c r="G275" s="479"/>
      <c r="H275" s="677"/>
      <c r="I275" s="476"/>
      <c r="J275" s="479"/>
      <c r="K275" s="479"/>
      <c r="L275" s="526"/>
      <c r="M275" s="526"/>
      <c r="N275" s="533"/>
      <c r="O275" s="533"/>
      <c r="P275" s="535"/>
      <c r="Q275" s="534"/>
    </row>
    <row r="276" spans="1:17" s="480" customFormat="1" x14ac:dyDescent="0.25">
      <c r="A276" s="656"/>
      <c r="B276" s="657"/>
      <c r="C276" s="657"/>
      <c r="D276" s="658"/>
      <c r="E276" s="658"/>
      <c r="F276" s="479"/>
      <c r="G276" s="676"/>
      <c r="H276" s="677"/>
      <c r="I276" s="476"/>
      <c r="J276" s="479"/>
      <c r="K276" s="479"/>
      <c r="L276" s="526"/>
      <c r="M276" s="526"/>
      <c r="N276" s="533"/>
      <c r="O276" s="533"/>
      <c r="P276" s="534"/>
      <c r="Q276" s="534"/>
    </row>
    <row r="277" spans="1:17" s="480" customFormat="1" x14ac:dyDescent="0.25">
      <c r="A277" s="656"/>
      <c r="B277" s="657"/>
      <c r="C277" s="657"/>
      <c r="D277" s="658"/>
      <c r="E277" s="658"/>
      <c r="F277" s="479"/>
      <c r="G277" s="676"/>
      <c r="H277" s="677"/>
      <c r="I277" s="476"/>
      <c r="J277" s="479"/>
      <c r="K277" s="479"/>
      <c r="L277" s="526"/>
      <c r="M277" s="526"/>
      <c r="N277" s="533"/>
      <c r="O277" s="533"/>
      <c r="P277" s="534"/>
      <c r="Q277" s="534"/>
    </row>
    <row r="278" spans="1:17" s="480" customFormat="1" x14ac:dyDescent="0.25">
      <c r="A278" s="656"/>
      <c r="B278" s="657"/>
      <c r="C278" s="657"/>
      <c r="D278" s="658"/>
      <c r="E278" s="658"/>
      <c r="F278" s="479"/>
      <c r="G278" s="676"/>
      <c r="H278" s="677"/>
      <c r="I278" s="476"/>
      <c r="J278" s="479"/>
      <c r="K278" s="479"/>
      <c r="L278" s="526"/>
      <c r="M278" s="526"/>
      <c r="N278" s="533"/>
      <c r="O278" s="533"/>
      <c r="P278" s="535"/>
      <c r="Q278" s="534"/>
    </row>
    <row r="279" spans="1:17" s="480" customFormat="1" x14ac:dyDescent="0.25">
      <c r="A279" s="656"/>
      <c r="B279" s="657"/>
      <c r="C279" s="657"/>
      <c r="D279" s="658"/>
      <c r="E279" s="658"/>
      <c r="F279" s="479"/>
      <c r="G279" s="479"/>
      <c r="H279" s="677"/>
      <c r="I279" s="476"/>
      <c r="J279" s="479"/>
      <c r="K279" s="479"/>
      <c r="L279" s="526"/>
      <c r="M279" s="526"/>
      <c r="N279" s="533"/>
      <c r="O279" s="533"/>
      <c r="P279" s="535"/>
      <c r="Q279" s="534"/>
    </row>
    <row r="280" spans="1:17" s="480" customFormat="1" x14ac:dyDescent="0.25">
      <c r="A280" s="656"/>
      <c r="B280" s="657"/>
      <c r="C280" s="657"/>
      <c r="D280" s="658"/>
      <c r="E280" s="658"/>
      <c r="F280" s="479"/>
      <c r="G280" s="676"/>
      <c r="H280" s="677"/>
      <c r="I280" s="476"/>
      <c r="J280" s="479"/>
      <c r="K280" s="479"/>
      <c r="L280" s="526"/>
      <c r="M280" s="526"/>
      <c r="N280" s="533"/>
      <c r="O280" s="533"/>
      <c r="P280" s="534"/>
      <c r="Q280" s="534"/>
    </row>
    <row r="281" spans="1:17" s="480" customFormat="1" x14ac:dyDescent="0.25">
      <c r="A281" s="656"/>
      <c r="B281" s="657"/>
      <c r="C281" s="657"/>
      <c r="D281" s="658"/>
      <c r="E281" s="658"/>
      <c r="F281" s="479"/>
      <c r="G281" s="676"/>
      <c r="H281" s="677"/>
      <c r="I281" s="476"/>
      <c r="J281" s="479"/>
      <c r="K281" s="479"/>
      <c r="L281" s="526"/>
      <c r="M281" s="526"/>
      <c r="N281" s="533"/>
      <c r="O281" s="533"/>
      <c r="P281" s="535"/>
      <c r="Q281" s="534"/>
    </row>
    <row r="282" spans="1:17" s="480" customFormat="1" x14ac:dyDescent="0.25">
      <c r="A282" s="656"/>
      <c r="B282" s="657"/>
      <c r="C282" s="657"/>
      <c r="D282" s="658"/>
      <c r="E282" s="658"/>
      <c r="F282" s="479"/>
      <c r="G282" s="676"/>
      <c r="H282" s="677"/>
      <c r="I282" s="476"/>
      <c r="J282" s="479"/>
      <c r="K282" s="479"/>
      <c r="L282" s="526"/>
      <c r="M282" s="526"/>
      <c r="N282" s="533"/>
      <c r="O282" s="533"/>
      <c r="P282" s="528"/>
      <c r="Q282" s="534"/>
    </row>
    <row r="283" spans="1:17" s="480" customFormat="1" x14ac:dyDescent="0.25">
      <c r="A283" s="656"/>
      <c r="B283" s="657"/>
      <c r="C283" s="657"/>
      <c r="D283" s="658"/>
      <c r="E283" s="658"/>
      <c r="F283" s="479"/>
      <c r="G283" s="676"/>
      <c r="H283" s="677"/>
      <c r="I283" s="476"/>
      <c r="J283" s="479"/>
      <c r="K283" s="479"/>
      <c r="L283" s="526"/>
      <c r="M283" s="526"/>
      <c r="N283" s="533"/>
      <c r="O283" s="533"/>
      <c r="P283" s="535"/>
      <c r="Q283" s="534"/>
    </row>
    <row r="284" spans="1:17" s="480" customFormat="1" x14ac:dyDescent="0.25">
      <c r="A284" s="656"/>
      <c r="B284" s="657"/>
      <c r="C284" s="657"/>
      <c r="D284" s="658"/>
      <c r="E284" s="658"/>
      <c r="F284" s="479"/>
      <c r="G284" s="479"/>
      <c r="H284" s="677"/>
      <c r="I284" s="476"/>
      <c r="J284" s="479"/>
      <c r="K284" s="479"/>
      <c r="L284" s="526"/>
      <c r="M284" s="537"/>
      <c r="N284" s="533"/>
      <c r="O284" s="639"/>
      <c r="P284" s="535"/>
      <c r="Q284" s="534"/>
    </row>
    <row r="285" spans="1:17" s="480" customFormat="1" x14ac:dyDescent="0.25">
      <c r="A285" s="656"/>
      <c r="B285" s="657"/>
      <c r="C285" s="657"/>
      <c r="D285" s="658"/>
      <c r="E285" s="658"/>
      <c r="F285" s="479"/>
      <c r="G285" s="479"/>
      <c r="H285" s="677"/>
      <c r="I285" s="476"/>
      <c r="J285" s="479"/>
      <c r="K285" s="479"/>
      <c r="L285" s="526"/>
      <c r="M285" s="526"/>
      <c r="N285" s="533"/>
      <c r="O285" s="533"/>
      <c r="P285" s="528"/>
      <c r="Q285" s="534"/>
    </row>
    <row r="286" spans="1:17" s="480" customFormat="1" x14ac:dyDescent="0.25">
      <c r="A286" s="656"/>
      <c r="B286" s="657"/>
      <c r="C286" s="657"/>
      <c r="D286" s="658"/>
      <c r="E286" s="658"/>
      <c r="F286" s="479"/>
      <c r="G286" s="479"/>
      <c r="H286" s="677"/>
      <c r="I286" s="476"/>
      <c r="J286" s="479"/>
      <c r="K286" s="479"/>
      <c r="L286" s="526"/>
      <c r="M286" s="526"/>
      <c r="N286" s="533"/>
      <c r="O286" s="533"/>
      <c r="P286" s="528"/>
      <c r="Q286" s="534"/>
    </row>
    <row r="287" spans="1:17" s="480" customFormat="1" x14ac:dyDescent="0.25">
      <c r="A287" s="656"/>
      <c r="B287" s="657"/>
      <c r="C287" s="657"/>
      <c r="D287" s="658"/>
      <c r="E287" s="658"/>
      <c r="F287" s="479"/>
      <c r="G287" s="676"/>
      <c r="H287" s="677"/>
      <c r="I287" s="476"/>
      <c r="J287" s="479"/>
      <c r="K287" s="479"/>
      <c r="L287" s="526"/>
      <c r="M287" s="526"/>
      <c r="N287" s="533"/>
      <c r="O287" s="533"/>
      <c r="P287" s="534"/>
      <c r="Q287" s="534"/>
    </row>
    <row r="288" spans="1:17" s="480" customFormat="1" x14ac:dyDescent="0.25">
      <c r="A288" s="656"/>
      <c r="B288" s="657"/>
      <c r="C288" s="657"/>
      <c r="D288" s="658"/>
      <c r="E288" s="658"/>
      <c r="F288" s="479"/>
      <c r="G288" s="676"/>
      <c r="H288" s="677"/>
      <c r="I288" s="476"/>
      <c r="J288" s="479"/>
      <c r="K288" s="479"/>
      <c r="L288" s="526"/>
      <c r="M288" s="526"/>
      <c r="N288" s="533"/>
      <c r="O288" s="533"/>
      <c r="P288" s="535"/>
      <c r="Q288" s="534"/>
    </row>
    <row r="289" spans="1:17" s="480" customFormat="1" x14ac:dyDescent="0.25">
      <c r="A289" s="656"/>
      <c r="B289" s="657"/>
      <c r="C289" s="657"/>
      <c r="D289" s="658"/>
      <c r="E289" s="658"/>
      <c r="F289" s="479"/>
      <c r="G289" s="676"/>
      <c r="H289" s="677"/>
      <c r="I289" s="476"/>
      <c r="J289" s="479"/>
      <c r="K289" s="479"/>
      <c r="L289" s="526"/>
      <c r="M289" s="526"/>
      <c r="N289" s="533"/>
      <c r="O289" s="533"/>
      <c r="P289" s="535"/>
      <c r="Q289" s="534"/>
    </row>
    <row r="290" spans="1:17" s="480" customFormat="1" x14ac:dyDescent="0.25">
      <c r="A290" s="656"/>
      <c r="B290" s="657"/>
      <c r="C290" s="657"/>
      <c r="D290" s="658"/>
      <c r="E290" s="658"/>
      <c r="F290" s="479"/>
      <c r="G290" s="479"/>
      <c r="H290" s="677"/>
      <c r="I290" s="476"/>
      <c r="J290" s="479"/>
      <c r="K290" s="479"/>
      <c r="L290" s="526"/>
      <c r="M290" s="526"/>
      <c r="N290" s="533"/>
      <c r="O290" s="533"/>
      <c r="P290" s="534"/>
      <c r="Q290" s="534"/>
    </row>
    <row r="291" spans="1:17" s="480" customFormat="1" x14ac:dyDescent="0.25">
      <c r="A291" s="656"/>
      <c r="B291" s="657"/>
      <c r="C291" s="657"/>
      <c r="D291" s="658"/>
      <c r="E291" s="658"/>
      <c r="F291" s="479"/>
      <c r="G291" s="479"/>
      <c r="H291" s="677"/>
      <c r="I291" s="476"/>
      <c r="J291" s="479"/>
      <c r="K291" s="479"/>
      <c r="L291" s="526"/>
      <c r="M291" s="526"/>
      <c r="N291" s="533"/>
      <c r="O291" s="639"/>
      <c r="P291" s="528"/>
      <c r="Q291" s="534"/>
    </row>
    <row r="292" spans="1:17" s="480" customFormat="1" x14ac:dyDescent="0.25">
      <c r="A292" s="656"/>
      <c r="B292" s="657"/>
      <c r="C292" s="657"/>
      <c r="D292" s="658"/>
      <c r="E292" s="658"/>
      <c r="F292" s="479"/>
      <c r="G292" s="676"/>
      <c r="H292" s="677"/>
      <c r="I292" s="476"/>
      <c r="J292" s="479"/>
      <c r="K292" s="479"/>
      <c r="L292" s="526"/>
      <c r="M292" s="526"/>
      <c r="N292" s="533"/>
      <c r="O292" s="533"/>
      <c r="P292" s="528"/>
      <c r="Q292" s="534"/>
    </row>
    <row r="293" spans="1:17" s="480" customFormat="1" x14ac:dyDescent="0.25">
      <c r="A293" s="656"/>
      <c r="B293" s="657"/>
      <c r="C293" s="657"/>
      <c r="D293" s="658"/>
      <c r="E293" s="658"/>
      <c r="F293" s="479"/>
      <c r="G293" s="479"/>
      <c r="H293" s="677"/>
      <c r="I293" s="476"/>
      <c r="J293" s="479"/>
      <c r="K293" s="479"/>
      <c r="L293" s="526"/>
      <c r="M293" s="526"/>
      <c r="N293" s="533"/>
      <c r="O293" s="533"/>
      <c r="P293" s="534"/>
      <c r="Q293" s="534"/>
    </row>
    <row r="294" spans="1:17" s="480" customFormat="1" x14ac:dyDescent="0.25">
      <c r="A294" s="656"/>
      <c r="B294" s="657"/>
      <c r="C294" s="657"/>
      <c r="D294" s="658"/>
      <c r="E294" s="658"/>
      <c r="F294" s="479"/>
      <c r="G294" s="676"/>
      <c r="H294" s="677"/>
      <c r="I294" s="476"/>
      <c r="J294" s="479"/>
      <c r="K294" s="479"/>
      <c r="L294" s="526"/>
      <c r="M294" s="526"/>
      <c r="N294" s="533"/>
      <c r="O294" s="533"/>
      <c r="P294" s="534"/>
      <c r="Q294" s="534"/>
    </row>
    <row r="295" spans="1:17" s="480" customFormat="1" x14ac:dyDescent="0.25">
      <c r="A295" s="656"/>
      <c r="B295" s="657"/>
      <c r="C295" s="657"/>
      <c r="D295" s="658"/>
      <c r="E295" s="658"/>
      <c r="F295" s="479"/>
      <c r="G295" s="479"/>
      <c r="H295" s="677"/>
      <c r="I295" s="476"/>
      <c r="J295" s="479"/>
      <c r="K295" s="479"/>
      <c r="L295" s="651"/>
      <c r="M295" s="652"/>
      <c r="N295" s="533"/>
      <c r="O295" s="639"/>
      <c r="P295" s="534"/>
      <c r="Q295" s="534"/>
    </row>
    <row r="296" spans="1:17" s="480" customFormat="1" x14ac:dyDescent="0.25">
      <c r="A296" s="656"/>
      <c r="B296" s="657"/>
      <c r="C296" s="657"/>
      <c r="D296" s="658"/>
      <c r="E296" s="658"/>
      <c r="F296" s="479"/>
      <c r="G296" s="676"/>
      <c r="H296" s="677"/>
      <c r="I296" s="476"/>
      <c r="J296" s="479"/>
      <c r="K296" s="479"/>
      <c r="L296" s="526"/>
      <c r="M296" s="526"/>
      <c r="N296" s="533"/>
      <c r="O296" s="533"/>
      <c r="P296" s="535"/>
      <c r="Q296" s="534"/>
    </row>
    <row r="297" spans="1:17" s="480" customFormat="1" x14ac:dyDescent="0.25">
      <c r="A297" s="656"/>
      <c r="B297" s="657"/>
      <c r="C297" s="657"/>
      <c r="D297" s="658"/>
      <c r="E297" s="658"/>
      <c r="F297" s="479"/>
      <c r="G297" s="479"/>
      <c r="H297" s="677"/>
      <c r="I297" s="476"/>
      <c r="J297" s="479"/>
      <c r="K297" s="479"/>
      <c r="L297" s="526"/>
      <c r="M297" s="526"/>
      <c r="N297" s="533"/>
      <c r="O297" s="533"/>
      <c r="P297" s="534"/>
      <c r="Q297" s="534"/>
    </row>
    <row r="298" spans="1:17" s="480" customFormat="1" x14ac:dyDescent="0.25">
      <c r="A298" s="656"/>
      <c r="B298" s="657"/>
      <c r="C298" s="657"/>
      <c r="D298" s="658"/>
      <c r="E298" s="658"/>
      <c r="F298" s="479"/>
      <c r="G298" s="676"/>
      <c r="H298" s="677"/>
      <c r="I298" s="476"/>
      <c r="J298" s="479"/>
      <c r="K298" s="479"/>
      <c r="L298" s="526"/>
      <c r="M298" s="641"/>
      <c r="N298" s="533"/>
      <c r="O298" s="533"/>
      <c r="P298" s="534"/>
      <c r="Q298" s="534"/>
    </row>
    <row r="299" spans="1:17" s="480" customFormat="1" x14ac:dyDescent="0.25">
      <c r="A299" s="656"/>
      <c r="B299" s="657"/>
      <c r="C299" s="657"/>
      <c r="D299" s="658"/>
      <c r="E299" s="658"/>
      <c r="F299" s="479"/>
      <c r="G299" s="676"/>
      <c r="H299" s="677"/>
      <c r="I299" s="476"/>
      <c r="J299" s="479"/>
      <c r="K299" s="479"/>
      <c r="L299" s="526"/>
      <c r="M299" s="526"/>
      <c r="N299" s="533"/>
      <c r="O299" s="533"/>
      <c r="P299" s="534"/>
      <c r="Q299" s="534"/>
    </row>
    <row r="300" spans="1:17" s="480" customFormat="1" x14ac:dyDescent="0.25">
      <c r="A300" s="656"/>
      <c r="B300" s="657"/>
      <c r="C300" s="657"/>
      <c r="D300" s="658"/>
      <c r="E300" s="658"/>
      <c r="F300" s="479"/>
      <c r="G300" s="676"/>
      <c r="H300" s="677"/>
      <c r="I300" s="476"/>
      <c r="J300" s="479"/>
      <c r="K300" s="479"/>
      <c r="L300" s="526"/>
      <c r="M300" s="526"/>
      <c r="N300" s="533"/>
      <c r="O300" s="639"/>
      <c r="P300" s="535"/>
      <c r="Q300" s="534"/>
    </row>
    <row r="301" spans="1:17" s="480" customFormat="1" x14ac:dyDescent="0.25">
      <c r="A301" s="656"/>
      <c r="B301" s="657"/>
      <c r="C301" s="657"/>
      <c r="D301" s="658"/>
      <c r="E301" s="658"/>
      <c r="F301" s="479"/>
      <c r="G301" s="676"/>
      <c r="H301" s="677"/>
      <c r="I301" s="476"/>
      <c r="J301" s="479"/>
      <c r="K301" s="479"/>
      <c r="L301" s="526"/>
      <c r="M301" s="526"/>
      <c r="N301" s="533"/>
      <c r="O301" s="639"/>
      <c r="P301" s="535"/>
      <c r="Q301" s="534"/>
    </row>
    <row r="302" spans="1:17" s="480" customFormat="1" x14ac:dyDescent="0.25">
      <c r="A302" s="656"/>
      <c r="B302" s="657"/>
      <c r="C302" s="657"/>
      <c r="D302" s="658"/>
      <c r="E302" s="658"/>
      <c r="F302" s="479"/>
      <c r="G302" s="479"/>
      <c r="H302" s="677"/>
      <c r="I302" s="476"/>
      <c r="J302" s="479"/>
      <c r="K302" s="479"/>
      <c r="L302" s="526"/>
      <c r="M302" s="526"/>
      <c r="N302" s="533"/>
      <c r="O302" s="533"/>
      <c r="P302" s="535"/>
      <c r="Q302" s="534"/>
    </row>
    <row r="303" spans="1:17" s="480" customFormat="1" x14ac:dyDescent="0.25">
      <c r="A303" s="656"/>
      <c r="B303" s="657"/>
      <c r="C303" s="657"/>
      <c r="D303" s="658"/>
      <c r="E303" s="658"/>
      <c r="F303" s="479"/>
      <c r="G303" s="676"/>
      <c r="H303" s="677"/>
      <c r="I303" s="476"/>
      <c r="J303" s="479"/>
      <c r="K303" s="479"/>
      <c r="L303" s="526"/>
      <c r="M303" s="526"/>
      <c r="N303" s="533"/>
      <c r="O303" s="533"/>
      <c r="P303" s="535"/>
      <c r="Q303" s="534"/>
    </row>
    <row r="304" spans="1:17" s="480" customFormat="1" x14ac:dyDescent="0.25">
      <c r="A304" s="656"/>
      <c r="B304" s="657"/>
      <c r="C304" s="657"/>
      <c r="D304" s="658"/>
      <c r="E304" s="658"/>
      <c r="F304" s="479"/>
      <c r="G304" s="479"/>
      <c r="H304" s="677"/>
      <c r="I304" s="476"/>
      <c r="J304" s="479"/>
      <c r="K304" s="479"/>
      <c r="L304" s="526"/>
      <c r="M304" s="526"/>
      <c r="N304" s="533"/>
      <c r="O304" s="533"/>
      <c r="P304" s="534"/>
      <c r="Q304" s="534"/>
    </row>
    <row r="305" spans="1:17" s="480" customFormat="1" x14ac:dyDescent="0.25">
      <c r="A305" s="656"/>
      <c r="B305" s="657"/>
      <c r="C305" s="657"/>
      <c r="D305" s="658"/>
      <c r="E305" s="658"/>
      <c r="F305" s="479"/>
      <c r="G305" s="479"/>
      <c r="H305" s="677"/>
      <c r="I305" s="476"/>
      <c r="J305" s="479"/>
      <c r="K305" s="479"/>
      <c r="L305" s="526"/>
      <c r="M305" s="526"/>
      <c r="N305" s="533"/>
      <c r="O305" s="533"/>
      <c r="P305" s="534"/>
      <c r="Q305" s="534"/>
    </row>
    <row r="306" spans="1:17" s="480" customFormat="1" x14ac:dyDescent="0.25">
      <c r="A306" s="656"/>
      <c r="B306" s="657"/>
      <c r="C306" s="657"/>
      <c r="D306" s="658"/>
      <c r="E306" s="658"/>
      <c r="F306" s="479"/>
      <c r="G306" s="676"/>
      <c r="H306" s="677"/>
      <c r="I306" s="476"/>
      <c r="J306" s="479"/>
      <c r="K306" s="479"/>
      <c r="L306" s="526"/>
      <c r="M306" s="526"/>
      <c r="N306" s="533"/>
      <c r="O306" s="533"/>
      <c r="P306" s="534"/>
      <c r="Q306" s="534"/>
    </row>
    <row r="307" spans="1:17" s="480" customFormat="1" x14ac:dyDescent="0.25">
      <c r="A307" s="656"/>
      <c r="B307" s="657"/>
      <c r="C307" s="657"/>
      <c r="D307" s="658"/>
      <c r="E307" s="658"/>
      <c r="F307" s="479"/>
      <c r="G307" s="479"/>
      <c r="H307" s="677"/>
      <c r="I307" s="476"/>
      <c r="J307" s="479"/>
      <c r="K307" s="479"/>
      <c r="L307" s="526"/>
      <c r="M307" s="526"/>
      <c r="N307" s="533"/>
      <c r="O307" s="533"/>
      <c r="P307" s="534"/>
      <c r="Q307" s="534"/>
    </row>
    <row r="308" spans="1:17" s="480" customFormat="1" x14ac:dyDescent="0.25">
      <c r="A308" s="656"/>
      <c r="B308" s="657"/>
      <c r="C308" s="657"/>
      <c r="D308" s="658"/>
      <c r="E308" s="658"/>
      <c r="F308" s="479"/>
      <c r="G308" s="676"/>
      <c r="H308" s="677"/>
      <c r="I308" s="476"/>
      <c r="J308" s="479"/>
      <c r="K308" s="479"/>
      <c r="L308" s="526"/>
      <c r="M308" s="526"/>
      <c r="N308" s="533"/>
      <c r="O308" s="533"/>
      <c r="P308" s="535"/>
      <c r="Q308" s="534"/>
    </row>
    <row r="309" spans="1:17" s="480" customFormat="1" x14ac:dyDescent="0.25">
      <c r="A309" s="656"/>
      <c r="B309" s="657"/>
      <c r="C309" s="657"/>
      <c r="D309" s="658"/>
      <c r="E309" s="658"/>
      <c r="F309" s="479"/>
      <c r="G309" s="479"/>
      <c r="H309" s="677"/>
      <c r="I309" s="476"/>
      <c r="J309" s="479"/>
      <c r="K309" s="479"/>
      <c r="L309" s="526"/>
      <c r="M309" s="526"/>
      <c r="N309" s="533"/>
      <c r="O309" s="533"/>
      <c r="P309" s="534"/>
      <c r="Q309" s="534"/>
    </row>
    <row r="310" spans="1:17" s="480" customFormat="1" x14ac:dyDescent="0.25">
      <c r="A310" s="656"/>
      <c r="B310" s="657"/>
      <c r="C310" s="657"/>
      <c r="D310" s="658"/>
      <c r="E310" s="658"/>
      <c r="F310" s="479"/>
      <c r="G310" s="676"/>
      <c r="H310" s="677"/>
      <c r="I310" s="476"/>
      <c r="J310" s="479"/>
      <c r="K310" s="479"/>
      <c r="L310" s="526"/>
      <c r="M310" s="526"/>
      <c r="N310" s="533"/>
      <c r="O310" s="533"/>
      <c r="P310" s="534"/>
      <c r="Q310" s="534"/>
    </row>
    <row r="311" spans="1:17" s="480" customFormat="1" x14ac:dyDescent="0.25">
      <c r="A311" s="656"/>
      <c r="B311" s="657"/>
      <c r="C311" s="657"/>
      <c r="D311" s="658"/>
      <c r="E311" s="658"/>
      <c r="F311" s="479"/>
      <c r="G311" s="479"/>
      <c r="H311" s="677"/>
      <c r="I311" s="476"/>
      <c r="J311" s="479"/>
      <c r="K311" s="479"/>
      <c r="L311" s="526"/>
      <c r="M311" s="526"/>
      <c r="N311" s="533"/>
      <c r="O311" s="533"/>
      <c r="P311" s="534"/>
      <c r="Q311" s="534"/>
    </row>
    <row r="312" spans="1:17" s="480" customFormat="1" x14ac:dyDescent="0.25">
      <c r="A312" s="656"/>
      <c r="B312" s="657"/>
      <c r="C312" s="657"/>
      <c r="D312" s="658"/>
      <c r="E312" s="658"/>
      <c r="F312" s="479"/>
      <c r="G312" s="479"/>
      <c r="H312" s="677"/>
      <c r="I312" s="476"/>
      <c r="J312" s="479"/>
      <c r="K312" s="479"/>
      <c r="L312" s="526"/>
      <c r="M312" s="526"/>
      <c r="N312" s="533"/>
      <c r="O312" s="533"/>
      <c r="P312" s="535"/>
      <c r="Q312" s="534"/>
    </row>
    <row r="313" spans="1:17" s="480" customFormat="1" x14ac:dyDescent="0.25">
      <c r="A313" s="656"/>
      <c r="B313" s="657"/>
      <c r="C313" s="657"/>
      <c r="D313" s="658"/>
      <c r="E313" s="658"/>
      <c r="F313" s="479"/>
      <c r="G313" s="479"/>
      <c r="H313" s="677"/>
      <c r="I313" s="476"/>
      <c r="J313" s="479"/>
      <c r="K313" s="479"/>
      <c r="L313" s="526"/>
      <c r="M313" s="526"/>
      <c r="N313" s="533"/>
      <c r="O313" s="533"/>
      <c r="P313" s="534"/>
      <c r="Q313" s="534"/>
    </row>
    <row r="314" spans="1:17" s="480" customFormat="1" x14ac:dyDescent="0.25">
      <c r="A314" s="656"/>
      <c r="B314" s="667"/>
      <c r="C314" s="667"/>
      <c r="D314" s="668"/>
      <c r="E314" s="668"/>
      <c r="F314" s="479"/>
      <c r="G314" s="479"/>
      <c r="H314" s="677"/>
      <c r="I314" s="476"/>
      <c r="J314" s="479"/>
      <c r="K314" s="479"/>
      <c r="L314" s="526"/>
      <c r="M314" s="526"/>
      <c r="N314" s="533"/>
      <c r="O314" s="533"/>
      <c r="P314" s="534"/>
      <c r="Q314" s="534"/>
    </row>
    <row r="315" spans="1:17" s="480" customFormat="1" x14ac:dyDescent="0.25">
      <c r="A315" s="656"/>
      <c r="B315" s="667"/>
      <c r="C315" s="667"/>
      <c r="D315" s="668"/>
      <c r="E315" s="668"/>
      <c r="F315" s="479"/>
      <c r="G315" s="479"/>
      <c r="H315" s="677"/>
      <c r="I315" s="476"/>
      <c r="J315" s="479"/>
      <c r="K315" s="479"/>
      <c r="L315" s="526"/>
      <c r="M315" s="526"/>
      <c r="N315" s="533"/>
      <c r="O315" s="533"/>
      <c r="P315" s="534"/>
      <c r="Q315" s="534"/>
    </row>
    <row r="316" spans="1:17" s="480" customFormat="1" x14ac:dyDescent="0.25">
      <c r="A316" s="656"/>
      <c r="B316" s="667"/>
      <c r="C316" s="667"/>
      <c r="D316" s="668"/>
      <c r="E316" s="668"/>
      <c r="F316" s="479"/>
      <c r="G316" s="479"/>
      <c r="H316" s="677"/>
      <c r="I316" s="476"/>
      <c r="J316" s="479"/>
      <c r="K316" s="479"/>
      <c r="L316" s="526"/>
      <c r="M316" s="526"/>
      <c r="N316" s="533"/>
      <c r="O316" s="533"/>
      <c r="P316" s="534"/>
      <c r="Q316" s="534"/>
    </row>
    <row r="317" spans="1:17" s="480" customFormat="1" x14ac:dyDescent="0.25">
      <c r="A317" s="656"/>
      <c r="B317" s="657"/>
      <c r="C317" s="657"/>
      <c r="D317" s="658"/>
      <c r="E317" s="658"/>
      <c r="F317" s="479"/>
      <c r="G317" s="479"/>
      <c r="H317" s="677"/>
      <c r="I317" s="476"/>
      <c r="J317" s="479"/>
      <c r="K317" s="479"/>
      <c r="L317" s="526"/>
      <c r="M317" s="526"/>
      <c r="N317" s="533"/>
      <c r="O317" s="533"/>
      <c r="P317" s="528"/>
      <c r="Q317" s="534"/>
    </row>
    <row r="318" spans="1:17" s="480" customFormat="1" x14ac:dyDescent="0.25">
      <c r="A318" s="656"/>
      <c r="B318" s="669"/>
      <c r="C318" s="667"/>
      <c r="D318" s="668"/>
      <c r="E318" s="668"/>
      <c r="F318" s="479"/>
      <c r="G318" s="479"/>
      <c r="H318" s="677"/>
      <c r="I318" s="476"/>
      <c r="J318" s="479"/>
      <c r="K318" s="479"/>
      <c r="L318" s="531"/>
      <c r="M318" s="537"/>
      <c r="N318" s="533"/>
      <c r="O318" s="639"/>
      <c r="P318" s="535"/>
      <c r="Q318" s="534"/>
    </row>
    <row r="319" spans="1:17" s="480" customFormat="1" x14ac:dyDescent="0.25">
      <c r="A319" s="656"/>
      <c r="B319" s="667"/>
      <c r="C319" s="667"/>
      <c r="D319" s="668"/>
      <c r="E319" s="668"/>
      <c r="F319" s="479"/>
      <c r="G319" s="479"/>
      <c r="H319" s="677"/>
      <c r="I319" s="476"/>
      <c r="J319" s="479"/>
      <c r="K319" s="479"/>
      <c r="L319" s="526"/>
      <c r="M319" s="526"/>
      <c r="N319" s="533"/>
      <c r="O319" s="533"/>
      <c r="P319" s="535"/>
      <c r="Q319" s="534"/>
    </row>
    <row r="320" spans="1:17" s="480" customFormat="1" x14ac:dyDescent="0.25">
      <c r="A320" s="656"/>
      <c r="B320" s="662"/>
      <c r="C320" s="657"/>
      <c r="D320" s="658"/>
      <c r="E320" s="658"/>
      <c r="F320" s="479"/>
      <c r="G320" s="479"/>
      <c r="H320" s="677"/>
      <c r="I320" s="476"/>
      <c r="J320" s="479"/>
      <c r="K320" s="479"/>
      <c r="L320" s="526"/>
      <c r="M320" s="532"/>
      <c r="N320" s="533"/>
      <c r="O320" s="639"/>
      <c r="P320" s="535"/>
      <c r="Q320" s="534"/>
    </row>
    <row r="321" spans="1:17" s="480" customFormat="1" x14ac:dyDescent="0.25">
      <c r="A321" s="656"/>
      <c r="B321" s="662"/>
      <c r="C321" s="657"/>
      <c r="D321" s="658"/>
      <c r="E321" s="658"/>
      <c r="F321" s="479"/>
      <c r="G321" s="479"/>
      <c r="H321" s="677"/>
      <c r="I321" s="476"/>
      <c r="J321" s="479"/>
      <c r="K321" s="479"/>
      <c r="L321" s="526"/>
      <c r="M321" s="526"/>
      <c r="N321" s="533"/>
      <c r="O321" s="533"/>
      <c r="P321" s="534"/>
      <c r="Q321" s="534"/>
    </row>
    <row r="322" spans="1:17" s="480" customFormat="1" x14ac:dyDescent="0.25">
      <c r="A322" s="656"/>
      <c r="B322" s="662"/>
      <c r="C322" s="657"/>
      <c r="D322" s="658"/>
      <c r="E322" s="658"/>
      <c r="F322" s="479"/>
      <c r="G322" s="479"/>
      <c r="H322" s="677"/>
      <c r="I322" s="476"/>
      <c r="J322" s="479"/>
      <c r="K322" s="479"/>
      <c r="L322" s="529"/>
      <c r="M322" s="526"/>
      <c r="N322" s="533"/>
      <c r="O322" s="639"/>
      <c r="P322" s="535"/>
      <c r="Q322" s="534"/>
    </row>
    <row r="323" spans="1:17" s="480" customFormat="1" x14ac:dyDescent="0.25">
      <c r="A323" s="656"/>
      <c r="B323" s="669"/>
      <c r="C323" s="667"/>
      <c r="D323" s="668"/>
      <c r="E323" s="668"/>
      <c r="F323" s="479"/>
      <c r="G323" s="479"/>
      <c r="H323" s="677"/>
      <c r="I323" s="476"/>
      <c r="J323" s="479"/>
      <c r="K323" s="479"/>
      <c r="L323" s="526"/>
      <c r="M323" s="526"/>
      <c r="N323" s="533"/>
      <c r="O323" s="533"/>
      <c r="P323" s="535"/>
      <c r="Q323" s="534"/>
    </row>
    <row r="324" spans="1:17" s="480" customFormat="1" x14ac:dyDescent="0.25">
      <c r="A324" s="656"/>
      <c r="B324" s="662"/>
      <c r="C324" s="657"/>
      <c r="D324" s="658"/>
      <c r="E324" s="658"/>
      <c r="F324" s="479"/>
      <c r="G324" s="479"/>
      <c r="H324" s="677"/>
      <c r="I324" s="476"/>
      <c r="J324" s="479"/>
      <c r="K324" s="479"/>
      <c r="L324" s="526"/>
      <c r="M324" s="526"/>
      <c r="N324" s="533"/>
      <c r="O324" s="533"/>
      <c r="P324" s="528"/>
      <c r="Q324" s="534"/>
    </row>
    <row r="325" spans="1:17" s="480" customFormat="1" x14ac:dyDescent="0.25">
      <c r="A325" s="656"/>
      <c r="B325" s="657"/>
      <c r="C325" s="657"/>
      <c r="D325" s="658"/>
      <c r="E325" s="658"/>
      <c r="F325" s="479"/>
      <c r="G325" s="479"/>
      <c r="H325" s="677"/>
      <c r="I325" s="476"/>
      <c r="J325" s="479"/>
      <c r="K325" s="479"/>
      <c r="L325" s="526"/>
      <c r="M325" s="526"/>
      <c r="N325" s="533"/>
      <c r="O325" s="533"/>
      <c r="P325" s="535"/>
      <c r="Q325" s="534"/>
    </row>
    <row r="326" spans="1:17" s="480" customFormat="1" x14ac:dyDescent="0.25">
      <c r="A326" s="656"/>
      <c r="B326" s="657"/>
      <c r="C326" s="657"/>
      <c r="D326" s="658"/>
      <c r="E326" s="658"/>
      <c r="F326" s="479"/>
      <c r="G326" s="479"/>
      <c r="H326" s="677"/>
      <c r="I326" s="476"/>
      <c r="J326" s="479"/>
      <c r="K326" s="479"/>
      <c r="L326" s="526"/>
      <c r="M326" s="526"/>
      <c r="N326" s="533"/>
      <c r="O326" s="639"/>
      <c r="P326" s="528"/>
      <c r="Q326" s="534"/>
    </row>
    <row r="327" spans="1:17" s="480" customFormat="1" x14ac:dyDescent="0.25">
      <c r="A327" s="656"/>
      <c r="B327" s="657"/>
      <c r="C327" s="657"/>
      <c r="D327" s="658"/>
      <c r="E327" s="658"/>
      <c r="F327" s="479"/>
      <c r="G327" s="479"/>
      <c r="H327" s="677"/>
      <c r="I327" s="476"/>
      <c r="J327" s="479"/>
      <c r="K327" s="479"/>
      <c r="L327" s="526"/>
      <c r="M327" s="526"/>
      <c r="N327" s="533"/>
      <c r="O327" s="639"/>
      <c r="P327" s="528"/>
      <c r="Q327" s="534"/>
    </row>
    <row r="328" spans="1:17" s="480" customFormat="1" x14ac:dyDescent="0.25">
      <c r="A328" s="656"/>
      <c r="B328" s="657"/>
      <c r="C328" s="657"/>
      <c r="D328" s="658"/>
      <c r="E328" s="658"/>
      <c r="F328" s="479"/>
      <c r="G328" s="479"/>
      <c r="H328" s="677"/>
      <c r="I328" s="476"/>
      <c r="J328" s="479"/>
      <c r="K328" s="479"/>
      <c r="L328" s="526"/>
      <c r="M328" s="526"/>
      <c r="N328" s="533"/>
      <c r="O328" s="533"/>
      <c r="P328" s="534"/>
      <c r="Q328" s="534"/>
    </row>
    <row r="329" spans="1:17" s="480" customFormat="1" x14ac:dyDescent="0.25">
      <c r="A329" s="656"/>
      <c r="B329" s="657"/>
      <c r="C329" s="657"/>
      <c r="D329" s="658"/>
      <c r="E329" s="658"/>
      <c r="F329" s="479"/>
      <c r="G329" s="676"/>
      <c r="H329" s="677"/>
      <c r="I329" s="476"/>
      <c r="J329" s="479"/>
      <c r="K329" s="479"/>
      <c r="L329" s="526"/>
      <c r="M329" s="526"/>
      <c r="N329" s="533"/>
      <c r="O329" s="533"/>
      <c r="P329" s="528"/>
      <c r="Q329" s="534"/>
    </row>
    <row r="330" spans="1:17" s="480" customFormat="1" x14ac:dyDescent="0.25">
      <c r="A330" s="656"/>
      <c r="B330" s="657"/>
      <c r="C330" s="657"/>
      <c r="D330" s="658"/>
      <c r="E330" s="658"/>
      <c r="F330" s="479"/>
      <c r="G330" s="479"/>
      <c r="H330" s="677"/>
      <c r="I330" s="476"/>
      <c r="J330" s="479"/>
      <c r="K330" s="479"/>
      <c r="L330" s="526"/>
      <c r="M330" s="526"/>
      <c r="N330" s="533"/>
      <c r="O330" s="533"/>
      <c r="P330" s="534"/>
      <c r="Q330" s="534"/>
    </row>
    <row r="331" spans="1:17" s="480" customFormat="1" x14ac:dyDescent="0.25">
      <c r="A331" s="656"/>
      <c r="B331" s="657"/>
      <c r="C331" s="657"/>
      <c r="D331" s="658"/>
      <c r="E331" s="658"/>
      <c r="F331" s="479"/>
      <c r="G331" s="676"/>
      <c r="H331" s="677"/>
      <c r="I331" s="476"/>
      <c r="J331" s="479"/>
      <c r="K331" s="479"/>
      <c r="L331" s="526"/>
      <c r="M331" s="526"/>
      <c r="N331" s="533"/>
      <c r="O331" s="533"/>
      <c r="P331" s="534"/>
      <c r="Q331" s="534"/>
    </row>
    <row r="332" spans="1:17" s="480" customFormat="1" x14ac:dyDescent="0.25">
      <c r="A332" s="656"/>
      <c r="B332" s="657"/>
      <c r="C332" s="657"/>
      <c r="D332" s="658"/>
      <c r="E332" s="658"/>
      <c r="F332" s="479"/>
      <c r="G332" s="676"/>
      <c r="H332" s="677"/>
      <c r="I332" s="476"/>
      <c r="J332" s="479"/>
      <c r="K332" s="479"/>
      <c r="L332" s="526"/>
      <c r="M332" s="526"/>
      <c r="N332" s="533"/>
      <c r="O332" s="533"/>
      <c r="P332" s="534"/>
      <c r="Q332" s="534"/>
    </row>
    <row r="333" spans="1:17" s="480" customFormat="1" x14ac:dyDescent="0.25">
      <c r="A333" s="656"/>
      <c r="B333" s="657"/>
      <c r="C333" s="657"/>
      <c r="D333" s="658"/>
      <c r="E333" s="658"/>
      <c r="F333" s="479"/>
      <c r="G333" s="676"/>
      <c r="H333" s="677"/>
      <c r="I333" s="476"/>
      <c r="J333" s="479"/>
      <c r="K333" s="479"/>
      <c r="L333" s="526"/>
      <c r="M333" s="526"/>
      <c r="N333" s="533"/>
      <c r="O333" s="639"/>
      <c r="P333" s="535"/>
      <c r="Q333" s="534"/>
    </row>
    <row r="334" spans="1:17" s="480" customFormat="1" x14ac:dyDescent="0.25">
      <c r="A334" s="656"/>
      <c r="B334" s="657"/>
      <c r="C334" s="657"/>
      <c r="D334" s="658"/>
      <c r="E334" s="658"/>
      <c r="F334" s="479"/>
      <c r="G334" s="479"/>
      <c r="H334" s="677"/>
      <c r="I334" s="476"/>
      <c r="J334" s="479"/>
      <c r="K334" s="479"/>
      <c r="L334" s="526"/>
      <c r="M334" s="526"/>
      <c r="N334" s="533"/>
      <c r="O334" s="533"/>
      <c r="P334" s="534"/>
      <c r="Q334" s="534"/>
    </row>
    <row r="335" spans="1:17" s="480" customFormat="1" x14ac:dyDescent="0.25">
      <c r="A335" s="656"/>
      <c r="B335" s="657"/>
      <c r="C335" s="657"/>
      <c r="D335" s="658"/>
      <c r="E335" s="658"/>
      <c r="F335" s="479"/>
      <c r="G335" s="479"/>
      <c r="H335" s="677"/>
      <c r="I335" s="476"/>
      <c r="J335" s="479"/>
      <c r="K335" s="479"/>
      <c r="L335" s="526"/>
      <c r="M335" s="526"/>
      <c r="N335" s="533"/>
      <c r="O335" s="533"/>
      <c r="P335" s="528"/>
      <c r="Q335" s="534"/>
    </row>
    <row r="336" spans="1:17" s="480" customFormat="1" x14ac:dyDescent="0.25">
      <c r="A336" s="656"/>
      <c r="B336" s="657"/>
      <c r="C336" s="657"/>
      <c r="D336" s="658"/>
      <c r="E336" s="658"/>
      <c r="F336" s="479"/>
      <c r="G336" s="479"/>
      <c r="H336" s="677"/>
      <c r="I336" s="476"/>
      <c r="J336" s="479"/>
      <c r="K336" s="479"/>
      <c r="L336" s="526"/>
      <c r="M336" s="526"/>
      <c r="N336" s="533"/>
      <c r="O336" s="533"/>
      <c r="P336" s="535"/>
      <c r="Q336" s="534"/>
    </row>
    <row r="337" spans="1:17" s="480" customFormat="1" x14ac:dyDescent="0.25">
      <c r="A337" s="656"/>
      <c r="B337" s="657"/>
      <c r="C337" s="657"/>
      <c r="D337" s="658"/>
      <c r="E337" s="658"/>
      <c r="F337" s="479"/>
      <c r="G337" s="479"/>
      <c r="H337" s="677"/>
      <c r="I337" s="476"/>
      <c r="J337" s="479"/>
      <c r="K337" s="479"/>
      <c r="L337" s="526"/>
      <c r="M337" s="526"/>
      <c r="N337" s="533"/>
      <c r="O337" s="533"/>
      <c r="P337" s="534"/>
      <c r="Q337" s="534"/>
    </row>
    <row r="338" spans="1:17" s="480" customFormat="1" x14ac:dyDescent="0.25">
      <c r="A338" s="656"/>
      <c r="B338" s="657"/>
      <c r="C338" s="657"/>
      <c r="D338" s="658"/>
      <c r="E338" s="658"/>
      <c r="F338" s="479"/>
      <c r="G338" s="676"/>
      <c r="H338" s="677"/>
      <c r="I338" s="476"/>
      <c r="J338" s="479"/>
      <c r="K338" s="479"/>
      <c r="L338" s="526"/>
      <c r="M338" s="526"/>
      <c r="N338" s="533"/>
      <c r="O338" s="639"/>
      <c r="P338" s="528"/>
      <c r="Q338" s="534"/>
    </row>
    <row r="339" spans="1:17" s="480" customFormat="1" x14ac:dyDescent="0.25">
      <c r="A339" s="656"/>
      <c r="B339" s="657"/>
      <c r="C339" s="657"/>
      <c r="D339" s="658"/>
      <c r="E339" s="658"/>
      <c r="F339" s="479"/>
      <c r="G339" s="479"/>
      <c r="H339" s="677"/>
      <c r="I339" s="476"/>
      <c r="J339" s="479"/>
      <c r="K339" s="479"/>
      <c r="L339" s="526"/>
      <c r="M339" s="526"/>
      <c r="N339" s="533"/>
      <c r="O339" s="533"/>
      <c r="P339" s="535"/>
      <c r="Q339" s="534"/>
    </row>
    <row r="340" spans="1:17" s="480" customFormat="1" x14ac:dyDescent="0.25">
      <c r="A340" s="656"/>
      <c r="B340" s="657"/>
      <c r="C340" s="657"/>
      <c r="D340" s="658"/>
      <c r="E340" s="658"/>
      <c r="F340" s="479"/>
      <c r="G340" s="479"/>
      <c r="H340" s="677"/>
      <c r="I340" s="476"/>
      <c r="J340" s="479"/>
      <c r="K340" s="479"/>
      <c r="L340" s="526"/>
      <c r="M340" s="526"/>
      <c r="N340" s="533"/>
      <c r="O340" s="533"/>
      <c r="P340" s="534"/>
      <c r="Q340" s="534"/>
    </row>
    <row r="341" spans="1:17" s="480" customFormat="1" x14ac:dyDescent="0.25">
      <c r="A341" s="656"/>
      <c r="B341" s="657"/>
      <c r="C341" s="657"/>
      <c r="D341" s="658"/>
      <c r="E341" s="658"/>
      <c r="F341" s="479"/>
      <c r="G341" s="676"/>
      <c r="H341" s="677"/>
      <c r="I341" s="476"/>
      <c r="J341" s="479"/>
      <c r="K341" s="479"/>
      <c r="L341" s="526"/>
      <c r="M341" s="526"/>
      <c r="N341" s="533"/>
      <c r="O341" s="639"/>
      <c r="P341" s="528"/>
      <c r="Q341" s="534"/>
    </row>
    <row r="342" spans="1:17" s="480" customFormat="1" x14ac:dyDescent="0.25">
      <c r="A342" s="656"/>
      <c r="B342" s="657"/>
      <c r="C342" s="657"/>
      <c r="D342" s="658"/>
      <c r="E342" s="658"/>
      <c r="F342" s="479"/>
      <c r="G342" s="676"/>
      <c r="H342" s="677"/>
      <c r="I342" s="476"/>
      <c r="J342" s="479"/>
      <c r="K342" s="479"/>
      <c r="L342" s="526"/>
      <c r="M342" s="526"/>
      <c r="N342" s="533"/>
      <c r="O342" s="533"/>
      <c r="P342" s="535"/>
      <c r="Q342" s="534"/>
    </row>
    <row r="343" spans="1:17" s="480" customFormat="1" x14ac:dyDescent="0.25">
      <c r="A343" s="656"/>
      <c r="B343" s="657"/>
      <c r="C343" s="657"/>
      <c r="D343" s="658"/>
      <c r="E343" s="658"/>
      <c r="F343" s="479"/>
      <c r="G343" s="479"/>
      <c r="H343" s="677"/>
      <c r="I343" s="476"/>
      <c r="J343" s="479"/>
      <c r="K343" s="479"/>
      <c r="L343" s="526"/>
      <c r="M343" s="526"/>
      <c r="N343" s="533"/>
      <c r="O343" s="533"/>
      <c r="P343" s="535"/>
      <c r="Q343" s="534"/>
    </row>
    <row r="344" spans="1:17" s="480" customFormat="1" x14ac:dyDescent="0.25">
      <c r="A344" s="656"/>
      <c r="B344" s="657"/>
      <c r="C344" s="657"/>
      <c r="D344" s="658"/>
      <c r="E344" s="658"/>
      <c r="F344" s="479"/>
      <c r="G344" s="479"/>
      <c r="H344" s="677"/>
      <c r="I344" s="476"/>
      <c r="J344" s="479"/>
      <c r="K344" s="479"/>
      <c r="L344" s="526"/>
      <c r="M344" s="526"/>
      <c r="N344" s="533"/>
      <c r="O344" s="533"/>
      <c r="P344" s="528"/>
      <c r="Q344" s="534"/>
    </row>
    <row r="345" spans="1:17" s="480" customFormat="1" x14ac:dyDescent="0.25">
      <c r="A345" s="656"/>
      <c r="B345" s="657"/>
      <c r="C345" s="657"/>
      <c r="D345" s="658"/>
      <c r="E345" s="658"/>
      <c r="F345" s="479"/>
      <c r="G345" s="676"/>
      <c r="H345" s="677"/>
      <c r="I345" s="476"/>
      <c r="J345" s="479"/>
      <c r="K345" s="479"/>
      <c r="L345" s="526"/>
      <c r="M345" s="526"/>
      <c r="N345" s="533"/>
      <c r="O345" s="533"/>
      <c r="P345" s="535"/>
      <c r="Q345" s="534"/>
    </row>
    <row r="346" spans="1:17" s="480" customFormat="1" x14ac:dyDescent="0.25">
      <c r="A346" s="656"/>
      <c r="B346" s="657"/>
      <c r="C346" s="657"/>
      <c r="D346" s="658"/>
      <c r="E346" s="658"/>
      <c r="F346" s="479"/>
      <c r="G346" s="676"/>
      <c r="H346" s="677"/>
      <c r="I346" s="476"/>
      <c r="J346" s="479"/>
      <c r="K346" s="479"/>
      <c r="L346" s="526"/>
      <c r="M346" s="526"/>
      <c r="N346" s="533"/>
      <c r="O346" s="533"/>
      <c r="P346" s="534"/>
      <c r="Q346" s="534"/>
    </row>
    <row r="347" spans="1:17" s="480" customFormat="1" x14ac:dyDescent="0.25">
      <c r="A347" s="656"/>
      <c r="B347" s="657"/>
      <c r="C347" s="657"/>
      <c r="D347" s="658"/>
      <c r="E347" s="658"/>
      <c r="F347" s="479"/>
      <c r="G347" s="676"/>
      <c r="H347" s="677"/>
      <c r="I347" s="476"/>
      <c r="J347" s="479"/>
      <c r="K347" s="479"/>
      <c r="L347" s="526"/>
      <c r="M347" s="526"/>
      <c r="N347" s="533"/>
      <c r="O347" s="533"/>
      <c r="P347" s="534"/>
      <c r="Q347" s="534"/>
    </row>
    <row r="348" spans="1:17" s="480" customFormat="1" x14ac:dyDescent="0.25">
      <c r="A348" s="656"/>
      <c r="B348" s="657"/>
      <c r="C348" s="657"/>
      <c r="D348" s="658"/>
      <c r="E348" s="658"/>
      <c r="F348" s="479"/>
      <c r="G348" s="676"/>
      <c r="H348" s="677"/>
      <c r="I348" s="476"/>
      <c r="J348" s="479"/>
      <c r="K348" s="479"/>
      <c r="L348" s="526"/>
      <c r="M348" s="526"/>
      <c r="N348" s="533"/>
      <c r="O348" s="533"/>
      <c r="P348" s="535"/>
      <c r="Q348" s="534"/>
    </row>
    <row r="349" spans="1:17" s="480" customFormat="1" x14ac:dyDescent="0.25">
      <c r="A349" s="656"/>
      <c r="B349" s="657"/>
      <c r="C349" s="657"/>
      <c r="D349" s="658"/>
      <c r="E349" s="658"/>
      <c r="F349" s="479"/>
      <c r="G349" s="676"/>
      <c r="H349" s="677"/>
      <c r="I349" s="476"/>
      <c r="J349" s="479"/>
      <c r="K349" s="479"/>
      <c r="L349" s="526"/>
      <c r="M349" s="526"/>
      <c r="N349" s="533"/>
      <c r="O349" s="533"/>
      <c r="P349" s="534"/>
      <c r="Q349" s="534"/>
    </row>
    <row r="350" spans="1:17" s="480" customFormat="1" x14ac:dyDescent="0.25">
      <c r="A350" s="656"/>
      <c r="B350" s="657"/>
      <c r="C350" s="657"/>
      <c r="D350" s="658"/>
      <c r="E350" s="658"/>
      <c r="F350" s="479"/>
      <c r="G350" s="676"/>
      <c r="H350" s="677"/>
      <c r="I350" s="476"/>
      <c r="J350" s="479"/>
      <c r="K350" s="479"/>
      <c r="L350" s="526"/>
      <c r="M350" s="526"/>
      <c r="N350" s="533"/>
      <c r="O350" s="533"/>
      <c r="P350" s="534"/>
      <c r="Q350" s="534"/>
    </row>
    <row r="351" spans="1:17" s="480" customFormat="1" x14ac:dyDescent="0.25">
      <c r="A351" s="656"/>
      <c r="B351" s="657"/>
      <c r="C351" s="657"/>
      <c r="D351" s="658"/>
      <c r="E351" s="658"/>
      <c r="F351" s="479"/>
      <c r="G351" s="676"/>
      <c r="H351" s="677"/>
      <c r="I351" s="476"/>
      <c r="J351" s="479"/>
      <c r="K351" s="479"/>
      <c r="L351" s="526"/>
      <c r="M351" s="526"/>
      <c r="N351" s="533"/>
      <c r="O351" s="639"/>
      <c r="P351" s="534"/>
      <c r="Q351" s="534"/>
    </row>
    <row r="352" spans="1:17" s="480" customFormat="1" x14ac:dyDescent="0.25">
      <c r="A352" s="656"/>
      <c r="B352" s="657"/>
      <c r="C352" s="657"/>
      <c r="D352" s="658"/>
      <c r="E352" s="658"/>
      <c r="F352" s="479"/>
      <c r="G352" s="676"/>
      <c r="H352" s="677"/>
      <c r="I352" s="476"/>
      <c r="J352" s="479"/>
      <c r="K352" s="479"/>
      <c r="L352" s="526"/>
      <c r="M352" s="526"/>
      <c r="N352" s="533"/>
      <c r="O352" s="533"/>
      <c r="P352" s="534"/>
      <c r="Q352" s="534"/>
    </row>
    <row r="353" spans="1:17" s="480" customFormat="1" x14ac:dyDescent="0.25">
      <c r="A353" s="656"/>
      <c r="B353" s="657"/>
      <c r="C353" s="657"/>
      <c r="D353" s="658"/>
      <c r="E353" s="658"/>
      <c r="F353" s="479"/>
      <c r="G353" s="676"/>
      <c r="H353" s="677"/>
      <c r="I353" s="476"/>
      <c r="J353" s="479"/>
      <c r="K353" s="479"/>
      <c r="L353" s="526"/>
      <c r="M353" s="526"/>
      <c r="N353" s="533"/>
      <c r="O353" s="533"/>
      <c r="P353" s="534"/>
      <c r="Q353" s="534"/>
    </row>
    <row r="354" spans="1:17" s="480" customFormat="1" x14ac:dyDescent="0.25">
      <c r="A354" s="656"/>
      <c r="B354" s="657"/>
      <c r="C354" s="657"/>
      <c r="D354" s="658"/>
      <c r="E354" s="658"/>
      <c r="F354" s="479"/>
      <c r="G354" s="479"/>
      <c r="H354" s="677"/>
      <c r="I354" s="476"/>
      <c r="J354" s="479"/>
      <c r="K354" s="479"/>
      <c r="L354" s="526"/>
      <c r="M354" s="526"/>
      <c r="N354" s="533"/>
      <c r="O354" s="533"/>
      <c r="P354" s="534"/>
      <c r="Q354" s="534"/>
    </row>
    <row r="355" spans="1:17" s="480" customFormat="1" x14ac:dyDescent="0.25">
      <c r="A355" s="656"/>
      <c r="B355" s="657"/>
      <c r="C355" s="657"/>
      <c r="D355" s="658"/>
      <c r="E355" s="658"/>
      <c r="F355" s="479"/>
      <c r="G355" s="676"/>
      <c r="H355" s="677"/>
      <c r="I355" s="476"/>
      <c r="J355" s="479"/>
      <c r="K355" s="479"/>
      <c r="L355" s="526"/>
      <c r="M355" s="526"/>
      <c r="N355" s="533"/>
      <c r="O355" s="639"/>
      <c r="P355" s="534"/>
      <c r="Q355" s="534"/>
    </row>
    <row r="356" spans="1:17" s="480" customFormat="1" x14ac:dyDescent="0.25">
      <c r="A356" s="656"/>
      <c r="B356" s="657"/>
      <c r="C356" s="657"/>
      <c r="D356" s="658"/>
      <c r="E356" s="658"/>
      <c r="F356" s="479"/>
      <c r="G356" s="479"/>
      <c r="H356" s="677"/>
      <c r="I356" s="476"/>
      <c r="J356" s="479"/>
      <c r="K356" s="479"/>
      <c r="L356" s="526"/>
      <c r="M356" s="526"/>
      <c r="N356" s="533"/>
      <c r="O356" s="533"/>
      <c r="P356" s="535"/>
      <c r="Q356" s="534"/>
    </row>
    <row r="357" spans="1:17" s="480" customFormat="1" x14ac:dyDescent="0.25">
      <c r="A357" s="656"/>
      <c r="B357" s="657"/>
      <c r="C357" s="657"/>
      <c r="D357" s="658"/>
      <c r="E357" s="658"/>
      <c r="F357" s="479"/>
      <c r="G357" s="479"/>
      <c r="H357" s="677"/>
      <c r="I357" s="476"/>
      <c r="J357" s="479"/>
      <c r="K357" s="479"/>
      <c r="L357" s="526"/>
      <c r="M357" s="526"/>
      <c r="N357" s="533"/>
      <c r="O357" s="533"/>
      <c r="P357" s="534"/>
      <c r="Q357" s="534"/>
    </row>
    <row r="358" spans="1:17" s="480" customFormat="1" x14ac:dyDescent="0.25">
      <c r="A358" s="656"/>
      <c r="B358" s="657"/>
      <c r="C358" s="657"/>
      <c r="D358" s="658"/>
      <c r="E358" s="658"/>
      <c r="F358" s="479"/>
      <c r="G358" s="479"/>
      <c r="H358" s="677"/>
      <c r="I358" s="476"/>
      <c r="J358" s="479"/>
      <c r="K358" s="479"/>
      <c r="L358" s="526"/>
      <c r="M358" s="526"/>
      <c r="N358" s="533"/>
      <c r="O358" s="533"/>
      <c r="P358" s="534"/>
      <c r="Q358" s="534"/>
    </row>
    <row r="359" spans="1:17" s="480" customFormat="1" x14ac:dyDescent="0.25">
      <c r="A359" s="656"/>
      <c r="B359" s="657"/>
      <c r="C359" s="657"/>
      <c r="D359" s="658"/>
      <c r="E359" s="658"/>
      <c r="F359" s="479"/>
      <c r="G359" s="479"/>
      <c r="H359" s="677"/>
      <c r="I359" s="476"/>
      <c r="J359" s="479"/>
      <c r="K359" s="479"/>
      <c r="L359" s="526"/>
      <c r="M359" s="526"/>
      <c r="N359" s="533"/>
      <c r="O359" s="533"/>
      <c r="P359" s="535"/>
      <c r="Q359" s="534"/>
    </row>
    <row r="360" spans="1:17" s="480" customFormat="1" x14ac:dyDescent="0.25">
      <c r="A360" s="656"/>
      <c r="B360" s="657"/>
      <c r="C360" s="657"/>
      <c r="D360" s="658"/>
      <c r="E360" s="658"/>
      <c r="F360" s="479"/>
      <c r="G360" s="479"/>
      <c r="H360" s="677"/>
      <c r="I360" s="476"/>
      <c r="J360" s="479"/>
      <c r="K360" s="479"/>
      <c r="L360" s="526"/>
      <c r="M360" s="526"/>
      <c r="N360" s="533"/>
      <c r="O360" s="639"/>
      <c r="P360" s="528"/>
      <c r="Q360" s="534"/>
    </row>
    <row r="361" spans="1:17" s="480" customFormat="1" x14ac:dyDescent="0.25">
      <c r="A361" s="656"/>
      <c r="B361" s="657"/>
      <c r="C361" s="657"/>
      <c r="D361" s="658"/>
      <c r="E361" s="658"/>
      <c r="F361" s="479"/>
      <c r="G361" s="479"/>
      <c r="H361" s="677"/>
      <c r="I361" s="476"/>
      <c r="J361" s="479"/>
      <c r="K361" s="479"/>
      <c r="L361" s="526"/>
      <c r="M361" s="526"/>
      <c r="N361" s="533"/>
      <c r="O361" s="639"/>
      <c r="P361" s="528"/>
      <c r="Q361" s="534"/>
    </row>
    <row r="362" spans="1:17" s="480" customFormat="1" x14ac:dyDescent="0.25">
      <c r="A362" s="656"/>
      <c r="B362" s="657"/>
      <c r="C362" s="657"/>
      <c r="D362" s="658"/>
      <c r="E362" s="658"/>
      <c r="F362" s="479"/>
      <c r="G362" s="479"/>
      <c r="H362" s="677"/>
      <c r="I362" s="476"/>
      <c r="J362" s="479"/>
      <c r="K362" s="479"/>
      <c r="L362" s="526"/>
      <c r="M362" s="526"/>
      <c r="N362" s="533"/>
      <c r="O362" s="533"/>
      <c r="P362" s="534"/>
      <c r="Q362" s="534"/>
    </row>
    <row r="363" spans="1:17" s="480" customFormat="1" x14ac:dyDescent="0.25">
      <c r="A363" s="656"/>
      <c r="B363" s="657"/>
      <c r="C363" s="657"/>
      <c r="D363" s="658"/>
      <c r="E363" s="658"/>
      <c r="F363" s="479"/>
      <c r="G363" s="479"/>
      <c r="H363" s="677"/>
      <c r="I363" s="476"/>
      <c r="J363" s="479"/>
      <c r="K363" s="479"/>
      <c r="L363" s="526"/>
      <c r="M363" s="526"/>
      <c r="N363" s="533"/>
      <c r="O363" s="533"/>
      <c r="P363" s="534"/>
      <c r="Q363" s="534"/>
    </row>
    <row r="364" spans="1:17" s="480" customFormat="1" x14ac:dyDescent="0.25">
      <c r="A364" s="656"/>
      <c r="B364" s="657"/>
      <c r="C364" s="657"/>
      <c r="D364" s="658"/>
      <c r="E364" s="658"/>
      <c r="F364" s="479"/>
      <c r="G364" s="479"/>
      <c r="H364" s="677"/>
      <c r="I364" s="476"/>
      <c r="J364" s="479"/>
      <c r="K364" s="479"/>
      <c r="L364" s="526"/>
      <c r="M364" s="526"/>
      <c r="N364" s="533"/>
      <c r="O364" s="639"/>
      <c r="P364" s="528"/>
      <c r="Q364" s="534"/>
    </row>
    <row r="365" spans="1:17" s="480" customFormat="1" x14ac:dyDescent="0.25">
      <c r="A365" s="656"/>
      <c r="B365" s="657"/>
      <c r="C365" s="657"/>
      <c r="D365" s="658"/>
      <c r="E365" s="658"/>
      <c r="F365" s="479"/>
      <c r="G365" s="479"/>
      <c r="H365" s="677"/>
      <c r="I365" s="476"/>
      <c r="J365" s="479"/>
      <c r="K365" s="479"/>
      <c r="L365" s="526"/>
      <c r="M365" s="526"/>
      <c r="N365" s="533"/>
      <c r="O365" s="533"/>
      <c r="P365" s="534"/>
      <c r="Q365" s="534"/>
    </row>
    <row r="366" spans="1:17" s="480" customFormat="1" x14ac:dyDescent="0.25">
      <c r="A366" s="656"/>
      <c r="B366" s="657"/>
      <c r="C366" s="657"/>
      <c r="D366" s="658"/>
      <c r="E366" s="658"/>
      <c r="F366" s="479"/>
      <c r="G366" s="479"/>
      <c r="H366" s="677"/>
      <c r="I366" s="476"/>
      <c r="J366" s="479"/>
      <c r="K366" s="479"/>
      <c r="L366" s="526"/>
      <c r="M366" s="526"/>
      <c r="N366" s="533"/>
      <c r="O366" s="533"/>
      <c r="P366" s="528"/>
      <c r="Q366" s="534"/>
    </row>
    <row r="367" spans="1:17" s="480" customFormat="1" x14ac:dyDescent="0.25">
      <c r="A367" s="656"/>
      <c r="B367" s="657"/>
      <c r="C367" s="657"/>
      <c r="D367" s="658"/>
      <c r="E367" s="658"/>
      <c r="F367" s="479"/>
      <c r="G367" s="479"/>
      <c r="H367" s="677"/>
      <c r="I367" s="476"/>
      <c r="J367" s="479"/>
      <c r="K367" s="479"/>
      <c r="L367" s="526"/>
      <c r="M367" s="526"/>
      <c r="N367" s="533"/>
      <c r="O367" s="533"/>
      <c r="P367" s="534"/>
      <c r="Q367" s="534"/>
    </row>
    <row r="368" spans="1:17" s="480" customFormat="1" x14ac:dyDescent="0.25">
      <c r="A368" s="656"/>
      <c r="B368" s="657"/>
      <c r="C368" s="657"/>
      <c r="D368" s="658"/>
      <c r="E368" s="658"/>
      <c r="F368" s="479"/>
      <c r="G368" s="676"/>
      <c r="H368" s="677"/>
      <c r="I368" s="476"/>
      <c r="J368" s="479"/>
      <c r="K368" s="479"/>
      <c r="L368" s="526"/>
      <c r="M368" s="526"/>
      <c r="N368" s="533"/>
      <c r="O368" s="533"/>
      <c r="P368" s="534"/>
      <c r="Q368" s="534"/>
    </row>
    <row r="369" spans="1:17" s="480" customFormat="1" x14ac:dyDescent="0.25">
      <c r="A369" s="656"/>
      <c r="B369" s="657"/>
      <c r="C369" s="657"/>
      <c r="D369" s="658"/>
      <c r="E369" s="658"/>
      <c r="F369" s="479"/>
      <c r="G369" s="479"/>
      <c r="H369" s="677"/>
      <c r="I369" s="476"/>
      <c r="J369" s="479"/>
      <c r="K369" s="479"/>
      <c r="L369" s="526"/>
      <c r="M369" s="526"/>
      <c r="N369" s="533"/>
      <c r="O369" s="533"/>
      <c r="P369" s="534"/>
      <c r="Q369" s="534"/>
    </row>
    <row r="370" spans="1:17" s="480" customFormat="1" x14ac:dyDescent="0.25">
      <c r="A370" s="656"/>
      <c r="B370" s="657"/>
      <c r="C370" s="657"/>
      <c r="D370" s="658"/>
      <c r="E370" s="658"/>
      <c r="F370" s="479"/>
      <c r="G370" s="479"/>
      <c r="H370" s="677"/>
      <c r="I370" s="476"/>
      <c r="J370" s="479"/>
      <c r="K370" s="479"/>
      <c r="L370" s="526"/>
      <c r="M370" s="526"/>
      <c r="N370" s="533"/>
      <c r="O370" s="533"/>
      <c r="P370" s="534"/>
      <c r="Q370" s="534"/>
    </row>
    <row r="371" spans="1:17" s="480" customFormat="1" x14ac:dyDescent="0.25">
      <c r="A371" s="656"/>
      <c r="B371" s="657"/>
      <c r="C371" s="657"/>
      <c r="D371" s="658"/>
      <c r="E371" s="658"/>
      <c r="F371" s="479"/>
      <c r="G371" s="479"/>
      <c r="H371" s="677"/>
      <c r="I371" s="476"/>
      <c r="J371" s="479"/>
      <c r="K371" s="479"/>
      <c r="L371" s="526"/>
      <c r="M371" s="526"/>
      <c r="N371" s="533"/>
      <c r="O371" s="533"/>
      <c r="P371" s="535"/>
      <c r="Q371" s="534"/>
    </row>
    <row r="372" spans="1:17" s="480" customFormat="1" x14ac:dyDescent="0.25">
      <c r="A372" s="656"/>
      <c r="B372" s="657"/>
      <c r="C372" s="657"/>
      <c r="D372" s="658"/>
      <c r="E372" s="658"/>
      <c r="F372" s="479"/>
      <c r="G372" s="479"/>
      <c r="H372" s="677"/>
      <c r="I372" s="476"/>
      <c r="J372" s="479"/>
      <c r="K372" s="479"/>
      <c r="L372" s="526"/>
      <c r="M372" s="526"/>
      <c r="N372" s="533"/>
      <c r="O372" s="533"/>
      <c r="P372" s="534"/>
      <c r="Q372" s="534"/>
    </row>
    <row r="373" spans="1:17" s="480" customFormat="1" x14ac:dyDescent="0.25">
      <c r="A373" s="656"/>
      <c r="B373" s="657"/>
      <c r="C373" s="657"/>
      <c r="D373" s="658"/>
      <c r="E373" s="658"/>
      <c r="F373" s="479"/>
      <c r="G373" s="479"/>
      <c r="H373" s="677"/>
      <c r="I373" s="476"/>
      <c r="J373" s="479"/>
      <c r="K373" s="479"/>
      <c r="L373" s="526"/>
      <c r="M373" s="526"/>
      <c r="N373" s="533"/>
      <c r="O373" s="533"/>
      <c r="P373" s="534"/>
      <c r="Q373" s="534"/>
    </row>
    <row r="374" spans="1:17" s="480" customFormat="1" x14ac:dyDescent="0.25">
      <c r="A374" s="656"/>
      <c r="B374" s="657"/>
      <c r="C374" s="657"/>
      <c r="D374" s="658"/>
      <c r="E374" s="658"/>
      <c r="F374" s="479"/>
      <c r="G374" s="479"/>
      <c r="H374" s="677"/>
      <c r="I374" s="476"/>
      <c r="J374" s="479"/>
      <c r="K374" s="479"/>
      <c r="L374" s="526"/>
      <c r="M374" s="526"/>
      <c r="N374" s="533"/>
      <c r="O374" s="533"/>
      <c r="P374" s="534"/>
      <c r="Q374" s="534"/>
    </row>
    <row r="375" spans="1:17" s="480" customFormat="1" x14ac:dyDescent="0.25">
      <c r="A375" s="656"/>
      <c r="B375" s="657"/>
      <c r="C375" s="657"/>
      <c r="D375" s="658"/>
      <c r="E375" s="658"/>
      <c r="F375" s="479"/>
      <c r="G375" s="479"/>
      <c r="H375" s="677"/>
      <c r="I375" s="476"/>
      <c r="J375" s="479"/>
      <c r="K375" s="479"/>
      <c r="L375" s="526"/>
      <c r="M375" s="526"/>
      <c r="N375" s="533"/>
      <c r="O375" s="533"/>
      <c r="P375" s="534"/>
      <c r="Q375" s="534"/>
    </row>
    <row r="376" spans="1:17" s="480" customFormat="1" x14ac:dyDescent="0.25">
      <c r="A376" s="656"/>
      <c r="B376" s="657"/>
      <c r="C376" s="657"/>
      <c r="D376" s="658"/>
      <c r="E376" s="658"/>
      <c r="F376" s="479"/>
      <c r="G376" s="676"/>
      <c r="H376" s="677"/>
      <c r="I376" s="476"/>
      <c r="J376" s="479"/>
      <c r="K376" s="479"/>
      <c r="L376" s="526"/>
      <c r="M376" s="526"/>
      <c r="N376" s="533"/>
      <c r="O376" s="533"/>
      <c r="P376" s="534"/>
      <c r="Q376" s="534"/>
    </row>
    <row r="377" spans="1:17" s="480" customFormat="1" x14ac:dyDescent="0.25">
      <c r="A377" s="656"/>
      <c r="B377" s="657"/>
      <c r="C377" s="657"/>
      <c r="D377" s="658"/>
      <c r="E377" s="658"/>
      <c r="F377" s="479"/>
      <c r="G377" s="479"/>
      <c r="H377" s="677"/>
      <c r="I377" s="476"/>
      <c r="J377" s="479"/>
      <c r="K377" s="479"/>
      <c r="L377" s="527"/>
      <c r="M377" s="538"/>
      <c r="N377" s="539"/>
      <c r="O377" s="539"/>
      <c r="P377" s="534"/>
      <c r="Q377" s="534"/>
    </row>
    <row r="378" spans="1:17" s="480" customFormat="1" x14ac:dyDescent="0.25">
      <c r="A378" s="656"/>
      <c r="B378" s="657"/>
      <c r="C378" s="657"/>
      <c r="D378" s="658"/>
      <c r="E378" s="658"/>
      <c r="F378" s="479"/>
      <c r="G378" s="479"/>
      <c r="H378" s="677"/>
      <c r="I378" s="476"/>
      <c r="J378" s="479"/>
      <c r="K378" s="479"/>
      <c r="L378" s="526"/>
      <c r="M378" s="526"/>
      <c r="N378" s="533"/>
      <c r="O378" s="533"/>
      <c r="P378" s="534"/>
      <c r="Q378" s="534"/>
    </row>
    <row r="379" spans="1:17" s="480" customFormat="1" x14ac:dyDescent="0.25">
      <c r="A379" s="656"/>
      <c r="B379" s="657"/>
      <c r="C379" s="657"/>
      <c r="D379" s="658"/>
      <c r="E379" s="658"/>
      <c r="F379" s="479"/>
      <c r="G379" s="479"/>
      <c r="H379" s="677"/>
      <c r="I379" s="476"/>
      <c r="J379" s="479"/>
      <c r="K379" s="479"/>
      <c r="L379" s="526"/>
      <c r="M379" s="526"/>
      <c r="N379" s="533"/>
      <c r="O379" s="533"/>
      <c r="P379" s="535"/>
      <c r="Q379" s="534"/>
    </row>
    <row r="380" spans="1:17" s="480" customFormat="1" x14ac:dyDescent="0.25">
      <c r="A380" s="656"/>
      <c r="B380" s="657"/>
      <c r="C380" s="657"/>
      <c r="D380" s="658"/>
      <c r="E380" s="658"/>
      <c r="F380" s="479"/>
      <c r="G380" s="479"/>
      <c r="H380" s="677"/>
      <c r="I380" s="476"/>
      <c r="J380" s="479"/>
      <c r="K380" s="479"/>
      <c r="L380" s="526"/>
      <c r="M380" s="526"/>
      <c r="N380" s="533"/>
      <c r="O380" s="533"/>
      <c r="P380" s="528"/>
      <c r="Q380" s="534"/>
    </row>
    <row r="381" spans="1:17" s="480" customFormat="1" x14ac:dyDescent="0.25">
      <c r="A381" s="656"/>
      <c r="B381" s="657"/>
      <c r="C381" s="657"/>
      <c r="D381" s="658"/>
      <c r="E381" s="658"/>
      <c r="F381" s="479"/>
      <c r="G381" s="479"/>
      <c r="H381" s="677"/>
      <c r="I381" s="476"/>
      <c r="J381" s="479"/>
      <c r="K381" s="479"/>
      <c r="L381" s="526"/>
      <c r="M381" s="526"/>
      <c r="N381" s="533"/>
      <c r="O381" s="533"/>
      <c r="P381" s="528"/>
      <c r="Q381" s="534"/>
    </row>
    <row r="382" spans="1:17" s="480" customFormat="1" x14ac:dyDescent="0.25">
      <c r="A382" s="656"/>
      <c r="B382" s="657"/>
      <c r="C382" s="657"/>
      <c r="D382" s="658"/>
      <c r="E382" s="658"/>
      <c r="F382" s="479"/>
      <c r="G382" s="479"/>
      <c r="H382" s="677"/>
      <c r="I382" s="476"/>
      <c r="J382" s="479"/>
      <c r="K382" s="479"/>
      <c r="L382" s="526"/>
      <c r="M382" s="526"/>
      <c r="N382" s="533"/>
      <c r="O382" s="533"/>
      <c r="P382" s="528"/>
      <c r="Q382" s="534"/>
    </row>
    <row r="383" spans="1:17" s="480" customFormat="1" x14ac:dyDescent="0.25">
      <c r="A383" s="656"/>
      <c r="B383" s="657"/>
      <c r="C383" s="657"/>
      <c r="D383" s="658"/>
      <c r="E383" s="658"/>
      <c r="F383" s="479"/>
      <c r="G383" s="479"/>
      <c r="H383" s="677"/>
      <c r="I383" s="476"/>
      <c r="J383" s="479"/>
      <c r="K383" s="479"/>
      <c r="L383" s="526"/>
      <c r="M383" s="526"/>
      <c r="N383" s="533"/>
      <c r="O383" s="533"/>
      <c r="P383" s="528"/>
      <c r="Q383" s="534"/>
    </row>
    <row r="384" spans="1:17" s="480" customFormat="1" x14ac:dyDescent="0.25">
      <c r="A384" s="656"/>
      <c r="B384" s="657"/>
      <c r="C384" s="657"/>
      <c r="D384" s="658"/>
      <c r="E384" s="658"/>
      <c r="F384" s="479"/>
      <c r="G384" s="479"/>
      <c r="H384" s="677"/>
      <c r="I384" s="476"/>
      <c r="J384" s="479"/>
      <c r="K384" s="479"/>
      <c r="L384" s="526"/>
      <c r="M384" s="526"/>
      <c r="N384" s="533"/>
      <c r="O384" s="533"/>
      <c r="P384" s="535"/>
      <c r="Q384" s="534"/>
    </row>
    <row r="385" spans="1:17" s="480" customFormat="1" x14ac:dyDescent="0.25">
      <c r="A385" s="656"/>
      <c r="B385" s="657"/>
      <c r="C385" s="657"/>
      <c r="D385" s="658"/>
      <c r="E385" s="658"/>
      <c r="F385" s="479"/>
      <c r="G385" s="479"/>
      <c r="H385" s="677"/>
      <c r="I385" s="476"/>
      <c r="J385" s="479"/>
      <c r="K385" s="479"/>
      <c r="L385" s="526"/>
      <c r="M385" s="526"/>
      <c r="N385" s="533"/>
      <c r="O385" s="533"/>
      <c r="P385" s="535"/>
      <c r="Q385" s="534"/>
    </row>
    <row r="386" spans="1:17" s="480" customFormat="1" x14ac:dyDescent="0.25">
      <c r="A386" s="656"/>
      <c r="B386" s="657"/>
      <c r="C386" s="657"/>
      <c r="D386" s="658"/>
      <c r="E386" s="658"/>
      <c r="F386" s="479"/>
      <c r="G386" s="479"/>
      <c r="H386" s="677"/>
      <c r="I386" s="476"/>
      <c r="J386" s="479"/>
      <c r="K386" s="479"/>
      <c r="L386" s="526"/>
      <c r="M386" s="532"/>
      <c r="N386" s="533"/>
      <c r="O386" s="639"/>
      <c r="P386" s="528"/>
      <c r="Q386" s="534"/>
    </row>
    <row r="387" spans="1:17" s="480" customFormat="1" x14ac:dyDescent="0.25">
      <c r="A387" s="656"/>
      <c r="B387" s="657"/>
      <c r="C387" s="657"/>
      <c r="D387" s="658"/>
      <c r="E387" s="658"/>
      <c r="F387" s="479"/>
      <c r="G387" s="479"/>
      <c r="H387" s="677"/>
      <c r="I387" s="476"/>
      <c r="J387" s="479"/>
      <c r="K387" s="479"/>
      <c r="L387" s="526"/>
      <c r="M387" s="532"/>
      <c r="N387" s="533"/>
      <c r="O387" s="639"/>
      <c r="P387" s="528"/>
      <c r="Q387" s="534"/>
    </row>
    <row r="388" spans="1:17" s="480" customFormat="1" x14ac:dyDescent="0.25">
      <c r="A388" s="656"/>
      <c r="B388" s="657"/>
      <c r="C388" s="657"/>
      <c r="D388" s="658"/>
      <c r="E388" s="658"/>
      <c r="F388" s="479"/>
      <c r="G388" s="479"/>
      <c r="H388" s="677"/>
      <c r="I388" s="476"/>
      <c r="J388" s="479"/>
      <c r="K388" s="479"/>
      <c r="L388" s="526"/>
      <c r="M388" s="526"/>
      <c r="N388" s="533"/>
      <c r="O388" s="533"/>
      <c r="P388" s="534"/>
      <c r="Q388" s="534"/>
    </row>
    <row r="389" spans="1:17" s="480" customFormat="1" x14ac:dyDescent="0.25">
      <c r="A389" s="656"/>
      <c r="B389" s="657"/>
      <c r="C389" s="657"/>
      <c r="D389" s="658"/>
      <c r="E389" s="658"/>
      <c r="F389" s="479"/>
      <c r="G389" s="479"/>
      <c r="H389" s="677"/>
      <c r="I389" s="476"/>
      <c r="J389" s="479"/>
      <c r="K389" s="479"/>
      <c r="L389" s="526"/>
      <c r="M389" s="526"/>
      <c r="N389" s="533"/>
      <c r="O389" s="533"/>
      <c r="P389" s="535"/>
      <c r="Q389" s="534"/>
    </row>
    <row r="390" spans="1:17" s="480" customFormat="1" x14ac:dyDescent="0.25">
      <c r="A390" s="656"/>
      <c r="B390" s="657"/>
      <c r="C390" s="657"/>
      <c r="D390" s="658"/>
      <c r="E390" s="658"/>
      <c r="F390" s="479"/>
      <c r="G390" s="479"/>
      <c r="H390" s="677"/>
      <c r="I390" s="476"/>
      <c r="J390" s="479"/>
      <c r="K390" s="479"/>
      <c r="L390" s="526"/>
      <c r="M390" s="526"/>
      <c r="N390" s="533"/>
      <c r="O390" s="639"/>
      <c r="P390" s="535"/>
      <c r="Q390" s="534"/>
    </row>
    <row r="391" spans="1:17" s="480" customFormat="1" x14ac:dyDescent="0.25">
      <c r="A391" s="656"/>
      <c r="B391" s="657"/>
      <c r="C391" s="657"/>
      <c r="D391" s="658"/>
      <c r="E391" s="658"/>
      <c r="F391" s="479"/>
      <c r="G391" s="479"/>
      <c r="H391" s="677"/>
      <c r="I391" s="476"/>
      <c r="J391" s="479"/>
      <c r="K391" s="479"/>
      <c r="L391" s="526"/>
      <c r="M391" s="526"/>
      <c r="N391" s="533"/>
      <c r="O391" s="533"/>
      <c r="P391" s="535"/>
      <c r="Q391" s="534"/>
    </row>
    <row r="392" spans="1:17" s="480" customFormat="1" x14ac:dyDescent="0.25">
      <c r="A392" s="656"/>
      <c r="B392" s="657"/>
      <c r="C392" s="657"/>
      <c r="D392" s="658"/>
      <c r="E392" s="658"/>
      <c r="F392" s="479"/>
      <c r="G392" s="479"/>
      <c r="H392" s="677"/>
      <c r="I392" s="476"/>
      <c r="J392" s="479"/>
      <c r="K392" s="479"/>
      <c r="L392" s="526"/>
      <c r="M392" s="526"/>
      <c r="N392" s="533"/>
      <c r="O392" s="533"/>
      <c r="P392" s="534"/>
      <c r="Q392" s="534"/>
    </row>
    <row r="393" spans="1:17" s="480" customFormat="1" x14ac:dyDescent="0.25">
      <c r="A393" s="656"/>
      <c r="B393" s="657"/>
      <c r="C393" s="657"/>
      <c r="D393" s="658"/>
      <c r="E393" s="658"/>
      <c r="F393" s="479"/>
      <c r="G393" s="479"/>
      <c r="H393" s="677"/>
      <c r="I393" s="476"/>
      <c r="J393" s="479"/>
      <c r="K393" s="479"/>
      <c r="L393" s="526"/>
      <c r="M393" s="526"/>
      <c r="N393" s="533"/>
      <c r="O393" s="533"/>
      <c r="P393" s="535"/>
      <c r="Q393" s="534"/>
    </row>
    <row r="394" spans="1:17" s="480" customFormat="1" x14ac:dyDescent="0.25">
      <c r="A394" s="656"/>
      <c r="B394" s="657"/>
      <c r="C394" s="657"/>
      <c r="D394" s="658"/>
      <c r="E394" s="658"/>
      <c r="F394" s="479"/>
      <c r="G394" s="479"/>
      <c r="H394" s="677"/>
      <c r="I394" s="476"/>
      <c r="J394" s="479"/>
      <c r="K394" s="479"/>
      <c r="L394" s="526"/>
      <c r="M394" s="526"/>
      <c r="N394" s="533"/>
      <c r="O394" s="533"/>
      <c r="P394" s="534"/>
      <c r="Q394" s="534"/>
    </row>
    <row r="395" spans="1:17" s="480" customFormat="1" x14ac:dyDescent="0.25">
      <c r="A395" s="656"/>
      <c r="B395" s="657"/>
      <c r="C395" s="657"/>
      <c r="D395" s="658"/>
      <c r="E395" s="658"/>
      <c r="F395" s="479"/>
      <c r="G395" s="479"/>
      <c r="H395" s="677"/>
      <c r="I395" s="476"/>
      <c r="J395" s="479"/>
      <c r="K395" s="479"/>
      <c r="L395" s="526"/>
      <c r="M395" s="526"/>
      <c r="N395" s="533"/>
      <c r="O395" s="533"/>
      <c r="P395" s="534"/>
      <c r="Q395" s="534"/>
    </row>
    <row r="396" spans="1:17" s="480" customFormat="1" x14ac:dyDescent="0.25">
      <c r="A396" s="656"/>
      <c r="B396" s="657"/>
      <c r="C396" s="657"/>
      <c r="D396" s="658"/>
      <c r="E396" s="658"/>
      <c r="F396" s="479"/>
      <c r="G396" s="479"/>
      <c r="H396" s="677"/>
      <c r="I396" s="476"/>
      <c r="J396" s="479"/>
      <c r="K396" s="479"/>
      <c r="L396" s="526"/>
      <c r="M396" s="526"/>
      <c r="N396" s="533"/>
      <c r="O396" s="533"/>
      <c r="P396" s="535"/>
      <c r="Q396" s="534"/>
    </row>
    <row r="397" spans="1:17" s="480" customFormat="1" x14ac:dyDescent="0.25">
      <c r="A397" s="656"/>
      <c r="B397" s="657"/>
      <c r="C397" s="657"/>
      <c r="D397" s="658"/>
      <c r="E397" s="658"/>
      <c r="F397" s="479"/>
      <c r="G397" s="479"/>
      <c r="H397" s="677"/>
      <c r="I397" s="476"/>
      <c r="J397" s="479"/>
      <c r="K397" s="479"/>
      <c r="L397" s="526"/>
      <c r="M397" s="526"/>
      <c r="N397" s="533"/>
      <c r="O397" s="533"/>
      <c r="P397" s="534"/>
      <c r="Q397" s="534"/>
    </row>
    <row r="398" spans="1:17" s="480" customFormat="1" x14ac:dyDescent="0.25">
      <c r="A398" s="656"/>
      <c r="B398" s="657"/>
      <c r="C398" s="657"/>
      <c r="D398" s="658"/>
      <c r="E398" s="658"/>
      <c r="F398" s="479"/>
      <c r="G398" s="479"/>
      <c r="H398" s="677"/>
      <c r="I398" s="476"/>
      <c r="J398" s="479"/>
      <c r="K398" s="479"/>
      <c r="L398" s="526"/>
      <c r="M398" s="526"/>
      <c r="N398" s="533"/>
      <c r="O398" s="533"/>
      <c r="P398" s="535"/>
      <c r="Q398" s="534"/>
    </row>
    <row r="399" spans="1:17" s="480" customFormat="1" x14ac:dyDescent="0.25">
      <c r="A399" s="656"/>
      <c r="B399" s="657"/>
      <c r="C399" s="657"/>
      <c r="D399" s="658"/>
      <c r="E399" s="658"/>
      <c r="F399" s="479"/>
      <c r="G399" s="479"/>
      <c r="H399" s="677"/>
      <c r="I399" s="476"/>
      <c r="J399" s="479"/>
      <c r="K399" s="479"/>
      <c r="L399" s="526"/>
      <c r="M399" s="526"/>
      <c r="N399" s="533"/>
      <c r="O399" s="533"/>
      <c r="P399" s="534"/>
      <c r="Q399" s="534"/>
    </row>
    <row r="400" spans="1:17" s="480" customFormat="1" x14ac:dyDescent="0.25">
      <c r="A400" s="656"/>
      <c r="B400" s="657"/>
      <c r="C400" s="657"/>
      <c r="D400" s="658"/>
      <c r="E400" s="658"/>
      <c r="F400" s="479"/>
      <c r="G400" s="479"/>
      <c r="H400" s="677"/>
      <c r="I400" s="476"/>
      <c r="J400" s="479"/>
      <c r="K400" s="479"/>
      <c r="L400" s="526"/>
      <c r="M400" s="526"/>
      <c r="N400" s="533"/>
      <c r="O400" s="533"/>
      <c r="P400" s="535"/>
      <c r="Q400" s="534"/>
    </row>
    <row r="401" spans="1:17" s="480" customFormat="1" x14ac:dyDescent="0.25">
      <c r="A401" s="656"/>
      <c r="B401" s="657"/>
      <c r="C401" s="657"/>
      <c r="D401" s="658"/>
      <c r="E401" s="658"/>
      <c r="F401" s="479"/>
      <c r="G401" s="479"/>
      <c r="H401" s="677"/>
      <c r="I401" s="476"/>
      <c r="J401" s="479"/>
      <c r="K401" s="479"/>
      <c r="L401" s="526"/>
      <c r="M401" s="526"/>
      <c r="N401" s="533"/>
      <c r="O401" s="639"/>
      <c r="P401" s="535"/>
      <c r="Q401" s="534"/>
    </row>
    <row r="402" spans="1:17" s="480" customFormat="1" x14ac:dyDescent="0.25">
      <c r="A402" s="656"/>
      <c r="B402" s="657"/>
      <c r="C402" s="657"/>
      <c r="D402" s="658"/>
      <c r="E402" s="658"/>
      <c r="F402" s="479"/>
      <c r="G402" s="479"/>
      <c r="H402" s="677"/>
      <c r="I402" s="476"/>
      <c r="J402" s="479"/>
      <c r="K402" s="479"/>
      <c r="L402" s="526"/>
      <c r="M402" s="537"/>
      <c r="N402" s="533"/>
      <c r="O402" s="639"/>
      <c r="P402" s="534"/>
      <c r="Q402" s="534"/>
    </row>
    <row r="403" spans="1:17" s="480" customFormat="1" x14ac:dyDescent="0.25">
      <c r="A403" s="656"/>
      <c r="B403" s="657"/>
      <c r="C403" s="657"/>
      <c r="D403" s="658"/>
      <c r="E403" s="658"/>
      <c r="F403" s="479"/>
      <c r="G403" s="479"/>
      <c r="H403" s="677"/>
      <c r="I403" s="476"/>
      <c r="J403" s="479"/>
      <c r="K403" s="479"/>
      <c r="L403" s="526"/>
      <c r="M403" s="526"/>
      <c r="N403" s="533"/>
      <c r="O403" s="533"/>
      <c r="P403" s="535"/>
      <c r="Q403" s="534"/>
    </row>
    <row r="404" spans="1:17" s="480" customFormat="1" x14ac:dyDescent="0.25">
      <c r="A404" s="656"/>
      <c r="B404" s="657"/>
      <c r="C404" s="657"/>
      <c r="D404" s="658"/>
      <c r="E404" s="658"/>
      <c r="F404" s="479"/>
      <c r="G404" s="479"/>
      <c r="H404" s="677"/>
      <c r="I404" s="476"/>
      <c r="J404" s="479"/>
      <c r="K404" s="479"/>
      <c r="L404" s="526"/>
      <c r="M404" s="526"/>
      <c r="N404" s="533"/>
      <c r="O404" s="533"/>
      <c r="P404" s="535"/>
      <c r="Q404" s="534"/>
    </row>
    <row r="405" spans="1:17" s="480" customFormat="1" x14ac:dyDescent="0.25">
      <c r="A405" s="656"/>
      <c r="B405" s="657"/>
      <c r="C405" s="657"/>
      <c r="D405" s="658"/>
      <c r="E405" s="658"/>
      <c r="F405" s="479"/>
      <c r="G405" s="479"/>
      <c r="H405" s="677"/>
      <c r="I405" s="476"/>
      <c r="J405" s="479"/>
      <c r="K405" s="479"/>
      <c r="L405" s="526"/>
      <c r="M405" s="526"/>
      <c r="N405" s="533"/>
      <c r="O405" s="533"/>
      <c r="P405" s="534"/>
      <c r="Q405" s="534"/>
    </row>
    <row r="406" spans="1:17" s="480" customFormat="1" x14ac:dyDescent="0.25">
      <c r="A406" s="478"/>
      <c r="B406" s="649"/>
      <c r="C406" s="649"/>
      <c r="D406" s="650"/>
      <c r="E406" s="650"/>
      <c r="F406" s="479"/>
      <c r="G406" s="477"/>
      <c r="H406" s="677"/>
      <c r="I406" s="476"/>
      <c r="J406" s="479"/>
      <c r="K406" s="479"/>
      <c r="L406" s="526"/>
      <c r="M406" s="526"/>
      <c r="N406" s="533"/>
      <c r="O406" s="533"/>
      <c r="P406" s="535"/>
      <c r="Q406" s="534"/>
    </row>
    <row r="407" spans="1:17" s="480" customFormat="1" x14ac:dyDescent="0.25">
      <c r="A407" s="478"/>
      <c r="B407" s="649"/>
      <c r="C407" s="649"/>
      <c r="D407" s="650"/>
      <c r="E407" s="650"/>
      <c r="F407" s="479"/>
      <c r="G407" s="477"/>
      <c r="H407" s="677"/>
      <c r="I407" s="476"/>
      <c r="J407" s="479"/>
      <c r="K407" s="479"/>
      <c r="L407" s="526"/>
      <c r="M407" s="526"/>
      <c r="N407" s="533"/>
      <c r="O407" s="533"/>
      <c r="P407" s="535"/>
      <c r="Q407" s="534"/>
    </row>
    <row r="408" spans="1:17" s="480" customFormat="1" x14ac:dyDescent="0.25">
      <c r="A408" s="478"/>
      <c r="B408" s="653"/>
      <c r="C408" s="653"/>
      <c r="D408" s="654"/>
      <c r="E408" s="654"/>
      <c r="F408" s="479"/>
      <c r="G408" s="475"/>
      <c r="H408" s="677"/>
      <c r="I408" s="476"/>
      <c r="J408" s="479"/>
      <c r="K408" s="479"/>
      <c r="L408" s="526"/>
      <c r="M408" s="526"/>
      <c r="N408" s="533"/>
      <c r="O408" s="533"/>
      <c r="P408" s="534"/>
      <c r="Q408" s="534"/>
    </row>
    <row r="409" spans="1:17" s="480" customFormat="1" x14ac:dyDescent="0.25">
      <c r="A409" s="478"/>
      <c r="B409" s="649"/>
      <c r="C409" s="649"/>
      <c r="D409" s="650"/>
      <c r="E409" s="650"/>
      <c r="F409" s="479"/>
      <c r="G409" s="475"/>
      <c r="H409" s="677"/>
      <c r="I409" s="476"/>
      <c r="J409" s="479"/>
      <c r="K409" s="479"/>
      <c r="L409" s="526"/>
      <c r="M409" s="526"/>
      <c r="N409" s="533"/>
      <c r="O409" s="533"/>
      <c r="P409" s="534"/>
      <c r="Q409" s="534"/>
    </row>
    <row r="410" spans="1:17" s="480" customFormat="1" x14ac:dyDescent="0.25">
      <c r="A410" s="478"/>
      <c r="B410" s="649"/>
      <c r="C410" s="649"/>
      <c r="D410" s="650"/>
      <c r="E410" s="650"/>
      <c r="F410" s="479"/>
      <c r="G410" s="475"/>
      <c r="H410" s="678"/>
      <c r="I410" s="481"/>
      <c r="J410" s="479"/>
      <c r="K410" s="479"/>
      <c r="L410" s="526"/>
      <c r="M410" s="526"/>
      <c r="N410" s="533"/>
      <c r="O410" s="533"/>
      <c r="P410" s="535"/>
      <c r="Q410" s="534"/>
    </row>
    <row r="411" spans="1:17" s="480" customFormat="1" x14ac:dyDescent="0.25">
      <c r="A411" s="478"/>
      <c r="B411" s="649"/>
      <c r="C411" s="649"/>
      <c r="D411" s="650"/>
      <c r="E411" s="650"/>
      <c r="F411" s="479"/>
      <c r="G411" s="477"/>
      <c r="H411" s="677"/>
      <c r="I411" s="476"/>
      <c r="J411" s="479"/>
      <c r="K411" s="479"/>
      <c r="L411" s="526"/>
      <c r="M411" s="526"/>
      <c r="N411" s="533"/>
      <c r="O411" s="533"/>
      <c r="P411" s="534"/>
      <c r="Q411" s="534"/>
    </row>
    <row r="412" spans="1:17" s="480" customFormat="1" x14ac:dyDescent="0.25">
      <c r="A412" s="478"/>
      <c r="B412" s="649"/>
      <c r="C412" s="649"/>
      <c r="D412" s="650"/>
      <c r="E412" s="650"/>
      <c r="F412" s="479"/>
      <c r="G412" s="477"/>
      <c r="H412" s="677"/>
      <c r="I412" s="476"/>
      <c r="J412" s="479"/>
      <c r="K412" s="479"/>
      <c r="L412" s="531"/>
      <c r="M412" s="537"/>
      <c r="N412" s="533"/>
      <c r="O412" s="639"/>
      <c r="P412" s="535"/>
      <c r="Q412" s="534"/>
    </row>
    <row r="413" spans="1:17" s="480" customFormat="1" x14ac:dyDescent="0.25">
      <c r="A413" s="478"/>
      <c r="B413" s="649"/>
      <c r="C413" s="649"/>
      <c r="D413" s="650"/>
      <c r="E413" s="650"/>
      <c r="F413" s="479"/>
      <c r="G413" s="477"/>
      <c r="H413" s="677"/>
      <c r="I413" s="476"/>
      <c r="J413" s="479"/>
      <c r="K413" s="479"/>
      <c r="L413" s="526"/>
      <c r="M413" s="526"/>
      <c r="N413" s="533"/>
      <c r="O413" s="533"/>
      <c r="P413" s="534"/>
      <c r="Q413" s="534"/>
    </row>
    <row r="414" spans="1:17" s="480" customFormat="1" x14ac:dyDescent="0.25">
      <c r="A414" s="478"/>
      <c r="B414" s="649"/>
      <c r="C414" s="649"/>
      <c r="D414" s="650"/>
      <c r="E414" s="650"/>
      <c r="F414" s="479"/>
      <c r="G414" s="477"/>
      <c r="H414" s="677"/>
      <c r="I414" s="476"/>
      <c r="J414" s="479"/>
      <c r="K414" s="479"/>
      <c r="L414" s="526"/>
      <c r="M414" s="526"/>
      <c r="N414" s="533"/>
      <c r="O414" s="533"/>
      <c r="P414" s="535"/>
      <c r="Q414" s="534"/>
    </row>
    <row r="415" spans="1:17" s="480" customFormat="1" x14ac:dyDescent="0.25">
      <c r="A415" s="478"/>
      <c r="B415" s="649"/>
      <c r="C415" s="649"/>
      <c r="D415" s="650"/>
      <c r="E415" s="650"/>
      <c r="F415" s="479"/>
      <c r="G415" s="477"/>
      <c r="H415" s="677"/>
      <c r="I415" s="476"/>
      <c r="J415" s="479"/>
      <c r="K415" s="479"/>
      <c r="L415" s="526"/>
      <c r="M415" s="526"/>
      <c r="N415" s="533"/>
      <c r="O415" s="533"/>
      <c r="P415" s="534"/>
      <c r="Q415" s="534"/>
    </row>
    <row r="416" spans="1:17" s="480" customFormat="1" x14ac:dyDescent="0.25">
      <c r="A416" s="478"/>
      <c r="B416" s="649"/>
      <c r="C416" s="649"/>
      <c r="D416" s="650"/>
      <c r="E416" s="650"/>
      <c r="F416" s="479"/>
      <c r="G416" s="477"/>
      <c r="H416" s="677"/>
      <c r="I416" s="476"/>
      <c r="J416" s="479"/>
      <c r="K416" s="479"/>
      <c r="L416" s="526"/>
      <c r="M416" s="526"/>
      <c r="N416" s="533"/>
      <c r="O416" s="533"/>
      <c r="P416" s="534"/>
      <c r="Q416" s="534"/>
    </row>
    <row r="417" spans="1:17" s="480" customFormat="1" x14ac:dyDescent="0.25">
      <c r="A417" s="478"/>
      <c r="B417" s="649"/>
      <c r="C417" s="649"/>
      <c r="D417" s="650"/>
      <c r="E417" s="650"/>
      <c r="F417" s="479"/>
      <c r="G417" s="477"/>
      <c r="H417" s="677"/>
      <c r="I417" s="476"/>
      <c r="J417" s="479"/>
      <c r="K417" s="479"/>
      <c r="L417" s="526"/>
      <c r="M417" s="526"/>
      <c r="N417" s="533"/>
      <c r="O417" s="533"/>
      <c r="P417" s="535"/>
      <c r="Q417" s="534"/>
    </row>
    <row r="418" spans="1:17" s="480" customFormat="1" x14ac:dyDescent="0.25">
      <c r="A418" s="484"/>
      <c r="B418" s="649"/>
      <c r="C418" s="649"/>
      <c r="D418" s="650"/>
      <c r="E418" s="650"/>
      <c r="F418" s="479"/>
      <c r="G418" s="477"/>
      <c r="H418" s="677"/>
      <c r="I418" s="476"/>
      <c r="J418" s="479"/>
      <c r="K418" s="479"/>
      <c r="L418" s="526"/>
      <c r="M418" s="526"/>
      <c r="N418" s="533"/>
      <c r="O418" s="533"/>
      <c r="P418" s="534"/>
      <c r="Q418" s="534"/>
    </row>
    <row r="419" spans="1:17" s="480" customFormat="1" x14ac:dyDescent="0.25">
      <c r="A419" s="478"/>
      <c r="B419" s="649"/>
      <c r="C419" s="649"/>
      <c r="D419" s="650"/>
      <c r="E419" s="650"/>
      <c r="F419" s="479"/>
      <c r="G419" s="477"/>
      <c r="H419" s="677"/>
      <c r="I419" s="476"/>
      <c r="J419" s="479"/>
      <c r="K419" s="479"/>
      <c r="L419" s="526"/>
      <c r="M419" s="526"/>
      <c r="N419" s="533"/>
      <c r="O419" s="533"/>
      <c r="P419" s="535"/>
      <c r="Q419" s="534"/>
    </row>
    <row r="420" spans="1:17" s="480" customFormat="1" x14ac:dyDescent="0.25">
      <c r="A420" s="478"/>
      <c r="B420" s="649"/>
      <c r="C420" s="649"/>
      <c r="D420" s="650"/>
      <c r="E420" s="650"/>
      <c r="F420" s="479"/>
      <c r="G420" s="475"/>
      <c r="H420" s="677"/>
      <c r="I420" s="476"/>
      <c r="J420" s="479"/>
      <c r="K420" s="479"/>
      <c r="L420" s="526"/>
      <c r="M420" s="526"/>
      <c r="N420" s="533"/>
      <c r="O420" s="533"/>
      <c r="P420" s="535"/>
      <c r="Q420" s="534"/>
    </row>
    <row r="421" spans="1:17" s="480" customFormat="1" x14ac:dyDescent="0.25">
      <c r="A421" s="478"/>
      <c r="B421" s="649"/>
      <c r="C421" s="649"/>
      <c r="D421" s="650"/>
      <c r="E421" s="650"/>
      <c r="F421" s="479"/>
      <c r="G421" s="475"/>
      <c r="H421" s="677"/>
      <c r="I421" s="476"/>
      <c r="J421" s="479"/>
      <c r="K421" s="479"/>
      <c r="L421" s="526"/>
      <c r="M421" s="526"/>
      <c r="N421" s="533"/>
      <c r="O421" s="533"/>
      <c r="P421" s="528"/>
      <c r="Q421" s="534"/>
    </row>
    <row r="422" spans="1:17" s="480" customFormat="1" x14ac:dyDescent="0.25">
      <c r="A422" s="478"/>
      <c r="B422" s="649"/>
      <c r="C422" s="649"/>
      <c r="D422" s="650"/>
      <c r="E422" s="650"/>
      <c r="F422" s="479"/>
      <c r="G422" s="475"/>
      <c r="H422" s="678"/>
      <c r="I422" s="481"/>
      <c r="J422" s="479"/>
      <c r="K422" s="479"/>
      <c r="L422" s="526"/>
      <c r="M422" s="526"/>
      <c r="N422" s="533"/>
      <c r="O422" s="533"/>
      <c r="P422" s="534"/>
      <c r="Q422" s="534"/>
    </row>
    <row r="423" spans="1:17" s="480" customFormat="1" x14ac:dyDescent="0.25">
      <c r="A423" s="478"/>
      <c r="B423" s="649"/>
      <c r="C423" s="649"/>
      <c r="D423" s="650"/>
      <c r="E423" s="650"/>
      <c r="F423" s="479"/>
      <c r="G423" s="475"/>
      <c r="H423" s="678"/>
      <c r="I423" s="481"/>
      <c r="J423" s="479"/>
      <c r="K423" s="479"/>
      <c r="L423" s="526"/>
      <c r="M423" s="526"/>
      <c r="N423" s="533"/>
      <c r="O423" s="533"/>
      <c r="P423" s="535"/>
      <c r="Q423" s="534"/>
    </row>
    <row r="424" spans="1:17" s="480" customFormat="1" x14ac:dyDescent="0.25">
      <c r="A424" s="478"/>
      <c r="B424" s="649"/>
      <c r="C424" s="649"/>
      <c r="D424" s="650"/>
      <c r="E424" s="650"/>
      <c r="F424" s="479"/>
      <c r="G424" s="475"/>
      <c r="H424" s="678"/>
      <c r="I424" s="481"/>
      <c r="J424" s="479"/>
      <c r="K424" s="479"/>
      <c r="L424" s="526"/>
      <c r="M424" s="526"/>
      <c r="N424" s="533"/>
      <c r="O424" s="533"/>
      <c r="P424" s="534"/>
      <c r="Q424" s="534"/>
    </row>
    <row r="425" spans="1:17" s="480" customFormat="1" x14ac:dyDescent="0.25">
      <c r="A425" s="478"/>
      <c r="B425" s="649"/>
      <c r="C425" s="649"/>
      <c r="D425" s="650"/>
      <c r="E425" s="650"/>
      <c r="F425" s="479"/>
      <c r="G425" s="475"/>
      <c r="H425" s="677"/>
      <c r="I425" s="476"/>
      <c r="J425" s="479"/>
      <c r="K425" s="479"/>
      <c r="L425" s="526"/>
      <c r="M425" s="526"/>
      <c r="N425" s="533"/>
      <c r="O425" s="533"/>
      <c r="P425" s="528"/>
      <c r="Q425" s="534"/>
    </row>
    <row r="426" spans="1:17" s="480" customFormat="1" x14ac:dyDescent="0.25">
      <c r="A426" s="478"/>
      <c r="B426" s="649"/>
      <c r="C426" s="649"/>
      <c r="D426" s="650"/>
      <c r="E426" s="650"/>
      <c r="F426" s="479"/>
      <c r="G426" s="475"/>
      <c r="H426" s="677"/>
      <c r="I426" s="476"/>
      <c r="J426" s="479"/>
      <c r="K426" s="479"/>
      <c r="L426" s="526"/>
      <c r="M426" s="526"/>
      <c r="N426" s="533"/>
      <c r="O426" s="533"/>
      <c r="P426" s="535"/>
      <c r="Q426" s="534"/>
    </row>
    <row r="427" spans="1:17" s="480" customFormat="1" x14ac:dyDescent="0.25">
      <c r="A427" s="478"/>
      <c r="B427" s="649"/>
      <c r="C427" s="649"/>
      <c r="D427" s="650"/>
      <c r="E427" s="650"/>
      <c r="F427" s="479"/>
      <c r="G427" s="475"/>
      <c r="H427" s="677"/>
      <c r="I427" s="476"/>
      <c r="J427" s="479"/>
      <c r="K427" s="479"/>
      <c r="L427" s="529"/>
      <c r="M427" s="532"/>
      <c r="N427" s="533"/>
      <c r="O427" s="639"/>
      <c r="P427" s="535"/>
      <c r="Q427" s="534"/>
    </row>
    <row r="428" spans="1:17" s="480" customFormat="1" x14ac:dyDescent="0.25">
      <c r="A428" s="478"/>
      <c r="B428" s="649"/>
      <c r="C428" s="649"/>
      <c r="D428" s="650"/>
      <c r="E428" s="650"/>
      <c r="F428" s="479"/>
      <c r="G428" s="475"/>
      <c r="H428" s="677"/>
      <c r="I428" s="476"/>
      <c r="J428" s="479"/>
      <c r="K428" s="479"/>
      <c r="L428" s="529"/>
      <c r="M428" s="532"/>
      <c r="N428" s="533"/>
      <c r="O428" s="639"/>
      <c r="P428" s="535"/>
      <c r="Q428" s="534"/>
    </row>
    <row r="429" spans="1:17" s="480" customFormat="1" x14ac:dyDescent="0.25">
      <c r="A429" s="478"/>
      <c r="B429" s="649"/>
      <c r="C429" s="649"/>
      <c r="D429" s="650"/>
      <c r="E429" s="650"/>
      <c r="F429" s="479"/>
      <c r="G429" s="475"/>
      <c r="H429" s="677"/>
      <c r="I429" s="476"/>
      <c r="J429" s="479"/>
      <c r="K429" s="479"/>
      <c r="L429" s="526"/>
      <c r="M429" s="526"/>
      <c r="N429" s="533"/>
      <c r="O429" s="533"/>
      <c r="P429" s="535"/>
      <c r="Q429" s="534"/>
    </row>
    <row r="430" spans="1:17" s="480" customFormat="1" x14ac:dyDescent="0.25">
      <c r="A430" s="478"/>
      <c r="B430" s="649"/>
      <c r="C430" s="649"/>
      <c r="D430" s="650"/>
      <c r="E430" s="650"/>
      <c r="F430" s="479"/>
      <c r="G430" s="477"/>
      <c r="H430" s="677"/>
      <c r="I430" s="476"/>
      <c r="J430" s="479"/>
      <c r="K430" s="479"/>
      <c r="L430" s="526"/>
      <c r="M430" s="526"/>
      <c r="N430" s="533"/>
      <c r="O430" s="639"/>
      <c r="P430" s="534"/>
      <c r="Q430" s="534"/>
    </row>
    <row r="431" spans="1:17" s="480" customFormat="1" x14ac:dyDescent="0.25">
      <c r="A431" s="478"/>
      <c r="B431" s="649"/>
      <c r="C431" s="649"/>
      <c r="D431" s="650"/>
      <c r="E431" s="650"/>
      <c r="F431" s="479"/>
      <c r="G431" s="477"/>
      <c r="H431" s="677"/>
      <c r="I431" s="476"/>
      <c r="J431" s="479"/>
      <c r="K431" s="479"/>
      <c r="L431" s="526"/>
      <c r="M431" s="526"/>
      <c r="N431" s="533"/>
      <c r="O431" s="533"/>
      <c r="P431" s="534"/>
      <c r="Q431" s="534"/>
    </row>
    <row r="432" spans="1:17" s="480" customFormat="1" x14ac:dyDescent="0.25">
      <c r="A432" s="478"/>
      <c r="B432" s="649"/>
      <c r="C432" s="649"/>
      <c r="D432" s="650"/>
      <c r="E432" s="650"/>
      <c r="F432" s="479"/>
      <c r="G432" s="475"/>
      <c r="H432" s="677"/>
      <c r="I432" s="476"/>
      <c r="J432" s="479"/>
      <c r="K432" s="479"/>
      <c r="L432" s="526"/>
      <c r="M432" s="526"/>
      <c r="N432" s="533"/>
      <c r="O432" s="533"/>
      <c r="P432" s="534"/>
      <c r="Q432" s="534"/>
    </row>
    <row r="433" spans="1:17" s="480" customFormat="1" x14ac:dyDescent="0.25">
      <c r="A433" s="478"/>
      <c r="B433" s="649"/>
      <c r="C433" s="649"/>
      <c r="D433" s="650"/>
      <c r="E433" s="650"/>
      <c r="F433" s="479"/>
      <c r="G433" s="475"/>
      <c r="H433" s="677"/>
      <c r="I433" s="476"/>
      <c r="J433" s="479"/>
      <c r="K433" s="479"/>
      <c r="L433" s="526"/>
      <c r="M433" s="526"/>
      <c r="N433" s="533"/>
      <c r="O433" s="533"/>
      <c r="P433" s="535"/>
      <c r="Q433" s="534"/>
    </row>
    <row r="434" spans="1:17" s="480" customFormat="1" x14ac:dyDescent="0.25">
      <c r="A434" s="478"/>
      <c r="B434" s="649"/>
      <c r="C434" s="649"/>
      <c r="D434" s="650"/>
      <c r="E434" s="650"/>
      <c r="F434" s="479"/>
      <c r="G434" s="475"/>
      <c r="H434" s="678"/>
      <c r="I434" s="481"/>
      <c r="J434" s="479"/>
      <c r="K434" s="479"/>
      <c r="L434" s="526"/>
      <c r="M434" s="526"/>
      <c r="N434" s="533"/>
      <c r="O434" s="533"/>
      <c r="P434" s="534"/>
      <c r="Q434" s="534"/>
    </row>
    <row r="435" spans="1:17" s="480" customFormat="1" x14ac:dyDescent="0.25">
      <c r="A435" s="478"/>
      <c r="B435" s="649"/>
      <c r="C435" s="649"/>
      <c r="D435" s="650"/>
      <c r="E435" s="650"/>
      <c r="F435" s="479"/>
      <c r="G435" s="475"/>
      <c r="H435" s="678"/>
      <c r="I435" s="481"/>
      <c r="J435" s="479"/>
      <c r="K435" s="479"/>
      <c r="L435" s="526"/>
      <c r="M435" s="526"/>
      <c r="N435" s="533"/>
      <c r="O435" s="533"/>
      <c r="P435" s="534"/>
      <c r="Q435" s="534"/>
    </row>
    <row r="436" spans="1:17" s="480" customFormat="1" x14ac:dyDescent="0.25">
      <c r="A436" s="478"/>
      <c r="B436" s="649"/>
      <c r="C436" s="649"/>
      <c r="D436" s="650"/>
      <c r="E436" s="650"/>
      <c r="F436" s="479"/>
      <c r="G436" s="475"/>
      <c r="H436" s="678"/>
      <c r="I436" s="481"/>
      <c r="J436" s="479"/>
      <c r="K436" s="479"/>
      <c r="L436" s="526"/>
      <c r="M436" s="526"/>
      <c r="N436" s="533"/>
      <c r="O436" s="533"/>
      <c r="P436" s="534"/>
      <c r="Q436" s="534"/>
    </row>
    <row r="437" spans="1:17" s="480" customFormat="1" x14ac:dyDescent="0.25">
      <c r="A437" s="478"/>
      <c r="B437" s="649"/>
      <c r="C437" s="649"/>
      <c r="D437" s="650"/>
      <c r="E437" s="650"/>
      <c r="F437" s="479"/>
      <c r="G437" s="475"/>
      <c r="H437" s="678"/>
      <c r="I437" s="481"/>
      <c r="J437" s="479"/>
      <c r="K437" s="479"/>
      <c r="L437" s="526"/>
      <c r="M437" s="526"/>
      <c r="N437" s="533"/>
      <c r="O437" s="533"/>
      <c r="P437" s="534"/>
      <c r="Q437" s="534"/>
    </row>
    <row r="438" spans="1:17" s="480" customFormat="1" x14ac:dyDescent="0.25">
      <c r="A438" s="478"/>
      <c r="B438" s="649"/>
      <c r="C438" s="649"/>
      <c r="D438" s="650"/>
      <c r="E438" s="650"/>
      <c r="F438" s="479"/>
      <c r="G438" s="477"/>
      <c r="H438" s="677"/>
      <c r="I438" s="476"/>
      <c r="J438" s="479"/>
      <c r="K438" s="479"/>
      <c r="L438" s="526"/>
      <c r="M438" s="526"/>
      <c r="N438" s="533"/>
      <c r="O438" s="533"/>
      <c r="P438" s="534"/>
      <c r="Q438" s="534"/>
    </row>
    <row r="439" spans="1:17" s="480" customFormat="1" x14ac:dyDescent="0.25">
      <c r="A439" s="478"/>
      <c r="B439" s="649"/>
      <c r="C439" s="649"/>
      <c r="D439" s="650"/>
      <c r="E439" s="650"/>
      <c r="F439" s="479"/>
      <c r="G439" s="477"/>
      <c r="H439" s="677"/>
      <c r="I439" s="476"/>
      <c r="J439" s="479"/>
      <c r="K439" s="479"/>
      <c r="L439" s="526"/>
      <c r="M439" s="526"/>
      <c r="N439" s="533"/>
      <c r="O439" s="639"/>
      <c r="P439" s="528"/>
      <c r="Q439" s="534"/>
    </row>
    <row r="440" spans="1:17" s="480" customFormat="1" x14ac:dyDescent="0.25">
      <c r="A440" s="478"/>
      <c r="B440" s="649"/>
      <c r="C440" s="649"/>
      <c r="D440" s="650"/>
      <c r="E440" s="650"/>
      <c r="F440" s="479"/>
      <c r="G440" s="477"/>
      <c r="H440" s="677"/>
      <c r="I440" s="476"/>
      <c r="J440" s="479"/>
      <c r="K440" s="479"/>
      <c r="L440" s="526"/>
      <c r="M440" s="526"/>
      <c r="N440" s="533"/>
      <c r="O440" s="533"/>
      <c r="P440" s="534"/>
      <c r="Q440" s="534"/>
    </row>
    <row r="441" spans="1:17" s="480" customFormat="1" x14ac:dyDescent="0.25">
      <c r="A441" s="478"/>
      <c r="B441" s="649"/>
      <c r="C441" s="649"/>
      <c r="D441" s="650"/>
      <c r="E441" s="650"/>
      <c r="F441" s="479"/>
      <c r="G441" s="477"/>
      <c r="H441" s="677"/>
      <c r="I441" s="476"/>
      <c r="J441" s="479"/>
      <c r="K441" s="479"/>
      <c r="L441" s="526"/>
      <c r="M441" s="526"/>
      <c r="N441" s="533"/>
      <c r="O441" s="533"/>
      <c r="P441" s="534"/>
      <c r="Q441" s="534"/>
    </row>
    <row r="442" spans="1:17" s="480" customFormat="1" x14ac:dyDescent="0.25">
      <c r="A442" s="478"/>
      <c r="B442" s="649"/>
      <c r="C442" s="649"/>
      <c r="D442" s="650"/>
      <c r="E442" s="650"/>
      <c r="F442" s="479"/>
      <c r="G442" s="475"/>
      <c r="H442" s="678"/>
      <c r="I442" s="481"/>
      <c r="J442" s="479"/>
      <c r="K442" s="479"/>
      <c r="L442" s="526"/>
      <c r="M442" s="526"/>
      <c r="N442" s="533"/>
      <c r="O442" s="533"/>
      <c r="P442" s="534"/>
      <c r="Q442" s="534"/>
    </row>
    <row r="443" spans="1:17" s="480" customFormat="1" x14ac:dyDescent="0.25">
      <c r="A443" s="478"/>
      <c r="B443" s="649"/>
      <c r="C443" s="649"/>
      <c r="D443" s="650"/>
      <c r="E443" s="650"/>
      <c r="F443" s="479"/>
      <c r="G443" s="475"/>
      <c r="H443" s="677"/>
      <c r="I443" s="476"/>
      <c r="J443" s="479"/>
      <c r="K443" s="479"/>
      <c r="L443" s="530"/>
      <c r="M443" s="536"/>
      <c r="N443" s="533"/>
      <c r="O443" s="639"/>
      <c r="P443" s="534"/>
      <c r="Q443" s="534"/>
    </row>
    <row r="444" spans="1:17" s="480" customFormat="1" x14ac:dyDescent="0.25">
      <c r="A444" s="478"/>
      <c r="B444" s="649"/>
      <c r="C444" s="649"/>
      <c r="D444" s="650"/>
      <c r="E444" s="650"/>
      <c r="F444" s="479"/>
      <c r="G444" s="475"/>
      <c r="H444" s="677"/>
      <c r="I444" s="476"/>
      <c r="J444" s="479"/>
      <c r="K444" s="479"/>
      <c r="L444" s="530"/>
      <c r="M444" s="536"/>
      <c r="N444" s="533"/>
      <c r="O444" s="639"/>
      <c r="P444" s="534"/>
      <c r="Q444" s="534"/>
    </row>
    <row r="445" spans="1:17" s="480" customFormat="1" x14ac:dyDescent="0.25">
      <c r="A445" s="478"/>
      <c r="B445" s="649"/>
      <c r="C445" s="649"/>
      <c r="D445" s="650"/>
      <c r="E445" s="650"/>
      <c r="F445" s="479"/>
      <c r="G445" s="475"/>
      <c r="H445" s="678"/>
      <c r="I445" s="481"/>
      <c r="J445" s="479"/>
      <c r="K445" s="479"/>
      <c r="L445" s="526"/>
      <c r="M445" s="526"/>
      <c r="N445" s="533"/>
      <c r="O445" s="533"/>
      <c r="P445" s="534"/>
      <c r="Q445" s="534"/>
    </row>
    <row r="446" spans="1:17" s="480" customFormat="1" x14ac:dyDescent="0.25">
      <c r="A446" s="478"/>
      <c r="B446" s="649"/>
      <c r="C446" s="649"/>
      <c r="D446" s="650"/>
      <c r="E446" s="650"/>
      <c r="F446" s="479"/>
      <c r="G446" s="475"/>
      <c r="H446" s="677"/>
      <c r="I446" s="476"/>
      <c r="J446" s="479"/>
      <c r="K446" s="479"/>
      <c r="L446" s="526"/>
      <c r="M446" s="526"/>
      <c r="N446" s="533"/>
      <c r="O446" s="533"/>
      <c r="P446" s="534"/>
      <c r="Q446" s="534"/>
    </row>
    <row r="447" spans="1:17" s="480" customFormat="1" x14ac:dyDescent="0.25">
      <c r="A447" s="478"/>
      <c r="B447" s="649"/>
      <c r="C447" s="649"/>
      <c r="D447" s="650"/>
      <c r="E447" s="650"/>
      <c r="F447" s="479"/>
      <c r="G447" s="475"/>
      <c r="H447" s="678"/>
      <c r="I447" s="481"/>
      <c r="J447" s="479"/>
      <c r="K447" s="479"/>
      <c r="L447" s="526"/>
      <c r="M447" s="526"/>
      <c r="N447" s="533"/>
      <c r="O447" s="533"/>
      <c r="P447" s="535"/>
      <c r="Q447" s="534"/>
    </row>
    <row r="448" spans="1:17" s="480" customFormat="1" x14ac:dyDescent="0.25">
      <c r="A448" s="478"/>
      <c r="B448" s="649"/>
      <c r="C448" s="649"/>
      <c r="D448" s="650"/>
      <c r="E448" s="650"/>
      <c r="F448" s="479"/>
      <c r="G448" s="475"/>
      <c r="H448" s="677"/>
      <c r="I448" s="476"/>
      <c r="J448" s="479"/>
      <c r="K448" s="479"/>
      <c r="L448" s="526"/>
      <c r="M448" s="526"/>
      <c r="N448" s="533"/>
      <c r="O448" s="533"/>
      <c r="P448" s="534"/>
      <c r="Q448" s="534"/>
    </row>
    <row r="449" spans="1:17" s="480" customFormat="1" x14ac:dyDescent="0.25">
      <c r="A449" s="478"/>
      <c r="B449" s="649"/>
      <c r="C449" s="649"/>
      <c r="D449" s="650"/>
      <c r="E449" s="650"/>
      <c r="F449" s="479"/>
      <c r="G449" s="475"/>
      <c r="H449" s="677"/>
      <c r="I449" s="476"/>
      <c r="J449" s="479"/>
      <c r="K449" s="479"/>
      <c r="L449" s="531"/>
      <c r="M449" s="537"/>
      <c r="N449" s="533"/>
      <c r="O449" s="639"/>
      <c r="P449" s="528"/>
      <c r="Q449" s="534"/>
    </row>
    <row r="450" spans="1:17" s="480" customFormat="1" x14ac:dyDescent="0.25">
      <c r="A450" s="478"/>
      <c r="B450" s="649"/>
      <c r="C450" s="649"/>
      <c r="D450" s="650"/>
      <c r="E450" s="650"/>
      <c r="F450" s="479"/>
      <c r="G450" s="475"/>
      <c r="H450" s="677"/>
      <c r="I450" s="476"/>
      <c r="J450" s="479"/>
      <c r="K450" s="479"/>
      <c r="L450" s="526"/>
      <c r="M450" s="526"/>
      <c r="N450" s="533"/>
      <c r="O450" s="533"/>
      <c r="P450" s="534"/>
      <c r="Q450" s="534"/>
    </row>
    <row r="451" spans="1:17" s="480" customFormat="1" x14ac:dyDescent="0.25">
      <c r="A451" s="478"/>
      <c r="B451" s="649"/>
      <c r="C451" s="649"/>
      <c r="D451" s="650"/>
      <c r="E451" s="650"/>
      <c r="F451" s="479"/>
      <c r="G451" s="475"/>
      <c r="H451" s="677"/>
      <c r="I451" s="476"/>
      <c r="J451" s="479"/>
      <c r="K451" s="479"/>
      <c r="L451" s="526"/>
      <c r="M451" s="526"/>
      <c r="N451" s="533"/>
      <c r="O451" s="533"/>
      <c r="P451" s="534"/>
      <c r="Q451" s="534"/>
    </row>
    <row r="452" spans="1:17" s="480" customFormat="1" x14ac:dyDescent="0.25">
      <c r="A452" s="478"/>
      <c r="B452" s="649"/>
      <c r="C452" s="649"/>
      <c r="D452" s="650"/>
      <c r="E452" s="650"/>
      <c r="F452" s="479"/>
      <c r="G452" s="475"/>
      <c r="H452" s="677"/>
      <c r="I452" s="476"/>
      <c r="J452" s="479"/>
      <c r="K452" s="479"/>
      <c r="L452" s="526"/>
      <c r="M452" s="526"/>
      <c r="N452" s="533"/>
      <c r="O452" s="533"/>
      <c r="P452" s="534"/>
      <c r="Q452" s="534"/>
    </row>
    <row r="453" spans="1:17" s="480" customFormat="1" x14ac:dyDescent="0.25">
      <c r="A453" s="478"/>
      <c r="B453" s="649"/>
      <c r="C453" s="649"/>
      <c r="D453" s="650"/>
      <c r="E453" s="650"/>
      <c r="F453" s="479"/>
      <c r="G453" s="475"/>
      <c r="H453" s="677"/>
      <c r="I453" s="476"/>
      <c r="J453" s="479"/>
      <c r="K453" s="479"/>
      <c r="L453" s="526"/>
      <c r="M453" s="526"/>
      <c r="N453" s="533"/>
      <c r="O453" s="533"/>
      <c r="P453" s="534"/>
      <c r="Q453" s="534"/>
    </row>
    <row r="454" spans="1:17" s="480" customFormat="1" x14ac:dyDescent="0.25">
      <c r="A454" s="478"/>
      <c r="B454" s="649"/>
      <c r="C454" s="649"/>
      <c r="D454" s="650"/>
      <c r="E454" s="650"/>
      <c r="F454" s="479"/>
      <c r="G454" s="475"/>
      <c r="H454" s="677"/>
      <c r="I454" s="476"/>
      <c r="J454" s="479"/>
      <c r="K454" s="479"/>
      <c r="L454" s="526"/>
      <c r="M454" s="526"/>
      <c r="N454" s="533"/>
      <c r="O454" s="639"/>
      <c r="P454" s="528"/>
      <c r="Q454" s="534"/>
    </row>
    <row r="455" spans="1:17" s="480" customFormat="1" x14ac:dyDescent="0.25">
      <c r="A455" s="478"/>
      <c r="B455" s="649"/>
      <c r="C455" s="649"/>
      <c r="D455" s="650"/>
      <c r="E455" s="650"/>
      <c r="F455" s="479"/>
      <c r="G455" s="475"/>
      <c r="H455" s="677"/>
      <c r="I455" s="476"/>
      <c r="J455" s="479"/>
      <c r="K455" s="479"/>
      <c r="L455" s="526"/>
      <c r="M455" s="526"/>
      <c r="N455" s="533"/>
      <c r="O455" s="533"/>
      <c r="P455" s="534"/>
      <c r="Q455" s="534"/>
    </row>
    <row r="456" spans="1:17" s="480" customFormat="1" x14ac:dyDescent="0.25">
      <c r="A456" s="478"/>
      <c r="B456" s="649"/>
      <c r="C456" s="649"/>
      <c r="D456" s="650"/>
      <c r="E456" s="650"/>
      <c r="F456" s="479"/>
      <c r="G456" s="475"/>
      <c r="H456" s="677"/>
      <c r="I456" s="476"/>
      <c r="J456" s="479"/>
      <c r="K456" s="479"/>
      <c r="L456" s="526"/>
      <c r="M456" s="526"/>
      <c r="N456" s="533"/>
      <c r="O456" s="533"/>
      <c r="P456" s="535"/>
      <c r="Q456" s="534"/>
    </row>
    <row r="457" spans="1:17" s="480" customFormat="1" x14ac:dyDescent="0.25">
      <c r="A457" s="478"/>
      <c r="B457" s="649"/>
      <c r="C457" s="649"/>
      <c r="D457" s="650"/>
      <c r="E457" s="650"/>
      <c r="F457" s="479"/>
      <c r="G457" s="475"/>
      <c r="H457" s="677"/>
      <c r="I457" s="476"/>
      <c r="J457" s="479"/>
      <c r="K457" s="479"/>
      <c r="L457" s="531"/>
      <c r="M457" s="537"/>
      <c r="N457" s="533"/>
      <c r="O457" s="639"/>
      <c r="P457" s="534"/>
      <c r="Q457" s="534"/>
    </row>
    <row r="458" spans="1:17" s="480" customFormat="1" x14ac:dyDescent="0.25">
      <c r="A458" s="478"/>
      <c r="B458" s="649"/>
      <c r="C458" s="649"/>
      <c r="D458" s="650"/>
      <c r="E458" s="650"/>
      <c r="F458" s="479"/>
      <c r="G458" s="475"/>
      <c r="H458" s="677"/>
      <c r="I458" s="476"/>
      <c r="J458" s="479"/>
      <c r="K458" s="479"/>
      <c r="L458" s="526"/>
      <c r="M458" s="526"/>
      <c r="N458" s="533"/>
      <c r="O458" s="533"/>
      <c r="P458" s="534"/>
      <c r="Q458" s="534"/>
    </row>
    <row r="459" spans="1:17" s="480" customFormat="1" x14ac:dyDescent="0.25">
      <c r="A459" s="478"/>
      <c r="B459" s="649"/>
      <c r="C459" s="649"/>
      <c r="D459" s="650"/>
      <c r="E459" s="650"/>
      <c r="F459" s="479"/>
      <c r="G459" s="477"/>
      <c r="H459" s="677"/>
      <c r="I459" s="476"/>
      <c r="J459" s="479"/>
      <c r="K459" s="479"/>
      <c r="L459" s="526"/>
      <c r="M459" s="537"/>
      <c r="N459" s="533"/>
      <c r="O459" s="639"/>
      <c r="P459" s="534"/>
      <c r="Q459" s="534"/>
    </row>
    <row r="460" spans="1:17" s="480" customFormat="1" x14ac:dyDescent="0.25">
      <c r="A460" s="478"/>
      <c r="B460" s="649"/>
      <c r="C460" s="649"/>
      <c r="D460" s="650"/>
      <c r="E460" s="650"/>
      <c r="F460" s="479"/>
      <c r="G460" s="477"/>
      <c r="H460" s="677"/>
      <c r="I460" s="476"/>
      <c r="J460" s="479"/>
      <c r="K460" s="479"/>
      <c r="L460" s="526"/>
      <c r="M460" s="526"/>
      <c r="N460" s="533"/>
      <c r="O460" s="533"/>
      <c r="P460" s="534"/>
      <c r="Q460" s="534"/>
    </row>
    <row r="461" spans="1:17" s="480" customFormat="1" x14ac:dyDescent="0.25">
      <c r="A461" s="478"/>
      <c r="B461" s="649"/>
      <c r="C461" s="649"/>
      <c r="D461" s="650"/>
      <c r="E461" s="650"/>
      <c r="F461" s="479"/>
      <c r="G461" s="477"/>
      <c r="H461" s="677"/>
      <c r="I461" s="476"/>
      <c r="J461" s="479"/>
      <c r="K461" s="479"/>
      <c r="L461" s="526"/>
      <c r="M461" s="526"/>
      <c r="N461" s="533"/>
      <c r="O461" s="639"/>
      <c r="P461" s="528"/>
      <c r="Q461" s="534"/>
    </row>
    <row r="462" spans="1:17" s="480" customFormat="1" x14ac:dyDescent="0.25">
      <c r="A462" s="478"/>
      <c r="B462" s="649"/>
      <c r="C462" s="649"/>
      <c r="D462" s="650"/>
      <c r="E462" s="650"/>
      <c r="F462" s="479"/>
      <c r="G462" s="477"/>
      <c r="H462" s="677"/>
      <c r="I462" s="476"/>
      <c r="J462" s="479"/>
      <c r="K462" s="479"/>
      <c r="L462" s="526"/>
      <c r="M462" s="540"/>
      <c r="N462" s="533"/>
      <c r="O462" s="639"/>
      <c r="P462" s="528"/>
      <c r="Q462" s="534"/>
    </row>
    <row r="463" spans="1:17" s="480" customFormat="1" x14ac:dyDescent="0.25">
      <c r="A463" s="478"/>
      <c r="B463" s="649"/>
      <c r="C463" s="649"/>
      <c r="D463" s="650"/>
      <c r="E463" s="650"/>
      <c r="F463" s="479"/>
      <c r="G463" s="475"/>
      <c r="H463" s="678"/>
      <c r="I463" s="481"/>
      <c r="J463" s="479"/>
      <c r="K463" s="479"/>
      <c r="L463" s="526"/>
      <c r="M463" s="526"/>
      <c r="N463" s="533"/>
      <c r="O463" s="533"/>
      <c r="P463" s="534"/>
      <c r="Q463" s="534"/>
    </row>
    <row r="464" spans="1:17" s="480" customFormat="1" x14ac:dyDescent="0.25">
      <c r="A464" s="617"/>
      <c r="B464" s="649"/>
      <c r="C464" s="649"/>
      <c r="D464" s="650"/>
      <c r="E464" s="650"/>
      <c r="F464" s="479"/>
      <c r="G464" s="475"/>
      <c r="H464" s="678"/>
      <c r="I464" s="481"/>
      <c r="J464" s="479"/>
      <c r="K464" s="479"/>
      <c r="L464" s="526"/>
      <c r="M464" s="526"/>
      <c r="N464" s="616"/>
      <c r="O464" s="640"/>
      <c r="P464" s="528"/>
      <c r="Q464" s="534"/>
    </row>
    <row r="465" spans="1:17" s="480" customFormat="1" x14ac:dyDescent="0.25">
      <c r="A465" s="478"/>
      <c r="B465" s="649"/>
      <c r="C465" s="649"/>
      <c r="D465" s="650"/>
      <c r="E465" s="650"/>
      <c r="F465" s="479"/>
      <c r="G465" s="477"/>
      <c r="H465" s="677"/>
      <c r="I465" s="476"/>
      <c r="J465" s="479"/>
      <c r="K465" s="479"/>
      <c r="L465" s="526"/>
      <c r="M465" s="526"/>
      <c r="N465" s="533"/>
      <c r="O465" s="533"/>
      <c r="P465" s="534"/>
      <c r="Q465" s="534"/>
    </row>
    <row r="466" spans="1:17" s="480" customFormat="1" x14ac:dyDescent="0.25">
      <c r="A466" s="478"/>
      <c r="B466" s="649"/>
      <c r="C466" s="649"/>
      <c r="D466" s="650"/>
      <c r="E466" s="650"/>
      <c r="F466" s="479"/>
      <c r="G466" s="475"/>
      <c r="H466" s="678"/>
      <c r="I466" s="481"/>
      <c r="J466" s="479"/>
      <c r="K466" s="479"/>
      <c r="L466" s="526"/>
      <c r="M466" s="526"/>
      <c r="N466" s="533"/>
      <c r="O466" s="533"/>
      <c r="P466" s="528"/>
      <c r="Q466" s="534"/>
    </row>
    <row r="467" spans="1:17" s="480" customFormat="1" x14ac:dyDescent="0.25">
      <c r="A467" s="478"/>
      <c r="B467" s="649"/>
      <c r="C467" s="649"/>
      <c r="D467" s="650"/>
      <c r="E467" s="650"/>
      <c r="F467" s="479"/>
      <c r="G467" s="475"/>
      <c r="H467" s="678"/>
      <c r="I467" s="481"/>
      <c r="J467" s="479"/>
      <c r="K467" s="479"/>
      <c r="L467" s="526"/>
      <c r="M467" s="526"/>
      <c r="N467" s="533"/>
      <c r="O467" s="639"/>
      <c r="P467" s="528"/>
      <c r="Q467" s="534"/>
    </row>
    <row r="468" spans="1:17" s="480" customFormat="1" x14ac:dyDescent="0.25">
      <c r="A468" s="478"/>
      <c r="B468" s="649"/>
      <c r="C468" s="649"/>
      <c r="D468" s="650"/>
      <c r="E468" s="650"/>
      <c r="F468" s="479"/>
      <c r="G468" s="475"/>
      <c r="H468" s="677"/>
      <c r="I468" s="476"/>
      <c r="J468" s="479"/>
      <c r="K468" s="479"/>
      <c r="L468" s="526"/>
      <c r="M468" s="526"/>
      <c r="N468" s="533"/>
      <c r="O468" s="533"/>
      <c r="P468" s="535"/>
      <c r="Q468" s="534"/>
    </row>
    <row r="469" spans="1:17" s="480" customFormat="1" x14ac:dyDescent="0.25">
      <c r="A469" s="478"/>
      <c r="B469" s="649"/>
      <c r="C469" s="649"/>
      <c r="D469" s="650"/>
      <c r="E469" s="650"/>
      <c r="F469" s="479"/>
      <c r="G469" s="475"/>
      <c r="H469" s="677"/>
      <c r="I469" s="476"/>
      <c r="J469" s="479"/>
      <c r="K469" s="479"/>
      <c r="L469" s="530"/>
      <c r="M469" s="536"/>
      <c r="N469" s="533"/>
      <c r="O469" s="639"/>
      <c r="P469" s="541"/>
      <c r="Q469" s="541"/>
    </row>
    <row r="470" spans="1:17" x14ac:dyDescent="0.25">
      <c r="A470" s="293"/>
      <c r="B470" s="649"/>
      <c r="C470" s="649"/>
      <c r="D470" s="650"/>
      <c r="E470" s="650"/>
      <c r="F470" s="479"/>
      <c r="G470" s="467"/>
      <c r="H470" s="761"/>
      <c r="I470" s="457"/>
      <c r="J470" s="461"/>
      <c r="K470" s="479"/>
      <c r="L470" s="526"/>
      <c r="M470" s="526"/>
      <c r="N470" s="533"/>
      <c r="O470" s="533"/>
      <c r="P470" s="542"/>
      <c r="Q470" s="542"/>
    </row>
    <row r="471" spans="1:17" x14ac:dyDescent="0.25">
      <c r="A471" s="293"/>
      <c r="B471" s="649"/>
      <c r="C471" s="649"/>
      <c r="D471" s="650"/>
      <c r="E471" s="650"/>
      <c r="F471" s="479"/>
      <c r="G471" s="467"/>
      <c r="H471" s="761"/>
      <c r="I471" s="457"/>
      <c r="J471" s="461"/>
      <c r="K471" s="479"/>
      <c r="L471" s="526"/>
      <c r="M471" s="526"/>
      <c r="N471" s="533"/>
      <c r="O471" s="533"/>
      <c r="P471" s="542"/>
      <c r="Q471" s="542"/>
    </row>
    <row r="472" spans="1:17" x14ac:dyDescent="0.25">
      <c r="A472" s="293"/>
      <c r="B472" s="649"/>
      <c r="C472" s="649"/>
      <c r="D472" s="650"/>
      <c r="E472" s="650"/>
      <c r="F472" s="479"/>
      <c r="G472" s="467"/>
      <c r="H472" s="761"/>
      <c r="I472" s="457"/>
      <c r="J472" s="461"/>
      <c r="K472" s="479"/>
      <c r="L472" s="526"/>
      <c r="M472" s="526"/>
      <c r="N472" s="533"/>
      <c r="O472" s="533"/>
      <c r="P472" s="542"/>
      <c r="Q472" s="542"/>
    </row>
    <row r="473" spans="1:17" x14ac:dyDescent="0.25">
      <c r="A473" s="293"/>
      <c r="B473" s="649"/>
      <c r="C473" s="649"/>
      <c r="D473" s="650"/>
      <c r="E473" s="650"/>
      <c r="F473" s="479"/>
      <c r="G473" s="467"/>
      <c r="H473" s="761"/>
      <c r="I473" s="457"/>
      <c r="J473" s="461"/>
      <c r="K473" s="479"/>
      <c r="L473" s="526"/>
      <c r="M473" s="526"/>
      <c r="N473" s="533"/>
      <c r="O473" s="533"/>
      <c r="P473" s="542"/>
      <c r="Q473" s="542"/>
    </row>
    <row r="474" spans="1:17" x14ac:dyDescent="0.25">
      <c r="A474" s="293"/>
      <c r="B474" s="649"/>
      <c r="C474" s="649"/>
      <c r="D474" s="650"/>
      <c r="E474" s="650"/>
      <c r="F474" s="479"/>
      <c r="G474" s="467"/>
      <c r="H474" s="761"/>
      <c r="I474" s="457"/>
      <c r="J474" s="461"/>
      <c r="K474" s="479"/>
      <c r="L474" s="526"/>
      <c r="M474" s="526"/>
      <c r="N474" s="533"/>
      <c r="O474" s="533"/>
      <c r="P474" s="542"/>
      <c r="Q474" s="542"/>
    </row>
    <row r="475" spans="1:17" x14ac:dyDescent="0.25">
      <c r="A475" s="293"/>
      <c r="B475" s="649"/>
      <c r="C475" s="649"/>
      <c r="D475" s="650"/>
      <c r="E475" s="650"/>
      <c r="F475" s="479"/>
      <c r="G475" s="467"/>
      <c r="H475" s="761"/>
      <c r="I475" s="457"/>
      <c r="J475" s="461"/>
      <c r="K475" s="479"/>
      <c r="L475" s="526"/>
      <c r="M475" s="526"/>
      <c r="N475" s="533"/>
      <c r="O475" s="533"/>
      <c r="P475" s="542"/>
      <c r="Q475" s="542"/>
    </row>
    <row r="476" spans="1:17" x14ac:dyDescent="0.25">
      <c r="A476" s="293"/>
      <c r="B476" s="649"/>
      <c r="C476" s="649"/>
      <c r="D476" s="650"/>
      <c r="E476" s="650"/>
      <c r="F476" s="479"/>
      <c r="G476" s="467"/>
      <c r="H476" s="761"/>
      <c r="I476" s="457"/>
      <c r="J476" s="461"/>
      <c r="K476" s="479"/>
      <c r="L476" s="526"/>
      <c r="M476" s="526"/>
      <c r="N476" s="533"/>
      <c r="O476" s="533"/>
      <c r="P476" s="542"/>
      <c r="Q476" s="542"/>
    </row>
    <row r="477" spans="1:17" x14ac:dyDescent="0.25">
      <c r="A477" s="293"/>
      <c r="B477" s="649"/>
      <c r="C477" s="649"/>
      <c r="D477" s="650"/>
      <c r="E477" s="650"/>
      <c r="F477" s="479"/>
      <c r="G477" s="467"/>
      <c r="H477" s="761"/>
      <c r="I477" s="457"/>
      <c r="J477" s="461"/>
      <c r="K477" s="479"/>
      <c r="L477" s="526"/>
      <c r="M477" s="526"/>
      <c r="N477" s="533"/>
      <c r="O477" s="533"/>
      <c r="P477" s="542"/>
      <c r="Q477" s="542"/>
    </row>
    <row r="478" spans="1:17" x14ac:dyDescent="0.25">
      <c r="A478" s="293"/>
      <c r="B478" s="649"/>
      <c r="C478" s="649"/>
      <c r="D478" s="650"/>
      <c r="E478" s="650"/>
      <c r="F478" s="479"/>
      <c r="G478" s="467"/>
      <c r="H478" s="761"/>
      <c r="I478" s="457"/>
      <c r="J478" s="461"/>
      <c r="K478" s="479"/>
      <c r="L478" s="526"/>
      <c r="M478" s="526"/>
      <c r="N478" s="533"/>
      <c r="O478" s="533"/>
      <c r="P478" s="542"/>
      <c r="Q478" s="542"/>
    </row>
    <row r="479" spans="1:17" x14ac:dyDescent="0.25">
      <c r="A479" s="293"/>
      <c r="B479" s="649"/>
      <c r="C479" s="649"/>
      <c r="D479" s="650"/>
      <c r="E479" s="650"/>
      <c r="F479" s="479"/>
      <c r="G479" s="467"/>
      <c r="H479" s="761"/>
      <c r="I479" s="457"/>
      <c r="J479" s="461"/>
      <c r="K479" s="479"/>
      <c r="L479" s="526"/>
      <c r="M479" s="526"/>
      <c r="N479" s="533"/>
      <c r="O479" s="533"/>
      <c r="P479" s="542"/>
      <c r="Q479" s="542"/>
    </row>
    <row r="480" spans="1:17" x14ac:dyDescent="0.25">
      <c r="A480" s="293"/>
      <c r="B480" s="649"/>
      <c r="C480" s="649"/>
      <c r="D480" s="650"/>
      <c r="E480" s="650"/>
      <c r="F480" s="479"/>
      <c r="G480" s="467"/>
      <c r="H480" s="761"/>
      <c r="I480" s="457"/>
      <c r="J480" s="461"/>
      <c r="K480" s="479"/>
      <c r="L480" s="526"/>
      <c r="M480" s="526"/>
      <c r="N480" s="533"/>
      <c r="O480" s="533"/>
      <c r="P480" s="542"/>
      <c r="Q480" s="542"/>
    </row>
    <row r="481" spans="1:17" x14ac:dyDescent="0.25">
      <c r="A481" s="293"/>
      <c r="B481" s="649"/>
      <c r="C481" s="649"/>
      <c r="D481" s="650"/>
      <c r="E481" s="650"/>
      <c r="F481" s="479"/>
      <c r="G481" s="467"/>
      <c r="H481" s="761"/>
      <c r="I481" s="457"/>
      <c r="J481" s="461"/>
      <c r="K481" s="479"/>
      <c r="L481" s="526"/>
      <c r="M481" s="526"/>
      <c r="N481" s="533"/>
      <c r="O481" s="533"/>
      <c r="P481" s="542"/>
      <c r="Q481" s="542"/>
    </row>
    <row r="482" spans="1:17" x14ac:dyDescent="0.25">
      <c r="A482" s="293"/>
      <c r="B482" s="649"/>
      <c r="C482" s="649"/>
      <c r="D482" s="650"/>
      <c r="E482" s="650"/>
      <c r="F482" s="479"/>
      <c r="G482" s="467"/>
      <c r="H482" s="761"/>
      <c r="I482" s="457"/>
      <c r="J482" s="461"/>
      <c r="K482" s="479"/>
      <c r="L482" s="526"/>
      <c r="M482" s="526"/>
      <c r="N482" s="533"/>
      <c r="O482" s="533"/>
      <c r="P482" s="542"/>
      <c r="Q482" s="542"/>
    </row>
    <row r="483" spans="1:17" x14ac:dyDescent="0.25">
      <c r="A483" s="293"/>
      <c r="B483" s="649"/>
      <c r="C483" s="649"/>
      <c r="D483" s="650"/>
      <c r="E483" s="650"/>
      <c r="F483" s="479"/>
      <c r="G483" s="467"/>
      <c r="H483" s="761"/>
      <c r="I483" s="457"/>
      <c r="J483" s="461"/>
      <c r="K483" s="479"/>
      <c r="L483" s="526"/>
      <c r="M483" s="526"/>
      <c r="N483" s="533"/>
      <c r="O483" s="533"/>
      <c r="P483" s="542"/>
      <c r="Q483" s="542"/>
    </row>
    <row r="484" spans="1:17" x14ac:dyDescent="0.25">
      <c r="A484" s="293"/>
      <c r="B484" s="649"/>
      <c r="C484" s="649"/>
      <c r="D484" s="650"/>
      <c r="E484" s="650"/>
      <c r="F484" s="479"/>
      <c r="G484" s="467"/>
      <c r="H484" s="761"/>
      <c r="I484" s="457"/>
      <c r="J484" s="461"/>
      <c r="K484" s="479"/>
      <c r="L484" s="526"/>
      <c r="M484" s="526"/>
      <c r="N484" s="533"/>
      <c r="O484" s="533"/>
      <c r="P484" s="542"/>
      <c r="Q484" s="542"/>
    </row>
    <row r="485" spans="1:17" x14ac:dyDescent="0.25">
      <c r="A485" s="293"/>
      <c r="B485" s="649"/>
      <c r="C485" s="649"/>
      <c r="D485" s="650"/>
      <c r="E485" s="650"/>
      <c r="F485" s="479"/>
      <c r="G485" s="467"/>
      <c r="H485" s="761"/>
      <c r="I485" s="457"/>
      <c r="J485" s="461"/>
      <c r="K485" s="479"/>
      <c r="L485" s="526"/>
      <c r="M485" s="526"/>
      <c r="N485" s="533"/>
      <c r="O485" s="533"/>
      <c r="P485" s="542"/>
      <c r="Q485" s="542"/>
    </row>
    <row r="486" spans="1:17" x14ac:dyDescent="0.25">
      <c r="A486" s="293"/>
      <c r="B486" s="649"/>
      <c r="C486" s="649"/>
      <c r="D486" s="650"/>
      <c r="E486" s="650"/>
      <c r="F486" s="479"/>
      <c r="G486" s="467"/>
      <c r="H486" s="761"/>
      <c r="I486" s="457"/>
      <c r="J486" s="461"/>
      <c r="K486" s="479"/>
      <c r="L486" s="526"/>
      <c r="M486" s="526"/>
      <c r="N486" s="533"/>
      <c r="O486" s="533"/>
      <c r="P486" s="542"/>
      <c r="Q486" s="542"/>
    </row>
    <row r="487" spans="1:17" x14ac:dyDescent="0.25">
      <c r="A487" s="293"/>
      <c r="B487" s="649"/>
      <c r="C487" s="649"/>
      <c r="D487" s="650"/>
      <c r="E487" s="650"/>
      <c r="F487" s="479"/>
      <c r="G487" s="467"/>
      <c r="H487" s="761"/>
      <c r="I487" s="457"/>
      <c r="J487" s="461"/>
      <c r="K487" s="479"/>
      <c r="L487" s="526"/>
      <c r="M487" s="537"/>
      <c r="N487" s="533"/>
      <c r="O487" s="639"/>
      <c r="P487" s="534"/>
      <c r="Q487" s="534"/>
    </row>
    <row r="488" spans="1:17" x14ac:dyDescent="0.25">
      <c r="A488" s="293"/>
      <c r="B488" s="649"/>
      <c r="C488" s="649"/>
      <c r="D488" s="650"/>
      <c r="E488" s="650"/>
      <c r="F488" s="479"/>
      <c r="G488" s="467"/>
      <c r="H488" s="761"/>
      <c r="I488" s="457"/>
      <c r="J488" s="461"/>
      <c r="K488" s="479"/>
      <c r="L488" s="526"/>
      <c r="M488" s="526"/>
      <c r="N488" s="533"/>
      <c r="O488" s="533"/>
      <c r="P488" s="542"/>
      <c r="Q488" s="542"/>
    </row>
    <row r="489" spans="1:17" x14ac:dyDescent="0.25">
      <c r="A489" s="293"/>
      <c r="B489" s="649"/>
      <c r="C489" s="649"/>
      <c r="D489" s="650"/>
      <c r="E489" s="650"/>
      <c r="F489" s="479"/>
      <c r="G489" s="467"/>
      <c r="H489" s="761"/>
      <c r="I489" s="457"/>
      <c r="J489" s="461"/>
      <c r="K489" s="479"/>
      <c r="L489" s="526"/>
      <c r="M489" s="526"/>
      <c r="N489" s="533"/>
      <c r="O489" s="533"/>
      <c r="P489" s="542"/>
      <c r="Q489" s="542"/>
    </row>
    <row r="490" spans="1:17" x14ac:dyDescent="0.25">
      <c r="A490" s="293"/>
      <c r="B490" s="649"/>
      <c r="C490" s="649"/>
      <c r="D490" s="650"/>
      <c r="E490" s="650"/>
      <c r="F490" s="479"/>
      <c r="G490" s="467"/>
      <c r="H490" s="677"/>
      <c r="I490" s="457"/>
      <c r="J490" s="461"/>
      <c r="K490" s="479"/>
      <c r="L490" s="527"/>
      <c r="M490" s="543"/>
      <c r="N490" s="542"/>
      <c r="O490" s="542"/>
      <c r="P490" s="542"/>
      <c r="Q490" s="542"/>
    </row>
    <row r="491" spans="1:17" x14ac:dyDescent="0.25">
      <c r="A491" s="293"/>
      <c r="B491" s="466"/>
      <c r="C491" s="655"/>
      <c r="D491" s="648"/>
      <c r="E491" s="648"/>
      <c r="F491" s="479"/>
      <c r="G491" s="467"/>
      <c r="H491" s="677"/>
      <c r="I491" s="457"/>
      <c r="J491" s="461"/>
      <c r="K491" s="479"/>
      <c r="L491" s="531"/>
      <c r="M491" s="536"/>
      <c r="N491" s="533"/>
      <c r="O491" s="639"/>
      <c r="P491" s="534"/>
      <c r="Q491" s="534"/>
    </row>
    <row r="492" spans="1:17" x14ac:dyDescent="0.25">
      <c r="A492" s="293"/>
      <c r="B492" s="525"/>
      <c r="C492" s="655"/>
      <c r="D492" s="648"/>
      <c r="E492" s="648"/>
      <c r="F492" s="479"/>
      <c r="G492" s="467"/>
      <c r="H492" s="677"/>
      <c r="I492" s="457"/>
      <c r="J492" s="461"/>
      <c r="K492" s="479"/>
      <c r="L492" s="527"/>
      <c r="M492" s="543"/>
      <c r="N492" s="542"/>
      <c r="O492" s="542"/>
      <c r="P492" s="542"/>
      <c r="Q492" s="542"/>
    </row>
  </sheetData>
  <conditionalFormatting sqref="G490:G492 L490:P490 M443 I490:J492 L492:Q1048576 L491:M491 P488:P489 E493:J1048576 P469:Q486 Q488:Q490 E1:K1 G470:J489">
    <cfRule type="cellIs" dxfId="567" priority="503" operator="lessThan">
      <formula>0</formula>
    </cfRule>
  </conditionalFormatting>
  <conditionalFormatting sqref="K493:K1048576">
    <cfRule type="cellIs" dxfId="566" priority="496" operator="lessThan">
      <formula>0</formula>
    </cfRule>
  </conditionalFormatting>
  <conditionalFormatting sqref="B1 B406:B1048576">
    <cfRule type="duplicateValues" dxfId="565" priority="26651"/>
  </conditionalFormatting>
  <conditionalFormatting sqref="B118">
    <cfRule type="duplicateValues" dxfId="564" priority="2"/>
  </conditionalFormatting>
  <conditionalFormatting sqref="B2:B86">
    <cfRule type="duplicateValues" dxfId="563" priority="1"/>
  </conditionalFormatting>
  <printOptions horizontalCentered="1"/>
  <pageMargins left="0.19685039370078741" right="0.19685039370078741" top="0.39370078740157483" bottom="0.31496062992125984" header="0.19685039370078741" footer="0.19685039370078741"/>
  <pageSetup paperSize="9" scale="65" orientation="landscape"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00FF"/>
    <outlinePr summaryBelow="0"/>
  </sheetPr>
  <dimension ref="A1:AV58"/>
  <sheetViews>
    <sheetView zoomScale="85" zoomScaleNormal="85" workbookViewId="0">
      <selection activeCell="J11" sqref="J11"/>
    </sheetView>
  </sheetViews>
  <sheetFormatPr defaultColWidth="9.140625" defaultRowHeight="15" outlineLevelRow="1" x14ac:dyDescent="0.25"/>
  <cols>
    <col min="1" max="1" width="7.42578125" style="71" customWidth="1"/>
    <col min="2" max="2" width="6.85546875" style="71" customWidth="1"/>
    <col min="3" max="3" width="35.28515625" style="36" bestFit="1" customWidth="1"/>
    <col min="4" max="4" width="21.42578125" style="36" customWidth="1"/>
    <col min="5" max="5" width="22" style="36" customWidth="1"/>
    <col min="6" max="6" width="20.42578125" style="36" customWidth="1"/>
    <col min="7" max="13" width="18.42578125" style="36" customWidth="1"/>
    <col min="14" max="14" width="19.85546875" style="36" customWidth="1"/>
    <col min="15" max="46" width="9.140625" style="36"/>
    <col min="47" max="48" width="10.42578125" style="36" bestFit="1" customWidth="1"/>
    <col min="49" max="16384" width="9.140625" style="36"/>
  </cols>
  <sheetData>
    <row r="1" spans="1:14" ht="15.75" x14ac:dyDescent="0.25">
      <c r="A1" s="34" t="s">
        <v>19</v>
      </c>
      <c r="B1" s="34" t="s">
        <v>40</v>
      </c>
      <c r="C1" s="34" t="s">
        <v>18</v>
      </c>
    </row>
    <row r="2" spans="1:14" x14ac:dyDescent="0.25">
      <c r="A2" s="204" t="s">
        <v>41</v>
      </c>
      <c r="B2" s="40"/>
      <c r="C2" s="35" t="s">
        <v>21</v>
      </c>
      <c r="D2" s="171" t="s">
        <v>845</v>
      </c>
      <c r="E2" s="35" t="s">
        <v>93</v>
      </c>
      <c r="F2" s="172" t="s">
        <v>108</v>
      </c>
      <c r="G2" s="173"/>
      <c r="H2" s="173"/>
      <c r="I2" s="173"/>
      <c r="J2" s="173"/>
      <c r="K2" s="173"/>
      <c r="L2" s="173"/>
      <c r="M2" s="173"/>
      <c r="N2" s="173"/>
    </row>
    <row r="3" spans="1:14" outlineLevel="1" x14ac:dyDescent="0.25">
      <c r="A3" s="204" t="s">
        <v>41</v>
      </c>
      <c r="B3" s="40"/>
      <c r="C3" s="35" t="s">
        <v>22</v>
      </c>
      <c r="D3" s="81">
        <v>45073</v>
      </c>
    </row>
    <row r="4" spans="1:14" outlineLevel="1" x14ac:dyDescent="0.25">
      <c r="A4" s="204" t="s">
        <v>41</v>
      </c>
      <c r="B4" s="40"/>
      <c r="C4" s="35" t="s">
        <v>20</v>
      </c>
      <c r="D4" s="84">
        <v>628</v>
      </c>
    </row>
    <row r="5" spans="1:14" ht="18" customHeight="1" outlineLevel="1" x14ac:dyDescent="0.25">
      <c r="A5" s="204" t="s">
        <v>41</v>
      </c>
      <c r="B5" s="40"/>
      <c r="C5" s="35" t="s">
        <v>23</v>
      </c>
      <c r="D5" s="171" t="s">
        <v>119</v>
      </c>
      <c r="E5" s="801" t="s">
        <v>109</v>
      </c>
      <c r="F5" s="802"/>
      <c r="G5" s="803"/>
      <c r="H5" s="174" t="s">
        <v>111</v>
      </c>
    </row>
    <row r="6" spans="1:14" ht="18" customHeight="1" outlineLevel="1" x14ac:dyDescent="0.25">
      <c r="A6" s="204"/>
      <c r="B6" s="40"/>
      <c r="C6" s="35" t="s">
        <v>42</v>
      </c>
      <c r="D6" s="171" t="s">
        <v>119</v>
      </c>
      <c r="E6" s="801" t="s">
        <v>110</v>
      </c>
      <c r="F6" s="802"/>
      <c r="G6" s="803"/>
      <c r="H6" s="174"/>
      <c r="I6" s="174"/>
      <c r="J6" s="174"/>
      <c r="K6" s="174"/>
      <c r="L6" s="174"/>
      <c r="M6" s="174"/>
      <c r="N6" s="174"/>
    </row>
    <row r="7" spans="1:14" ht="78" customHeight="1" outlineLevel="1" x14ac:dyDescent="0.25">
      <c r="A7" s="204" t="s">
        <v>41</v>
      </c>
      <c r="B7" s="41" t="s">
        <v>94</v>
      </c>
      <c r="C7" s="35" t="s">
        <v>24</v>
      </c>
      <c r="D7" s="486" t="s">
        <v>470</v>
      </c>
      <c r="E7" s="175" t="s">
        <v>846</v>
      </c>
    </row>
    <row r="8" spans="1:14" outlineLevel="1" x14ac:dyDescent="0.25">
      <c r="A8" s="204" t="s">
        <v>41</v>
      </c>
      <c r="B8" s="40"/>
      <c r="C8" s="35" t="s">
        <v>25</v>
      </c>
      <c r="D8" s="84">
        <v>14</v>
      </c>
    </row>
    <row r="9" spans="1:14" outlineLevel="1" x14ac:dyDescent="0.25">
      <c r="A9" s="204" t="s">
        <v>41</v>
      </c>
      <c r="B9" s="40"/>
      <c r="C9" s="35" t="s">
        <v>26</v>
      </c>
      <c r="D9" s="81" t="s">
        <v>651</v>
      </c>
      <c r="E9" s="36" t="s">
        <v>558</v>
      </c>
    </row>
    <row r="10" spans="1:14" x14ac:dyDescent="0.25">
      <c r="A10" s="204" t="s">
        <v>28</v>
      </c>
      <c r="B10" s="40"/>
      <c r="C10" s="35" t="s">
        <v>29</v>
      </c>
      <c r="D10" s="176">
        <v>82.78</v>
      </c>
      <c r="E10" s="35" t="s">
        <v>95</v>
      </c>
      <c r="F10" s="176">
        <v>2024</v>
      </c>
    </row>
    <row r="11" spans="1:14" outlineLevel="1" x14ac:dyDescent="0.25">
      <c r="A11" s="204" t="s">
        <v>28</v>
      </c>
      <c r="B11" s="42"/>
      <c r="C11" s="43" t="s">
        <v>43</v>
      </c>
      <c r="D11" s="177"/>
      <c r="E11" s="178"/>
      <c r="F11" s="178"/>
      <c r="G11" s="178"/>
      <c r="H11" s="179"/>
    </row>
    <row r="12" spans="1:14" outlineLevel="1" x14ac:dyDescent="0.25">
      <c r="A12" s="204" t="s">
        <v>28</v>
      </c>
      <c r="B12" s="40"/>
      <c r="C12" s="35" t="s">
        <v>27</v>
      </c>
      <c r="D12" s="80" t="s">
        <v>28</v>
      </c>
    </row>
    <row r="13" spans="1:14" ht="15.75" x14ac:dyDescent="0.25">
      <c r="A13" s="204"/>
      <c r="B13" s="40"/>
      <c r="C13" s="37" t="s">
        <v>34</v>
      </c>
      <c r="D13" s="44" t="s">
        <v>35</v>
      </c>
    </row>
    <row r="14" spans="1:14" ht="15.75" outlineLevel="1" x14ac:dyDescent="0.25">
      <c r="A14" s="204"/>
      <c r="B14" s="40"/>
      <c r="C14" s="45" t="str">
        <f>CONCATENATE("HAL/NK/MPU-AOD/2237(",Form!D4,")/23/107/")</f>
        <v>HAL/NK/MPU-AOD/2237(628)/23/107/</v>
      </c>
      <c r="D14" s="44"/>
      <c r="E14" s="44" t="s">
        <v>75</v>
      </c>
      <c r="F14" s="44" t="s">
        <v>96</v>
      </c>
      <c r="G14" s="44" t="s">
        <v>76</v>
      </c>
      <c r="H14" s="44" t="s">
        <v>97</v>
      </c>
    </row>
    <row r="15" spans="1:14" outlineLevel="1" x14ac:dyDescent="0.25">
      <c r="A15" s="204"/>
      <c r="B15" s="40"/>
      <c r="C15" s="35" t="s">
        <v>36</v>
      </c>
      <c r="D15" s="80">
        <v>44411</v>
      </c>
    </row>
    <row r="16" spans="1:14" outlineLevel="1" x14ac:dyDescent="0.25">
      <c r="A16" s="204" t="s">
        <v>77</v>
      </c>
      <c r="B16" s="40"/>
      <c r="C16" s="35" t="s">
        <v>37</v>
      </c>
      <c r="D16" s="80">
        <v>44473</v>
      </c>
      <c r="E16" s="38"/>
      <c r="F16" s="80"/>
      <c r="G16" s="80"/>
      <c r="H16" s="200"/>
    </row>
    <row r="17" spans="1:16" outlineLevel="1" x14ac:dyDescent="0.25">
      <c r="A17" s="204" t="s">
        <v>78</v>
      </c>
      <c r="B17" s="40"/>
      <c r="C17" s="35" t="s">
        <v>38</v>
      </c>
      <c r="D17" s="80"/>
      <c r="E17" s="38"/>
      <c r="F17" s="80"/>
      <c r="G17" s="80"/>
      <c r="H17" s="200"/>
    </row>
    <row r="18" spans="1:16" outlineLevel="1" x14ac:dyDescent="0.25">
      <c r="A18" s="204"/>
      <c r="B18" s="40"/>
      <c r="C18" s="35" t="s">
        <v>39</v>
      </c>
      <c r="D18" s="80"/>
    </row>
    <row r="19" spans="1:16" outlineLevel="1" x14ac:dyDescent="0.25">
      <c r="A19" s="204"/>
      <c r="B19" s="40"/>
      <c r="C19" s="35" t="s">
        <v>44</v>
      </c>
      <c r="D19" s="80"/>
    </row>
    <row r="20" spans="1:16" outlineLevel="1" x14ac:dyDescent="0.25">
      <c r="A20" s="204"/>
      <c r="B20" s="40"/>
      <c r="C20" s="35" t="s">
        <v>45</v>
      </c>
      <c r="D20" s="80"/>
    </row>
    <row r="21" spans="1:16" outlineLevel="1" x14ac:dyDescent="0.25">
      <c r="A21" s="204"/>
      <c r="B21" s="40"/>
      <c r="C21" s="35" t="s">
        <v>46</v>
      </c>
      <c r="D21" s="80"/>
    </row>
    <row r="22" spans="1:16" outlineLevel="1" x14ac:dyDescent="0.25">
      <c r="A22" s="204"/>
      <c r="B22" s="40"/>
      <c r="C22" s="35" t="s">
        <v>47</v>
      </c>
      <c r="D22" s="80"/>
    </row>
    <row r="23" spans="1:16" outlineLevel="1" x14ac:dyDescent="0.25">
      <c r="A23" s="39"/>
      <c r="B23" s="40"/>
      <c r="C23" s="35" t="s">
        <v>48</v>
      </c>
      <c r="D23" s="80"/>
    </row>
    <row r="24" spans="1:16" outlineLevel="1" x14ac:dyDescent="0.25">
      <c r="A24" s="39"/>
      <c r="B24" s="40"/>
      <c r="C24" s="35" t="s">
        <v>49</v>
      </c>
      <c r="D24" s="80"/>
    </row>
    <row r="25" spans="1:16" ht="31.5" x14ac:dyDescent="0.25">
      <c r="A25" s="39"/>
      <c r="B25" s="40"/>
      <c r="C25" s="34"/>
      <c r="D25" s="34" t="str">
        <f>'CST-Calculation'!H3</f>
        <v>Avi. Equip.</v>
      </c>
      <c r="E25" s="34" t="str">
        <f>'CST-Calculation'!P3</f>
        <v>GIS</v>
      </c>
      <c r="F25" s="34" t="str">
        <f>'CST-Calculation'!T3</f>
        <v>IASL</v>
      </c>
      <c r="G25" s="34" t="str">
        <f>'CST-Calculation'!L3</f>
        <v>Avitronic</v>
      </c>
      <c r="H25" s="34" t="str">
        <f>'CST-Calculation'!X3</f>
        <v>AEC</v>
      </c>
      <c r="I25" s="34" t="str">
        <f>'CST-Calculation'!AB3</f>
        <v>ADRYS</v>
      </c>
      <c r="J25" s="34" t="str">
        <f>'CST-Calculation'!AF3</f>
        <v>AZP</v>
      </c>
      <c r="K25" s="34" t="str">
        <f>'CST-Calculation'!AJ3</f>
        <v>EST</v>
      </c>
      <c r="L25" s="34" t="str">
        <f>'CST-Calculation'!AN3</f>
        <v>NASC</v>
      </c>
      <c r="M25" s="34" t="str">
        <f>'CST-Calculation'!AR3</f>
        <v>ROE</v>
      </c>
      <c r="N25" s="34" t="str">
        <f>'CST-Calculation'!AV3</f>
        <v>VEKS-M</v>
      </c>
      <c r="O25" s="34" t="str">
        <f>'CST-Calculation'!AZ3</f>
        <v>VSMPO</v>
      </c>
      <c r="P25" s="34" t="str">
        <f>'CST-Calculation'!BD3</f>
        <v>TDK</v>
      </c>
    </row>
    <row r="26" spans="1:16" ht="34.5" customHeight="1" outlineLevel="1" x14ac:dyDescent="0.25">
      <c r="A26" s="39"/>
      <c r="B26" s="40"/>
      <c r="C26" s="45">
        <f>SUM(IF(D26&lt;&gt;"",1,0),IF(E26&lt;&gt;"",1,0),IF(F26&lt;&gt;"",1,0),IF(G26&lt;&gt;"",1,0),IF(H26&lt;&gt;"",1,0),IF(I26&lt;&gt;"",1,0),IF(J26&lt;&gt;"",1,0),IF(K26&lt;&gt;"",1,0),IF(L26&lt;&gt;"",1,0),IF(M26&lt;&gt;"",1,0),IF(N26&lt;&gt;"",1,0))</f>
        <v>4</v>
      </c>
      <c r="D26" s="46" t="str">
        <f>IF(SUM('CST-Calculation'!H5:H2129)&gt;0,'CST-Calculation'!G2,"")</f>
        <v/>
      </c>
      <c r="E26" s="46" t="str">
        <f>IF(SUM('CST-Calculation'!P5:P2129)&gt;0,'CST-Calculation'!O2,"")</f>
        <v>GIS</v>
      </c>
      <c r="F26" s="46" t="str">
        <f>IF(SUM('CST-Calculation'!T5:T2129)&gt;0,'CST-Calculation'!S2,"")</f>
        <v>INDO AVIA SERVICES LTD</v>
      </c>
      <c r="G26" s="46" t="str">
        <f>IF(SUM('CST-Calculation'!L5:L2129)&gt;0,'CST-Calculation'!K2,"")</f>
        <v/>
      </c>
      <c r="H26" s="46" t="str">
        <f>IF(SUM('CST-Calculation'!X5:X2129)&gt;0,'CST-Calculation'!W2,"")</f>
        <v/>
      </c>
      <c r="I26" s="46" t="str">
        <f>IF(SUM('CST-Calculation'!AB5:AB2129)&gt;0,'CST-Calculation'!AA2,"")</f>
        <v>ADRYS Technologies (ADRYS)</v>
      </c>
      <c r="J26" s="46" t="str">
        <f>IF(SUM('CST-Calculation'!AF5:AF2129)&gt;0,'CST-Calculation'!AE2,"")</f>
        <v/>
      </c>
      <c r="K26" s="46" t="str">
        <f>IF(SUM('CST-Calculation'!AJ5:AJ2129)&gt;0,'CST-Calculation'!AI2,"")</f>
        <v>Eurasia Special Technologies (EST)</v>
      </c>
      <c r="L26" s="46" t="str">
        <f>IF(SUM('CST-Calculation'!AN5:AN2129)&gt;0,'CST-Calculation'!AM2,"")</f>
        <v/>
      </c>
      <c r="M26" s="46" t="str">
        <f>IF(SUM('CST-Calculation'!AR5:AR2129)&gt;0,'CST-Calculation'!AQ2,"")</f>
        <v/>
      </c>
      <c r="N26" s="46" t="str">
        <f>IF(SUM('CST-Calculation'!AV5:AV2129)&gt;0,'CST-Calculation'!AU2,"")</f>
        <v/>
      </c>
      <c r="O26" s="46" t="str">
        <f>IF(SUM('CST-Calculation'!AW5:AW2129)&gt;0,'CST-Calculation'!AV2,"")</f>
        <v/>
      </c>
      <c r="P26" s="46" t="str">
        <f>IF(SUM('CST-Calculation'!AX5:AX2129)&gt;0,'CST-Calculation'!AW2,"")</f>
        <v/>
      </c>
    </row>
    <row r="27" spans="1:16" ht="30" outlineLevel="1" x14ac:dyDescent="0.25">
      <c r="A27" s="39" t="s">
        <v>50</v>
      </c>
      <c r="B27" s="40"/>
      <c r="C27" s="35" t="s">
        <v>51</v>
      </c>
      <c r="D27" s="180" t="s">
        <v>643</v>
      </c>
      <c r="E27" s="180" t="s">
        <v>561</v>
      </c>
      <c r="F27" s="180" t="s">
        <v>559</v>
      </c>
      <c r="G27" s="180"/>
      <c r="H27" s="180"/>
      <c r="I27" s="180" t="s">
        <v>565</v>
      </c>
      <c r="J27" s="180" t="s">
        <v>562</v>
      </c>
      <c r="K27" s="180" t="s">
        <v>663</v>
      </c>
      <c r="L27" s="180"/>
      <c r="M27" s="180"/>
      <c r="N27" s="180"/>
      <c r="O27" s="180"/>
      <c r="P27" s="180"/>
    </row>
    <row r="28" spans="1:16" s="50" customFormat="1" outlineLevel="1" x14ac:dyDescent="0.25">
      <c r="A28" s="47" t="s">
        <v>50</v>
      </c>
      <c r="B28" s="48"/>
      <c r="C28" s="49" t="s">
        <v>30</v>
      </c>
      <c r="D28" s="82">
        <v>45146</v>
      </c>
      <c r="E28" s="82">
        <v>45146</v>
      </c>
      <c r="F28" s="82">
        <v>45147</v>
      </c>
      <c r="G28" s="82"/>
      <c r="H28" s="82"/>
      <c r="I28" s="82">
        <v>45127</v>
      </c>
      <c r="J28" s="82">
        <v>45145</v>
      </c>
      <c r="K28" s="82" t="s">
        <v>664</v>
      </c>
      <c r="L28" s="82"/>
      <c r="M28" s="82"/>
      <c r="N28" s="82"/>
      <c r="O28" s="82"/>
      <c r="P28" s="82"/>
    </row>
    <row r="29" spans="1:16" ht="61.5" customHeight="1" outlineLevel="1" x14ac:dyDescent="0.25">
      <c r="A29" s="39" t="s">
        <v>50</v>
      </c>
      <c r="B29" s="40"/>
      <c r="C29" s="35" t="s">
        <v>31</v>
      </c>
      <c r="D29" s="215" t="s">
        <v>644</v>
      </c>
      <c r="E29" s="181">
        <v>45291</v>
      </c>
      <c r="F29" s="183" t="s">
        <v>484</v>
      </c>
      <c r="G29" s="183"/>
      <c r="H29" s="181"/>
      <c r="I29" s="183" t="s">
        <v>133</v>
      </c>
      <c r="J29" s="181">
        <v>45231</v>
      </c>
      <c r="K29" s="183" t="s">
        <v>665</v>
      </c>
      <c r="L29" s="181"/>
      <c r="M29" s="181"/>
      <c r="N29" s="183"/>
      <c r="O29" s="183"/>
      <c r="P29" s="183"/>
    </row>
    <row r="30" spans="1:16" ht="60" outlineLevel="1" x14ac:dyDescent="0.25">
      <c r="A30" s="39" t="s">
        <v>50</v>
      </c>
      <c r="B30" s="40"/>
      <c r="C30" s="35" t="s">
        <v>32</v>
      </c>
      <c r="D30" s="182" t="s">
        <v>645</v>
      </c>
      <c r="E30" s="182" t="s">
        <v>645</v>
      </c>
      <c r="F30" s="182" t="s">
        <v>476</v>
      </c>
      <c r="G30" s="182"/>
      <c r="H30" s="182"/>
      <c r="I30" s="182" t="s">
        <v>491</v>
      </c>
      <c r="J30" s="182" t="s">
        <v>563</v>
      </c>
      <c r="K30" s="182" t="s">
        <v>666</v>
      </c>
      <c r="L30" s="182"/>
      <c r="M30" s="182"/>
      <c r="N30" s="182"/>
      <c r="O30" s="182"/>
      <c r="P30" s="182"/>
    </row>
    <row r="31" spans="1:16" ht="75" outlineLevel="1" x14ac:dyDescent="0.25">
      <c r="A31" s="39" t="s">
        <v>50</v>
      </c>
      <c r="B31" s="40"/>
      <c r="C31" s="35" t="s">
        <v>52</v>
      </c>
      <c r="D31" s="183" t="s">
        <v>564</v>
      </c>
      <c r="E31" s="183" t="s">
        <v>330</v>
      </c>
      <c r="F31" s="183" t="s">
        <v>98</v>
      </c>
      <c r="G31" s="183"/>
      <c r="H31" s="183"/>
      <c r="I31" s="183" t="s">
        <v>134</v>
      </c>
      <c r="J31" s="183" t="s">
        <v>564</v>
      </c>
      <c r="K31" s="183" t="s">
        <v>667</v>
      </c>
      <c r="L31" s="183"/>
      <c r="M31" s="183"/>
      <c r="N31" s="183"/>
      <c r="O31" s="183"/>
      <c r="P31" s="183"/>
    </row>
    <row r="32" spans="1:16" ht="30" customHeight="1" x14ac:dyDescent="0.25">
      <c r="A32" s="39" t="s">
        <v>99</v>
      </c>
      <c r="B32" s="40"/>
      <c r="C32" s="35" t="s">
        <v>100</v>
      </c>
      <c r="D32" s="79"/>
      <c r="E32" s="79"/>
      <c r="F32" s="79"/>
      <c r="G32" s="79"/>
      <c r="H32" s="79"/>
      <c r="I32" s="79"/>
      <c r="J32" s="79"/>
      <c r="K32" s="79"/>
      <c r="L32" s="79"/>
      <c r="M32" s="79"/>
      <c r="N32" s="79"/>
      <c r="O32" s="79"/>
      <c r="P32" s="79"/>
    </row>
    <row r="33" spans="1:16" ht="15.75" outlineLevel="1" thickBot="1" x14ac:dyDescent="0.3">
      <c r="A33" s="51" t="s">
        <v>99</v>
      </c>
      <c r="B33" s="52"/>
      <c r="C33" s="53" t="s">
        <v>101</v>
      </c>
      <c r="D33" s="54"/>
      <c r="E33" s="54"/>
      <c r="F33" s="83"/>
      <c r="G33" s="54"/>
      <c r="H33" s="54"/>
      <c r="I33" s="54"/>
      <c r="J33" s="54"/>
      <c r="K33" s="54"/>
      <c r="L33" s="54"/>
      <c r="M33" s="54"/>
      <c r="N33" s="54"/>
      <c r="O33" s="54"/>
      <c r="P33" s="54"/>
    </row>
    <row r="34" spans="1:16" outlineLevel="1" x14ac:dyDescent="0.25">
      <c r="A34" s="55" t="s">
        <v>53</v>
      </c>
      <c r="B34" s="56"/>
      <c r="C34" s="57" t="s">
        <v>54</v>
      </c>
      <c r="D34" s="58"/>
      <c r="E34" s="59"/>
      <c r="F34" s="58"/>
      <c r="G34" s="58"/>
      <c r="H34" s="58"/>
      <c r="I34" s="58"/>
      <c r="J34" s="58"/>
      <c r="K34" s="58"/>
      <c r="L34" s="58"/>
      <c r="M34" s="58"/>
      <c r="N34" s="184"/>
      <c r="O34" s="184"/>
      <c r="P34" s="184"/>
    </row>
    <row r="35" spans="1:16" ht="15.75" outlineLevel="1" thickBot="1" x14ac:dyDescent="0.3">
      <c r="A35" s="60" t="s">
        <v>53</v>
      </c>
      <c r="B35" s="61"/>
      <c r="C35" s="62" t="s">
        <v>33</v>
      </c>
      <c r="D35" s="185"/>
      <c r="E35" s="185"/>
      <c r="F35" s="185"/>
      <c r="G35" s="185"/>
      <c r="H35" s="185"/>
      <c r="I35" s="185"/>
      <c r="J35" s="185"/>
      <c r="K35" s="185"/>
      <c r="L35" s="185"/>
      <c r="M35" s="185"/>
      <c r="N35" s="205"/>
      <c r="O35" s="205"/>
      <c r="P35" s="205"/>
    </row>
    <row r="36" spans="1:16" ht="17.25" customHeight="1" outlineLevel="1" x14ac:dyDescent="0.25">
      <c r="A36" s="55" t="s">
        <v>55</v>
      </c>
      <c r="B36" s="56"/>
      <c r="C36" s="57" t="s">
        <v>56</v>
      </c>
      <c r="D36" s="58"/>
      <c r="E36" s="84"/>
      <c r="F36" s="84"/>
      <c r="G36" s="58"/>
      <c r="H36" s="58"/>
      <c r="I36" s="58"/>
      <c r="J36" s="58"/>
      <c r="K36" s="58"/>
      <c r="L36" s="58"/>
      <c r="M36" s="58"/>
      <c r="N36" s="184"/>
      <c r="O36" s="184"/>
      <c r="P36" s="184"/>
    </row>
    <row r="37" spans="1:16" ht="17.25" customHeight="1" outlineLevel="1" x14ac:dyDescent="0.25">
      <c r="A37" s="63" t="s">
        <v>55</v>
      </c>
      <c r="B37" s="64"/>
      <c r="C37" s="35" t="s">
        <v>57</v>
      </c>
      <c r="D37" s="187"/>
      <c r="E37" s="187"/>
      <c r="F37" s="187"/>
      <c r="G37" s="187"/>
      <c r="H37" s="187"/>
      <c r="I37" s="187"/>
      <c r="J37" s="187"/>
      <c r="K37" s="187"/>
      <c r="L37" s="187"/>
      <c r="M37" s="187"/>
      <c r="N37" s="188"/>
      <c r="O37" s="188"/>
      <c r="P37" s="188"/>
    </row>
    <row r="38" spans="1:16" ht="17.25" customHeight="1" outlineLevel="1" x14ac:dyDescent="0.25">
      <c r="A38" s="65" t="s">
        <v>55</v>
      </c>
      <c r="B38" s="66"/>
      <c r="C38" s="35" t="s">
        <v>58</v>
      </c>
      <c r="D38" s="80"/>
      <c r="E38" s="80"/>
      <c r="F38" s="80"/>
      <c r="G38" s="80"/>
      <c r="H38" s="80"/>
      <c r="I38" s="80"/>
      <c r="J38" s="80"/>
      <c r="K38" s="80"/>
      <c r="L38" s="80"/>
      <c r="M38" s="80"/>
      <c r="N38" s="188"/>
      <c r="O38" s="188"/>
      <c r="P38" s="188"/>
    </row>
    <row r="39" spans="1:16" outlineLevel="1" x14ac:dyDescent="0.25">
      <c r="A39" s="65" t="s">
        <v>55</v>
      </c>
      <c r="B39" s="66"/>
      <c r="C39" s="35" t="s">
        <v>59</v>
      </c>
      <c r="D39" s="189"/>
      <c r="E39" s="189"/>
      <c r="F39" s="189"/>
      <c r="G39" s="189"/>
      <c r="H39" s="189"/>
      <c r="I39" s="189"/>
      <c r="J39" s="189"/>
      <c r="K39" s="189"/>
      <c r="L39" s="189"/>
      <c r="M39" s="189"/>
      <c r="N39" s="188"/>
      <c r="O39" s="188"/>
      <c r="P39" s="188"/>
    </row>
    <row r="40" spans="1:16" ht="17.25" customHeight="1" outlineLevel="1" x14ac:dyDescent="0.25">
      <c r="A40" s="65" t="s">
        <v>55</v>
      </c>
      <c r="B40" s="66"/>
      <c r="C40" s="53" t="s">
        <v>60</v>
      </c>
      <c r="D40" s="80"/>
      <c r="E40" s="80"/>
      <c r="F40" s="80"/>
      <c r="G40" s="80"/>
      <c r="H40" s="80"/>
      <c r="I40" s="80"/>
      <c r="J40" s="80"/>
      <c r="K40" s="80"/>
      <c r="L40" s="80"/>
      <c r="M40" s="80"/>
      <c r="N40" s="188"/>
      <c r="O40" s="188"/>
      <c r="P40" s="188"/>
    </row>
    <row r="41" spans="1:16" ht="17.25" customHeight="1" outlineLevel="1" thickBot="1" x14ac:dyDescent="0.3">
      <c r="A41" s="60" t="s">
        <v>55</v>
      </c>
      <c r="B41" s="61"/>
      <c r="C41" s="62" t="s">
        <v>61</v>
      </c>
      <c r="D41" s="190"/>
      <c r="E41" s="190"/>
      <c r="F41" s="191"/>
      <c r="G41" s="190"/>
      <c r="H41" s="190"/>
      <c r="I41" s="190"/>
      <c r="J41" s="190"/>
      <c r="K41" s="190"/>
      <c r="L41" s="190"/>
      <c r="M41" s="190"/>
      <c r="N41" s="186"/>
      <c r="O41" s="186"/>
      <c r="P41" s="186"/>
    </row>
    <row r="42" spans="1:16" x14ac:dyDescent="0.25">
      <c r="A42" s="67"/>
      <c r="B42" s="68"/>
      <c r="C42" s="69" t="s">
        <v>102</v>
      </c>
      <c r="D42" s="70"/>
      <c r="E42" s="70"/>
      <c r="F42" s="209"/>
      <c r="G42" s="70"/>
      <c r="H42" s="70"/>
      <c r="I42" s="70"/>
      <c r="J42" s="70"/>
      <c r="K42" s="70"/>
      <c r="L42" s="70"/>
      <c r="M42" s="70"/>
      <c r="N42" s="70"/>
      <c r="O42" s="70"/>
      <c r="P42" s="70"/>
    </row>
    <row r="43" spans="1:16" x14ac:dyDescent="0.25">
      <c r="A43" s="67"/>
      <c r="B43" s="68"/>
      <c r="C43" s="69" t="s">
        <v>112</v>
      </c>
      <c r="D43" s="209" t="s">
        <v>457</v>
      </c>
      <c r="E43" s="209" t="s">
        <v>458</v>
      </c>
      <c r="F43" s="209" t="s">
        <v>113</v>
      </c>
      <c r="G43" s="209" t="s">
        <v>457</v>
      </c>
      <c r="H43" s="209" t="s">
        <v>457</v>
      </c>
      <c r="I43" s="209" t="s">
        <v>113</v>
      </c>
      <c r="J43" s="209" t="s">
        <v>457</v>
      </c>
      <c r="K43" s="209" t="s">
        <v>652</v>
      </c>
      <c r="L43" s="209" t="s">
        <v>457</v>
      </c>
      <c r="M43" s="209" t="s">
        <v>457</v>
      </c>
      <c r="N43" s="209" t="s">
        <v>457</v>
      </c>
      <c r="O43" s="209" t="s">
        <v>457</v>
      </c>
      <c r="P43" s="209" t="s">
        <v>457</v>
      </c>
    </row>
    <row r="44" spans="1:16" x14ac:dyDescent="0.25">
      <c r="D44" s="487"/>
      <c r="E44" s="487"/>
      <c r="F44" s="487"/>
      <c r="G44" s="487"/>
      <c r="H44" s="487"/>
      <c r="J44" s="487"/>
    </row>
    <row r="58" spans="47:48" x14ac:dyDescent="0.25">
      <c r="AU58" s="199"/>
      <c r="AV58" s="199"/>
    </row>
  </sheetData>
  <mergeCells count="2">
    <mergeCell ref="E5:G5"/>
    <mergeCell ref="E6:G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Q159"/>
  <sheetViews>
    <sheetView zoomScale="70" zoomScaleNormal="70" workbookViewId="0">
      <pane xSplit="5" ySplit="4" topLeftCell="F5" activePane="bottomRight" state="frozen"/>
      <selection activeCell="C52" sqref="C52"/>
      <selection pane="topRight" activeCell="C52" sqref="C52"/>
      <selection pane="bottomLeft" activeCell="C52" sqref="C52"/>
      <selection pane="bottomRight" activeCell="C5" sqref="C5:C89"/>
    </sheetView>
  </sheetViews>
  <sheetFormatPr defaultColWidth="9.140625" defaultRowHeight="33.75" customHeight="1" x14ac:dyDescent="0.25"/>
  <cols>
    <col min="1" max="1" width="8.5703125" style="210" customWidth="1"/>
    <col min="2" max="2" width="6" style="210" customWidth="1"/>
    <col min="3" max="3" width="37.42578125" style="492" customWidth="1"/>
    <col min="4" max="4" width="31.7109375" style="490" customWidth="1"/>
    <col min="5" max="5" width="8.28515625" style="121" bestFit="1" customWidth="1"/>
    <col min="6" max="6" width="14.42578125" style="31" customWidth="1"/>
    <col min="7" max="7" width="9.5703125" style="77" hidden="1" customWidth="1"/>
    <col min="8" max="8" width="10.5703125" style="32" hidden="1" customWidth="1"/>
    <col min="9" max="9" width="6.7109375" style="32" hidden="1" customWidth="1"/>
    <col min="10" max="10" width="12.5703125" style="22" hidden="1" customWidth="1"/>
    <col min="11" max="11" width="8.85546875" style="21" hidden="1" customWidth="1"/>
    <col min="12" max="13" width="11" style="33" hidden="1" customWidth="1"/>
    <col min="14" max="14" width="4.85546875" style="22" hidden="1" customWidth="1"/>
    <col min="15" max="15" width="11.140625" style="78" customWidth="1"/>
    <col min="16" max="17" width="12.42578125" style="28" customWidth="1"/>
    <col min="18" max="18" width="17" style="29" bestFit="1" customWidth="1"/>
    <col min="19" max="19" width="11.140625" style="170" customWidth="1"/>
    <col min="20" max="20" width="13.42578125" style="30" customWidth="1"/>
    <col min="21" max="21" width="11.140625" style="30" customWidth="1"/>
    <col min="22" max="22" width="17" style="29" bestFit="1" customWidth="1"/>
    <col min="23" max="25" width="13" style="29" hidden="1" customWidth="1"/>
    <col min="26" max="26" width="17" style="29" hidden="1" customWidth="1"/>
    <col min="27" max="27" width="12.5703125" style="21" customWidth="1"/>
    <col min="28" max="28" width="13.5703125" style="21" customWidth="1"/>
    <col min="29" max="29" width="9.140625" style="21" customWidth="1"/>
    <col min="30" max="30" width="16.5703125" style="22" customWidth="1"/>
    <col min="31" max="31" width="17.140625" style="22" hidden="1" customWidth="1"/>
    <col min="32" max="33" width="13.5703125" style="22" hidden="1" customWidth="1"/>
    <col min="34" max="34" width="17" style="22" hidden="1" customWidth="1"/>
    <col min="35" max="37" width="13.5703125" style="22" customWidth="1"/>
    <col min="38" max="38" width="17" style="22" bestFit="1" customWidth="1"/>
    <col min="39" max="43" width="13.5703125" style="22" hidden="1" customWidth="1"/>
    <col min="44" max="45" width="13.5703125" style="221" hidden="1" customWidth="1"/>
    <col min="46" max="47" width="13.5703125" style="22" hidden="1" customWidth="1"/>
    <col min="48" max="48" width="19.140625" style="22" hidden="1" customWidth="1"/>
    <col min="49" max="51" width="13.5703125" style="22" hidden="1" customWidth="1"/>
    <col min="52" max="52" width="19.140625" style="22" hidden="1" customWidth="1"/>
    <col min="53" max="55" width="13.5703125" style="22" hidden="1" customWidth="1"/>
    <col min="56" max="56" width="19.140625" style="22" hidden="1" customWidth="1"/>
    <col min="57" max="58" width="13.5703125" style="22" hidden="1" customWidth="1"/>
    <col min="59" max="59" width="15.5703125" style="21" customWidth="1"/>
    <col min="60" max="60" width="13" style="21" customWidth="1"/>
    <col min="61" max="61" width="14.5703125" style="24" customWidth="1"/>
    <col min="62" max="62" width="12.85546875" style="24" customWidth="1"/>
    <col min="63" max="63" width="22.28515625" style="25" customWidth="1"/>
    <col min="64" max="64" width="15.28515625" style="23" customWidth="1"/>
    <col min="65" max="65" width="15.140625" style="26" customWidth="1"/>
    <col min="66" max="66" width="19.5703125" style="27" customWidth="1"/>
    <col min="67" max="67" width="18.28515625" style="24" customWidth="1"/>
    <col min="68" max="68" width="15.5703125" style="24" customWidth="1"/>
    <col min="69" max="69" width="12.42578125" style="1" customWidth="1"/>
    <col min="70" max="16384" width="9.140625" style="1"/>
  </cols>
  <sheetData>
    <row r="1" spans="1:69" ht="17.25" customHeight="1" x14ac:dyDescent="0.25">
      <c r="A1" s="820" t="str">
        <f>CONCATENATE("Price Comparision  Statement  Against Indent ",Form!D2)</f>
        <v>Price Comparision  Statement  Against Indent abcd001</v>
      </c>
      <c r="B1" s="820"/>
      <c r="C1" s="821"/>
      <c r="D1" s="821"/>
      <c r="E1" s="820"/>
      <c r="F1" s="820"/>
      <c r="G1" s="820"/>
      <c r="H1" s="820"/>
      <c r="I1" s="820"/>
      <c r="J1" s="820"/>
      <c r="K1" s="820"/>
      <c r="L1" s="820"/>
      <c r="M1" s="820"/>
      <c r="N1" s="820"/>
      <c r="O1" s="820"/>
      <c r="P1" s="820"/>
      <c r="Q1" s="820"/>
      <c r="R1" s="820"/>
      <c r="S1" s="820"/>
      <c r="T1" s="820"/>
      <c r="U1" s="820"/>
      <c r="V1" s="820"/>
      <c r="W1" s="820"/>
      <c r="X1" s="820"/>
      <c r="Y1" s="820"/>
      <c r="Z1" s="820"/>
      <c r="AA1" s="820"/>
      <c r="AB1" s="820"/>
      <c r="AC1" s="820"/>
      <c r="AD1" s="820"/>
      <c r="AE1" s="820"/>
      <c r="AF1" s="820"/>
      <c r="AG1" s="820"/>
      <c r="AH1" s="820"/>
      <c r="AI1" s="820"/>
      <c r="AJ1" s="820"/>
      <c r="AK1" s="820"/>
      <c r="AL1" s="820"/>
      <c r="AM1" s="820"/>
      <c r="AN1" s="820"/>
      <c r="AO1" s="820"/>
      <c r="AP1" s="820"/>
      <c r="AQ1" s="820"/>
      <c r="AR1" s="820"/>
      <c r="AS1" s="820"/>
      <c r="AT1" s="820"/>
      <c r="AU1" s="820"/>
      <c r="AV1" s="820"/>
      <c r="AW1" s="820"/>
      <c r="AX1" s="820"/>
      <c r="AY1" s="820"/>
      <c r="AZ1" s="820"/>
      <c r="BA1" s="820"/>
      <c r="BB1" s="820"/>
      <c r="BC1" s="820"/>
      <c r="BD1" s="820"/>
      <c r="BE1" s="820"/>
      <c r="BF1" s="820"/>
      <c r="BG1" s="820"/>
      <c r="BH1" s="820"/>
      <c r="BI1" s="820"/>
      <c r="BJ1" s="820"/>
      <c r="BK1" s="820"/>
      <c r="BL1" s="820"/>
      <c r="BM1" s="820"/>
      <c r="BN1" s="820"/>
      <c r="BO1" s="820"/>
      <c r="BP1" s="820"/>
    </row>
    <row r="2" spans="1:69" s="2" customFormat="1" ht="30.75" customHeight="1" x14ac:dyDescent="0.25">
      <c r="A2" s="822" t="s">
        <v>1</v>
      </c>
      <c r="B2" s="823"/>
      <c r="C2" s="824"/>
      <c r="D2" s="824"/>
      <c r="E2" s="823"/>
      <c r="F2" s="85"/>
      <c r="G2" s="825" t="s">
        <v>2</v>
      </c>
      <c r="H2" s="826"/>
      <c r="I2" s="824"/>
      <c r="J2" s="827"/>
      <c r="K2" s="825" t="s">
        <v>62</v>
      </c>
      <c r="L2" s="826"/>
      <c r="M2" s="824"/>
      <c r="N2" s="827"/>
      <c r="O2" s="825" t="s">
        <v>560</v>
      </c>
      <c r="P2" s="826"/>
      <c r="Q2" s="824"/>
      <c r="R2" s="827"/>
      <c r="S2" s="825" t="s">
        <v>567</v>
      </c>
      <c r="T2" s="826"/>
      <c r="U2" s="824"/>
      <c r="V2" s="827"/>
      <c r="W2" s="825" t="s">
        <v>633</v>
      </c>
      <c r="X2" s="826"/>
      <c r="Y2" s="824"/>
      <c r="Z2" s="827"/>
      <c r="AA2" s="825" t="s">
        <v>115</v>
      </c>
      <c r="AB2" s="826"/>
      <c r="AC2" s="826"/>
      <c r="AD2" s="827"/>
      <c r="AE2" s="825" t="s">
        <v>117</v>
      </c>
      <c r="AF2" s="826"/>
      <c r="AG2" s="824"/>
      <c r="AH2" s="827"/>
      <c r="AI2" s="825" t="s">
        <v>473</v>
      </c>
      <c r="AJ2" s="826"/>
      <c r="AK2" s="824"/>
      <c r="AL2" s="827"/>
      <c r="AM2" s="836" t="s">
        <v>631</v>
      </c>
      <c r="AN2" s="836"/>
      <c r="AO2" s="836"/>
      <c r="AP2" s="836"/>
      <c r="AQ2" s="804" t="s">
        <v>635</v>
      </c>
      <c r="AR2" s="804"/>
      <c r="AS2" s="837"/>
      <c r="AT2" s="825"/>
      <c r="AU2" s="804" t="s">
        <v>472</v>
      </c>
      <c r="AV2" s="804"/>
      <c r="AW2" s="805"/>
      <c r="AX2" s="804"/>
      <c r="AY2" s="804" t="s">
        <v>637</v>
      </c>
      <c r="AZ2" s="804"/>
      <c r="BA2" s="805"/>
      <c r="BB2" s="804"/>
      <c r="BC2" s="804" t="s">
        <v>638</v>
      </c>
      <c r="BD2" s="804"/>
      <c r="BE2" s="805"/>
      <c r="BF2" s="804"/>
      <c r="BG2" s="828" t="s">
        <v>3</v>
      </c>
      <c r="BH2" s="829"/>
      <c r="BI2" s="829"/>
      <c r="BJ2" s="830" t="s">
        <v>4</v>
      </c>
      <c r="BK2" s="831"/>
      <c r="BL2" s="831"/>
      <c r="BM2" s="832"/>
      <c r="BN2" s="833" t="s">
        <v>5</v>
      </c>
      <c r="BO2" s="834"/>
      <c r="BP2" s="835"/>
    </row>
    <row r="3" spans="1:69" s="508" customFormat="1" ht="27.75" customHeight="1" x14ac:dyDescent="0.2">
      <c r="A3" s="494"/>
      <c r="B3" s="495"/>
      <c r="C3" s="496"/>
      <c r="D3" s="495"/>
      <c r="E3" s="495"/>
      <c r="F3" s="497"/>
      <c r="G3" s="498"/>
      <c r="H3" s="499" t="s">
        <v>66</v>
      </c>
      <c r="I3" s="499"/>
      <c r="J3" s="500"/>
      <c r="K3" s="498"/>
      <c r="L3" s="499" t="s">
        <v>67</v>
      </c>
      <c r="M3" s="499"/>
      <c r="N3" s="500"/>
      <c r="O3" s="498"/>
      <c r="P3" s="499" t="s">
        <v>560</v>
      </c>
      <c r="Q3" s="499"/>
      <c r="R3" s="500"/>
      <c r="S3" s="498"/>
      <c r="T3" s="499" t="s">
        <v>566</v>
      </c>
      <c r="U3" s="499"/>
      <c r="V3" s="500"/>
      <c r="W3" s="498"/>
      <c r="X3" s="499" t="s">
        <v>634</v>
      </c>
      <c r="Y3" s="499"/>
      <c r="Z3" s="500"/>
      <c r="AA3" s="498"/>
      <c r="AB3" s="499" t="s">
        <v>116</v>
      </c>
      <c r="AC3" s="499"/>
      <c r="AD3" s="500"/>
      <c r="AE3" s="498"/>
      <c r="AF3" s="499" t="s">
        <v>118</v>
      </c>
      <c r="AG3" s="499"/>
      <c r="AH3" s="500"/>
      <c r="AI3" s="498"/>
      <c r="AJ3" s="499" t="s">
        <v>471</v>
      </c>
      <c r="AK3" s="499"/>
      <c r="AL3" s="500"/>
      <c r="AM3" s="498"/>
      <c r="AN3" s="499" t="s">
        <v>632</v>
      </c>
      <c r="AO3" s="499"/>
      <c r="AP3" s="500"/>
      <c r="AQ3" s="498"/>
      <c r="AR3" s="499" t="s">
        <v>636</v>
      </c>
      <c r="AS3" s="499"/>
      <c r="AT3" s="500"/>
      <c r="AU3" s="498"/>
      <c r="AV3" s="499" t="s">
        <v>472</v>
      </c>
      <c r="AW3" s="499"/>
      <c r="AX3" s="500"/>
      <c r="AY3" s="498"/>
      <c r="AZ3" s="499" t="s">
        <v>639</v>
      </c>
      <c r="BA3" s="499"/>
      <c r="BB3" s="500"/>
      <c r="BC3" s="498"/>
      <c r="BD3" s="499" t="s">
        <v>640</v>
      </c>
      <c r="BE3" s="499"/>
      <c r="BF3" s="500"/>
      <c r="BG3" s="501"/>
      <c r="BH3" s="501"/>
      <c r="BI3" s="501"/>
      <c r="BJ3" s="502"/>
      <c r="BK3" s="503"/>
      <c r="BL3" s="503"/>
      <c r="BM3" s="504"/>
      <c r="BN3" s="505"/>
      <c r="BO3" s="506"/>
      <c r="BP3" s="507"/>
    </row>
    <row r="4" spans="1:69" s="4" customFormat="1" ht="96.75" customHeight="1" x14ac:dyDescent="0.25">
      <c r="A4" s="72" t="s">
        <v>6</v>
      </c>
      <c r="B4" s="72" t="s">
        <v>7</v>
      </c>
      <c r="C4" s="72" t="s">
        <v>8</v>
      </c>
      <c r="D4" s="72" t="s">
        <v>0</v>
      </c>
      <c r="E4" s="72" t="s">
        <v>9</v>
      </c>
      <c r="F4" s="87" t="s">
        <v>71</v>
      </c>
      <c r="G4" s="74" t="s">
        <v>10</v>
      </c>
      <c r="H4" s="74" t="s">
        <v>72</v>
      </c>
      <c r="I4" s="425"/>
      <c r="J4" s="3" t="s">
        <v>11</v>
      </c>
      <c r="K4" s="74" t="s">
        <v>10</v>
      </c>
      <c r="L4" s="74" t="s">
        <v>72</v>
      </c>
      <c r="M4" s="425"/>
      <c r="N4" s="3" t="s">
        <v>11</v>
      </c>
      <c r="O4" s="74" t="s">
        <v>10</v>
      </c>
      <c r="P4" s="74" t="s">
        <v>72</v>
      </c>
      <c r="Q4" s="425"/>
      <c r="R4" s="3" t="s">
        <v>11</v>
      </c>
      <c r="S4" s="74" t="s">
        <v>10</v>
      </c>
      <c r="T4" s="74" t="s">
        <v>72</v>
      </c>
      <c r="U4" s="425"/>
      <c r="V4" s="3" t="s">
        <v>11</v>
      </c>
      <c r="W4" s="74" t="s">
        <v>10</v>
      </c>
      <c r="X4" s="74" t="s">
        <v>72</v>
      </c>
      <c r="Y4" s="425"/>
      <c r="Z4" s="3" t="s">
        <v>11</v>
      </c>
      <c r="AA4" s="74" t="s">
        <v>10</v>
      </c>
      <c r="AB4" s="74" t="s">
        <v>474</v>
      </c>
      <c r="AC4" s="425"/>
      <c r="AD4" s="3" t="s">
        <v>630</v>
      </c>
      <c r="AE4" s="74" t="s">
        <v>10</v>
      </c>
      <c r="AF4" s="74" t="s">
        <v>72</v>
      </c>
      <c r="AG4" s="425"/>
      <c r="AH4" s="3" t="s">
        <v>11</v>
      </c>
      <c r="AI4" s="74" t="s">
        <v>10</v>
      </c>
      <c r="AJ4" s="74" t="s">
        <v>474</v>
      </c>
      <c r="AK4" s="425"/>
      <c r="AL4" s="3" t="s">
        <v>11</v>
      </c>
      <c r="AM4" s="74" t="s">
        <v>10</v>
      </c>
      <c r="AN4" s="74" t="s">
        <v>72</v>
      </c>
      <c r="AO4" s="425"/>
      <c r="AP4" s="3" t="s">
        <v>11</v>
      </c>
      <c r="AQ4" s="74" t="s">
        <v>10</v>
      </c>
      <c r="AR4" s="74" t="s">
        <v>72</v>
      </c>
      <c r="AS4" s="425"/>
      <c r="AT4" s="3" t="s">
        <v>11</v>
      </c>
      <c r="AU4" s="74" t="s">
        <v>10</v>
      </c>
      <c r="AV4" s="74" t="s">
        <v>576</v>
      </c>
      <c r="AW4" s="425"/>
      <c r="AX4" s="3" t="s">
        <v>11</v>
      </c>
      <c r="AY4" s="74" t="s">
        <v>10</v>
      </c>
      <c r="AZ4" s="74" t="s">
        <v>576</v>
      </c>
      <c r="BA4" s="425"/>
      <c r="BB4" s="3" t="s">
        <v>11</v>
      </c>
      <c r="BC4" s="74" t="s">
        <v>10</v>
      </c>
      <c r="BD4" s="74" t="s">
        <v>576</v>
      </c>
      <c r="BE4" s="425"/>
      <c r="BF4" s="3" t="s">
        <v>11</v>
      </c>
      <c r="BG4" s="88" t="s">
        <v>12</v>
      </c>
      <c r="BH4" s="86" t="s">
        <v>13</v>
      </c>
      <c r="BI4" s="86" t="s">
        <v>14</v>
      </c>
      <c r="BJ4" s="86" t="s">
        <v>73</v>
      </c>
      <c r="BK4" s="89" t="s">
        <v>15</v>
      </c>
      <c r="BL4" s="90" t="s">
        <v>16</v>
      </c>
      <c r="BM4" s="86" t="s">
        <v>573</v>
      </c>
      <c r="BN4" s="86" t="s">
        <v>574</v>
      </c>
      <c r="BO4" s="86" t="s">
        <v>575</v>
      </c>
      <c r="BP4" s="87" t="s">
        <v>74</v>
      </c>
      <c r="BQ4" s="4" t="s">
        <v>328</v>
      </c>
    </row>
    <row r="5" spans="1:69" s="4" customFormat="1" ht="33.75" customHeight="1" x14ac:dyDescent="0.2">
      <c r="A5" s="192">
        <v>1</v>
      </c>
      <c r="B5" s="754">
        <v>1</v>
      </c>
      <c r="C5" s="755" t="s">
        <v>669</v>
      </c>
      <c r="D5" s="755" t="s">
        <v>589</v>
      </c>
      <c r="E5" s="754">
        <v>7</v>
      </c>
      <c r="F5" s="754">
        <v>7</v>
      </c>
      <c r="G5" s="193"/>
      <c r="H5" s="194"/>
      <c r="I5" s="194"/>
      <c r="J5" s="5"/>
      <c r="K5" s="193"/>
      <c r="L5" s="194"/>
      <c r="M5" s="194"/>
      <c r="N5" s="5"/>
      <c r="O5" s="757">
        <v>7</v>
      </c>
      <c r="P5" s="758">
        <v>15.9</v>
      </c>
      <c r="Q5" s="194"/>
      <c r="R5" s="5">
        <f>IF(P5="TEC Rejected","",IF(P5="","",P5*IF(O5="",$E5,O5)))</f>
        <v>111.3</v>
      </c>
      <c r="S5" s="759">
        <v>7</v>
      </c>
      <c r="T5" s="758">
        <v>27.5</v>
      </c>
      <c r="U5" s="194"/>
      <c r="V5" s="5">
        <f>IF(T5="TEC Rejected","",IF(T5="","",T5*IF(S5="",$E5,S5)))</f>
        <v>192.5</v>
      </c>
      <c r="W5" s="193"/>
      <c r="X5" s="194"/>
      <c r="Y5" s="194"/>
      <c r="Z5" s="5" t="str">
        <f>IF(X5="TEC Rejected","",IF(X5="","",X5*IF(W5="",$E5,W5)))</f>
        <v/>
      </c>
      <c r="AA5" s="759">
        <v>7</v>
      </c>
      <c r="AB5" s="758">
        <v>915</v>
      </c>
      <c r="AC5" s="194"/>
      <c r="AD5" s="5">
        <f>IF(AB5="TEC Rejected","",IF(AB5="","",AB5*IF(AA5="",$E5,AA5)))</f>
        <v>6405</v>
      </c>
      <c r="AE5" s="681"/>
      <c r="AF5" s="681"/>
      <c r="AG5" s="194"/>
      <c r="AH5" s="5" t="str">
        <f>IF(AF5="TEC Rejected","",IF(AF5="","",AF5*IF(AE5="",$E5,AE5)))</f>
        <v/>
      </c>
      <c r="AI5" s="757"/>
      <c r="AJ5" s="759"/>
      <c r="AK5" s="194"/>
      <c r="AL5" s="5" t="str">
        <f>IF(AJ5="TEC Rejected","",IF(AJ5="","",AJ5*IF(AI5="",$E5,AI5)))</f>
        <v/>
      </c>
      <c r="AM5" s="193"/>
      <c r="AN5" s="194"/>
      <c r="AO5" s="194"/>
      <c r="AP5" s="5" t="str">
        <f>IF(AN5="TEC Rejected","",IF(AN5="","",AN5*IF(AM5="",$E5,AM5)))</f>
        <v/>
      </c>
      <c r="AQ5" s="193"/>
      <c r="AR5" s="219"/>
      <c r="AS5" s="219"/>
      <c r="AT5" s="5" t="str">
        <f t="shared" ref="AT5:AT68" si="0">IF(AR5="TEC Rejected","",IF(AR5="","",AR5*IF(AQ5="",$E5,AQ5)))</f>
        <v/>
      </c>
      <c r="AU5" s="193"/>
      <c r="AV5" s="194"/>
      <c r="AW5" s="194"/>
      <c r="AX5" s="5" t="str">
        <f>IF(AV5="TEC Rejected","",IF(AV5="","",AV5*IF(AU5="",$E5,AU5)))</f>
        <v/>
      </c>
      <c r="AY5" s="193"/>
      <c r="AZ5" s="194"/>
      <c r="BA5" s="194"/>
      <c r="BB5" s="5" t="str">
        <f>IF(AZ5="TEC Rejected","",IF(AZ5="","",AZ5*IF(AY5="",$E5,AY5)))</f>
        <v/>
      </c>
      <c r="BC5" s="193"/>
      <c r="BD5" s="194"/>
      <c r="BE5" s="194"/>
      <c r="BF5" s="5" t="str">
        <f>IF(BD5="TEC Rejected","",IF(BD5="","",BD5*IF(BC5="",$E5,BC5)))</f>
        <v/>
      </c>
      <c r="BG5" s="6"/>
      <c r="BH5" s="7"/>
      <c r="BI5" s="8"/>
      <c r="BJ5" s="195"/>
      <c r="BK5" s="196"/>
      <c r="BL5" s="197"/>
      <c r="BM5" s="198"/>
      <c r="BN5" s="8"/>
      <c r="BO5" s="8"/>
      <c r="BP5" s="9"/>
    </row>
    <row r="6" spans="1:69" s="4" customFormat="1" ht="33.75" customHeight="1" x14ac:dyDescent="0.2">
      <c r="A6" s="192">
        <v>2</v>
      </c>
      <c r="B6" s="754">
        <v>2</v>
      </c>
      <c r="C6" s="756" t="s">
        <v>670</v>
      </c>
      <c r="D6" s="756" t="s">
        <v>590</v>
      </c>
      <c r="E6" s="754">
        <v>38</v>
      </c>
      <c r="F6" s="754">
        <v>38</v>
      </c>
      <c r="G6" s="193"/>
      <c r="H6" s="194"/>
      <c r="I6" s="194"/>
      <c r="J6" s="5"/>
      <c r="K6" s="193"/>
      <c r="L6" s="194"/>
      <c r="M6" s="194"/>
      <c r="N6" s="5"/>
      <c r="O6" s="757">
        <v>38</v>
      </c>
      <c r="P6" s="758">
        <v>17.100000000000001</v>
      </c>
      <c r="Q6" s="194"/>
      <c r="R6" s="5">
        <f t="shared" ref="R6:R69" si="1">IF(P6="TEC Rejected","",IF(P6="","",P6*IF(O6="",$E6,O6)))</f>
        <v>649.80000000000007</v>
      </c>
      <c r="S6" s="759">
        <v>38</v>
      </c>
      <c r="T6" s="758">
        <v>27.5</v>
      </c>
      <c r="U6" s="194"/>
      <c r="V6" s="5">
        <f t="shared" ref="V6:V69" si="2">IF(T6="TEC Rejected","",IF(T6="","",T6*IF(S6="",$E6,S6)))</f>
        <v>1045</v>
      </c>
      <c r="W6" s="193"/>
      <c r="X6" s="194"/>
      <c r="Y6" s="194"/>
      <c r="Z6" s="5" t="str">
        <f t="shared" ref="Z6:Z69" si="3">IF(X6="TEC Rejected","",IF(X6="","",X6*IF(W6="",$E6,W6)))</f>
        <v/>
      </c>
      <c r="AA6" s="759">
        <v>38</v>
      </c>
      <c r="AB6" s="758">
        <v>915</v>
      </c>
      <c r="AC6" s="194"/>
      <c r="AD6" s="5">
        <f t="shared" ref="AD6:AD69" si="4">IF(AB6="TEC Rejected","",IF(AB6="","",AB6*IF(AA6="",$E6,AA6)))</f>
        <v>34770</v>
      </c>
      <c r="AE6" s="681"/>
      <c r="AF6" s="681"/>
      <c r="AG6" s="194"/>
      <c r="AH6" s="5" t="str">
        <f t="shared" ref="AH6:AH69" si="5">IF(AF6="TEC Rejected","",IF(AF6="","",AF6*IF(AE6="",$E6,AE6)))</f>
        <v/>
      </c>
      <c r="AI6" s="757"/>
      <c r="AJ6" s="759"/>
      <c r="AK6" s="194"/>
      <c r="AL6" s="5" t="str">
        <f t="shared" ref="AL6:AL69" si="6">IF(AJ6="TEC Rejected","",IF(AJ6="","",AJ6*IF(AI6="",$E6,AI6)))</f>
        <v/>
      </c>
      <c r="AM6" s="193"/>
      <c r="AN6" s="194"/>
      <c r="AO6" s="194"/>
      <c r="AP6" s="5" t="str">
        <f t="shared" ref="AP6:AP69" si="7">IF(AN6="TEC Rejected","",IF(AN6="","",AN6*IF(AM6="",$E6,AM6)))</f>
        <v/>
      </c>
      <c r="AQ6" s="193"/>
      <c r="AR6" s="219"/>
      <c r="AS6" s="219"/>
      <c r="AT6" s="5" t="str">
        <f t="shared" si="0"/>
        <v/>
      </c>
      <c r="AU6" s="193"/>
      <c r="AV6" s="194"/>
      <c r="AW6" s="194"/>
      <c r="AX6" s="5" t="str">
        <f t="shared" ref="AX6:AX69" si="8">IF(AV6="TEC Rejected","",IF(AV6="","",AV6*IF(AU6="",$E6,AU6)))</f>
        <v/>
      </c>
      <c r="AY6" s="193"/>
      <c r="AZ6" s="194"/>
      <c r="BA6" s="194"/>
      <c r="BB6" s="5" t="str">
        <f t="shared" ref="BB6:BB69" si="9">IF(AZ6="TEC Rejected","",IF(AZ6="","",AZ6*IF(AY6="",$E6,AY6)))</f>
        <v/>
      </c>
      <c r="BC6" s="193"/>
      <c r="BD6" s="194"/>
      <c r="BE6" s="194"/>
      <c r="BF6" s="5" t="str">
        <f t="shared" ref="BF6:BF69" si="10">IF(BD6="TEC Rejected","",IF(BD6="","",BD6*IF(BC6="",$E6,BC6)))</f>
        <v/>
      </c>
      <c r="BG6" s="6"/>
      <c r="BH6" s="7"/>
      <c r="BI6" s="8"/>
      <c r="BJ6" s="195"/>
      <c r="BK6" s="196"/>
      <c r="BL6" s="197"/>
      <c r="BM6" s="198"/>
      <c r="BN6" s="8"/>
      <c r="BO6" s="8"/>
      <c r="BP6" s="9"/>
    </row>
    <row r="7" spans="1:69" s="4" customFormat="1" ht="33.75" customHeight="1" x14ac:dyDescent="0.2">
      <c r="A7" s="192">
        <v>3</v>
      </c>
      <c r="B7" s="754">
        <v>3</v>
      </c>
      <c r="C7" s="755" t="s">
        <v>671</v>
      </c>
      <c r="D7" s="755" t="s">
        <v>591</v>
      </c>
      <c r="E7" s="754">
        <v>12</v>
      </c>
      <c r="F7" s="754">
        <v>12</v>
      </c>
      <c r="G7" s="193"/>
      <c r="H7" s="194"/>
      <c r="I7" s="194"/>
      <c r="J7" s="5"/>
      <c r="K7" s="193"/>
      <c r="L7" s="194"/>
      <c r="M7" s="194"/>
      <c r="N7" s="5"/>
      <c r="O7" s="757">
        <v>12</v>
      </c>
      <c r="P7" s="758">
        <v>16.5</v>
      </c>
      <c r="Q7" s="194"/>
      <c r="R7" s="5">
        <f t="shared" si="1"/>
        <v>198</v>
      </c>
      <c r="S7" s="759">
        <v>12</v>
      </c>
      <c r="T7" s="758">
        <v>22</v>
      </c>
      <c r="U7" s="194"/>
      <c r="V7" s="5">
        <f t="shared" si="2"/>
        <v>264</v>
      </c>
      <c r="W7" s="193"/>
      <c r="X7" s="194"/>
      <c r="Y7" s="194"/>
      <c r="Z7" s="5" t="str">
        <f t="shared" si="3"/>
        <v/>
      </c>
      <c r="AA7" s="759">
        <v>12</v>
      </c>
      <c r="AB7" s="758">
        <v>915</v>
      </c>
      <c r="AC7" s="194"/>
      <c r="AD7" s="5">
        <f t="shared" si="4"/>
        <v>10980</v>
      </c>
      <c r="AE7" s="681"/>
      <c r="AF7" s="681"/>
      <c r="AG7" s="194"/>
      <c r="AH7" s="5" t="str">
        <f t="shared" si="5"/>
        <v/>
      </c>
      <c r="AI7" s="757"/>
      <c r="AJ7" s="759"/>
      <c r="AK7" s="194"/>
      <c r="AL7" s="5" t="str">
        <f t="shared" si="6"/>
        <v/>
      </c>
      <c r="AM7" s="193"/>
      <c r="AN7" s="194"/>
      <c r="AO7" s="194"/>
      <c r="AP7" s="5" t="str">
        <f t="shared" si="7"/>
        <v/>
      </c>
      <c r="AQ7" s="193"/>
      <c r="AR7" s="219"/>
      <c r="AS7" s="219"/>
      <c r="AT7" s="5" t="str">
        <f t="shared" si="0"/>
        <v/>
      </c>
      <c r="AU7" s="193"/>
      <c r="AV7" s="194"/>
      <c r="AW7" s="194"/>
      <c r="AX7" s="5" t="str">
        <f t="shared" si="8"/>
        <v/>
      </c>
      <c r="AY7" s="193"/>
      <c r="AZ7" s="194"/>
      <c r="BA7" s="194"/>
      <c r="BB7" s="5" t="str">
        <f t="shared" si="9"/>
        <v/>
      </c>
      <c r="BC7" s="193"/>
      <c r="BD7" s="194"/>
      <c r="BE7" s="194"/>
      <c r="BF7" s="5" t="str">
        <f t="shared" si="10"/>
        <v/>
      </c>
      <c r="BG7" s="6"/>
      <c r="BH7" s="7"/>
      <c r="BI7" s="8"/>
      <c r="BJ7" s="195"/>
      <c r="BK7" s="196"/>
      <c r="BL7" s="197"/>
      <c r="BM7" s="198"/>
      <c r="BN7" s="8"/>
      <c r="BO7" s="8"/>
      <c r="BP7" s="9"/>
    </row>
    <row r="8" spans="1:69" s="4" customFormat="1" ht="33.75" customHeight="1" x14ac:dyDescent="0.2">
      <c r="A8" s="192">
        <v>4</v>
      </c>
      <c r="B8" s="754">
        <v>4</v>
      </c>
      <c r="C8" s="756" t="s">
        <v>672</v>
      </c>
      <c r="D8" s="755" t="s">
        <v>461</v>
      </c>
      <c r="E8" s="754">
        <v>10</v>
      </c>
      <c r="F8" s="754">
        <v>10</v>
      </c>
      <c r="G8" s="193"/>
      <c r="H8" s="194"/>
      <c r="I8" s="194"/>
      <c r="J8" s="5"/>
      <c r="K8" s="193"/>
      <c r="L8" s="194"/>
      <c r="M8" s="194"/>
      <c r="N8" s="5"/>
      <c r="O8" s="757">
        <v>10</v>
      </c>
      <c r="P8" s="758">
        <v>12.6</v>
      </c>
      <c r="Q8" s="194"/>
      <c r="R8" s="5">
        <f t="shared" si="1"/>
        <v>126</v>
      </c>
      <c r="S8" s="759">
        <v>10</v>
      </c>
      <c r="T8" s="758">
        <v>27.5</v>
      </c>
      <c r="U8" s="194"/>
      <c r="V8" s="5">
        <f t="shared" si="2"/>
        <v>275</v>
      </c>
      <c r="W8" s="193"/>
      <c r="X8" s="194"/>
      <c r="Y8" s="194"/>
      <c r="Z8" s="5" t="str">
        <f t="shared" si="3"/>
        <v/>
      </c>
      <c r="AA8" s="759">
        <v>10</v>
      </c>
      <c r="AB8" s="758">
        <v>1215</v>
      </c>
      <c r="AC8" s="194"/>
      <c r="AD8" s="5">
        <f t="shared" si="4"/>
        <v>12150</v>
      </c>
      <c r="AE8" s="681"/>
      <c r="AF8" s="681"/>
      <c r="AG8" s="194"/>
      <c r="AH8" s="5" t="str">
        <f t="shared" si="5"/>
        <v/>
      </c>
      <c r="AI8" s="757"/>
      <c r="AJ8" s="759"/>
      <c r="AK8" s="194"/>
      <c r="AL8" s="5" t="str">
        <f t="shared" si="6"/>
        <v/>
      </c>
      <c r="AM8" s="193"/>
      <c r="AN8" s="194"/>
      <c r="AO8" s="194"/>
      <c r="AP8" s="5" t="str">
        <f t="shared" si="7"/>
        <v/>
      </c>
      <c r="AQ8" s="193"/>
      <c r="AR8" s="219"/>
      <c r="AS8" s="219"/>
      <c r="AT8" s="5" t="str">
        <f t="shared" si="0"/>
        <v/>
      </c>
      <c r="AU8" s="193"/>
      <c r="AV8" s="194"/>
      <c r="AW8" s="194"/>
      <c r="AX8" s="5" t="str">
        <f t="shared" si="8"/>
        <v/>
      </c>
      <c r="AY8" s="193"/>
      <c r="AZ8" s="194"/>
      <c r="BA8" s="194"/>
      <c r="BB8" s="5" t="str">
        <f t="shared" si="9"/>
        <v/>
      </c>
      <c r="BC8" s="193"/>
      <c r="BD8" s="194"/>
      <c r="BE8" s="194"/>
      <c r="BF8" s="5" t="str">
        <f t="shared" si="10"/>
        <v/>
      </c>
      <c r="BG8" s="6"/>
      <c r="BH8" s="7"/>
      <c r="BI8" s="8"/>
      <c r="BJ8" s="195"/>
      <c r="BK8" s="196"/>
      <c r="BL8" s="197"/>
      <c r="BM8" s="198"/>
      <c r="BN8" s="8"/>
      <c r="BO8" s="8"/>
      <c r="BP8" s="9"/>
    </row>
    <row r="9" spans="1:69" s="4" customFormat="1" ht="33.75" customHeight="1" x14ac:dyDescent="0.2">
      <c r="A9" s="192">
        <v>5</v>
      </c>
      <c r="B9" s="754">
        <v>5</v>
      </c>
      <c r="C9" s="755" t="s">
        <v>673</v>
      </c>
      <c r="D9" s="755" t="s">
        <v>591</v>
      </c>
      <c r="E9" s="754">
        <v>9</v>
      </c>
      <c r="F9" s="754">
        <v>9</v>
      </c>
      <c r="G9" s="193"/>
      <c r="H9" s="194"/>
      <c r="I9" s="194"/>
      <c r="J9" s="5"/>
      <c r="K9" s="193"/>
      <c r="L9" s="194"/>
      <c r="M9" s="194"/>
      <c r="N9" s="5"/>
      <c r="O9" s="757">
        <v>9</v>
      </c>
      <c r="P9" s="758">
        <v>15</v>
      </c>
      <c r="Q9" s="194"/>
      <c r="R9" s="5">
        <f t="shared" si="1"/>
        <v>135</v>
      </c>
      <c r="S9" s="759">
        <v>9</v>
      </c>
      <c r="T9" s="758">
        <v>33</v>
      </c>
      <c r="U9" s="194"/>
      <c r="V9" s="5">
        <f t="shared" si="2"/>
        <v>297</v>
      </c>
      <c r="W9" s="193"/>
      <c r="X9" s="194"/>
      <c r="Y9" s="194"/>
      <c r="Z9" s="5" t="str">
        <f t="shared" si="3"/>
        <v/>
      </c>
      <c r="AA9" s="759">
        <v>9</v>
      </c>
      <c r="AB9" s="758">
        <v>915</v>
      </c>
      <c r="AC9" s="194"/>
      <c r="AD9" s="5">
        <f t="shared" si="4"/>
        <v>8235</v>
      </c>
      <c r="AE9" s="681"/>
      <c r="AF9" s="681"/>
      <c r="AG9" s="194"/>
      <c r="AH9" s="5" t="str">
        <f t="shared" si="5"/>
        <v/>
      </c>
      <c r="AI9" s="757"/>
      <c r="AJ9" s="759"/>
      <c r="AK9" s="194"/>
      <c r="AL9" s="5" t="str">
        <f t="shared" si="6"/>
        <v/>
      </c>
      <c r="AM9" s="193"/>
      <c r="AN9" s="194"/>
      <c r="AO9" s="194"/>
      <c r="AP9" s="5" t="str">
        <f t="shared" si="7"/>
        <v/>
      </c>
      <c r="AQ9" s="193"/>
      <c r="AR9" s="219"/>
      <c r="AS9" s="219"/>
      <c r="AT9" s="5" t="str">
        <f t="shared" si="0"/>
        <v/>
      </c>
      <c r="AU9" s="193"/>
      <c r="AV9" s="194"/>
      <c r="AW9" s="194"/>
      <c r="AX9" s="5" t="str">
        <f t="shared" si="8"/>
        <v/>
      </c>
      <c r="AY9" s="193"/>
      <c r="AZ9" s="194"/>
      <c r="BA9" s="194"/>
      <c r="BB9" s="5" t="str">
        <f t="shared" si="9"/>
        <v/>
      </c>
      <c r="BC9" s="193"/>
      <c r="BD9" s="194"/>
      <c r="BE9" s="194"/>
      <c r="BF9" s="5" t="str">
        <f t="shared" si="10"/>
        <v/>
      </c>
      <c r="BG9" s="6"/>
      <c r="BH9" s="7"/>
      <c r="BI9" s="8"/>
      <c r="BJ9" s="195"/>
      <c r="BK9" s="196"/>
      <c r="BL9" s="197"/>
      <c r="BM9" s="198"/>
      <c r="BN9" s="8"/>
      <c r="BO9" s="8"/>
      <c r="BP9" s="9"/>
    </row>
    <row r="10" spans="1:69" s="4" customFormat="1" ht="33.75" customHeight="1" x14ac:dyDescent="0.2">
      <c r="A10" s="192">
        <v>6</v>
      </c>
      <c r="B10" s="754">
        <v>6</v>
      </c>
      <c r="C10" s="756" t="s">
        <v>674</v>
      </c>
      <c r="D10" s="755" t="s">
        <v>123</v>
      </c>
      <c r="E10" s="754">
        <v>11</v>
      </c>
      <c r="F10" s="754">
        <v>11</v>
      </c>
      <c r="G10" s="193"/>
      <c r="H10" s="194"/>
      <c r="I10" s="194"/>
      <c r="J10" s="5"/>
      <c r="K10" s="193"/>
      <c r="L10" s="194"/>
      <c r="M10" s="194"/>
      <c r="N10" s="5"/>
      <c r="O10" s="757">
        <v>11</v>
      </c>
      <c r="P10" s="758">
        <v>3</v>
      </c>
      <c r="Q10" s="194"/>
      <c r="R10" s="5">
        <f t="shared" si="1"/>
        <v>33</v>
      </c>
      <c r="S10" s="759">
        <v>11</v>
      </c>
      <c r="T10" s="758">
        <v>16.5</v>
      </c>
      <c r="U10" s="194"/>
      <c r="V10" s="5">
        <f t="shared" si="2"/>
        <v>181.5</v>
      </c>
      <c r="W10" s="193"/>
      <c r="X10" s="194"/>
      <c r="Y10" s="194"/>
      <c r="Z10" s="5" t="str">
        <f t="shared" si="3"/>
        <v/>
      </c>
      <c r="AA10" s="759">
        <v>11</v>
      </c>
      <c r="AB10" s="758">
        <v>165</v>
      </c>
      <c r="AC10" s="194"/>
      <c r="AD10" s="5">
        <f t="shared" si="4"/>
        <v>1815</v>
      </c>
      <c r="AE10" s="681"/>
      <c r="AF10" s="681"/>
      <c r="AG10" s="194"/>
      <c r="AH10" s="5" t="str">
        <f t="shared" si="5"/>
        <v/>
      </c>
      <c r="AI10" s="757"/>
      <c r="AJ10" s="759"/>
      <c r="AK10" s="194"/>
      <c r="AL10" s="5" t="str">
        <f t="shared" si="6"/>
        <v/>
      </c>
      <c r="AM10" s="193"/>
      <c r="AN10" s="194"/>
      <c r="AO10" s="194"/>
      <c r="AP10" s="5" t="str">
        <f t="shared" si="7"/>
        <v/>
      </c>
      <c r="AQ10" s="193"/>
      <c r="AR10" s="219"/>
      <c r="AS10" s="219"/>
      <c r="AT10" s="5" t="str">
        <f t="shared" si="0"/>
        <v/>
      </c>
      <c r="AU10" s="193"/>
      <c r="AV10" s="194"/>
      <c r="AW10" s="194"/>
      <c r="AX10" s="5" t="str">
        <f t="shared" si="8"/>
        <v/>
      </c>
      <c r="AY10" s="193"/>
      <c r="AZ10" s="194"/>
      <c r="BA10" s="194"/>
      <c r="BB10" s="5" t="str">
        <f t="shared" si="9"/>
        <v/>
      </c>
      <c r="BC10" s="193"/>
      <c r="BD10" s="194"/>
      <c r="BE10" s="194"/>
      <c r="BF10" s="5" t="str">
        <f t="shared" si="10"/>
        <v/>
      </c>
      <c r="BG10" s="6"/>
      <c r="BH10" s="7"/>
      <c r="BI10" s="8"/>
      <c r="BJ10" s="195"/>
      <c r="BK10" s="196"/>
      <c r="BL10" s="197"/>
      <c r="BM10" s="198"/>
      <c r="BN10" s="8"/>
      <c r="BO10" s="8"/>
      <c r="BP10" s="9"/>
    </row>
    <row r="11" spans="1:69" s="4" customFormat="1" ht="33.75" customHeight="1" x14ac:dyDescent="0.2">
      <c r="A11" s="192">
        <v>7</v>
      </c>
      <c r="B11" s="754">
        <v>7</v>
      </c>
      <c r="C11" s="755" t="s">
        <v>675</v>
      </c>
      <c r="D11" s="755" t="s">
        <v>124</v>
      </c>
      <c r="E11" s="754">
        <v>6</v>
      </c>
      <c r="F11" s="754">
        <v>6</v>
      </c>
      <c r="G11" s="193"/>
      <c r="H11" s="194"/>
      <c r="I11" s="194"/>
      <c r="J11" s="5"/>
      <c r="K11" s="193"/>
      <c r="L11" s="194"/>
      <c r="M11" s="194"/>
      <c r="N11" s="5"/>
      <c r="O11" s="757">
        <v>6</v>
      </c>
      <c r="P11" s="758">
        <v>9</v>
      </c>
      <c r="Q11" s="194"/>
      <c r="R11" s="5">
        <f t="shared" si="1"/>
        <v>54</v>
      </c>
      <c r="S11" s="759">
        <v>6</v>
      </c>
      <c r="T11" s="758">
        <v>19.5</v>
      </c>
      <c r="U11" s="194"/>
      <c r="V11" s="5">
        <f t="shared" si="2"/>
        <v>117</v>
      </c>
      <c r="W11" s="193"/>
      <c r="X11" s="194"/>
      <c r="Y11" s="194"/>
      <c r="Z11" s="5" t="str">
        <f t="shared" si="3"/>
        <v/>
      </c>
      <c r="AA11" s="759">
        <v>6</v>
      </c>
      <c r="AB11" s="758">
        <v>315</v>
      </c>
      <c r="AC11" s="194"/>
      <c r="AD11" s="5">
        <f t="shared" si="4"/>
        <v>1890</v>
      </c>
      <c r="AE11" s="681"/>
      <c r="AF11" s="681"/>
      <c r="AG11" s="194"/>
      <c r="AH11" s="5" t="str">
        <f t="shared" si="5"/>
        <v/>
      </c>
      <c r="AI11" s="757"/>
      <c r="AJ11" s="759"/>
      <c r="AK11" s="194"/>
      <c r="AL11" s="5" t="str">
        <f t="shared" si="6"/>
        <v/>
      </c>
      <c r="AM11" s="193"/>
      <c r="AN11" s="194"/>
      <c r="AO11" s="194"/>
      <c r="AP11" s="5" t="str">
        <f t="shared" si="7"/>
        <v/>
      </c>
      <c r="AQ11" s="193"/>
      <c r="AR11" s="219"/>
      <c r="AS11" s="219"/>
      <c r="AT11" s="5" t="str">
        <f t="shared" si="0"/>
        <v/>
      </c>
      <c r="AU11" s="193"/>
      <c r="AV11" s="194"/>
      <c r="AW11" s="194"/>
      <c r="AX11" s="5" t="str">
        <f t="shared" si="8"/>
        <v/>
      </c>
      <c r="AY11" s="193"/>
      <c r="AZ11" s="194"/>
      <c r="BA11" s="194"/>
      <c r="BB11" s="5" t="str">
        <f t="shared" si="9"/>
        <v/>
      </c>
      <c r="BC11" s="193"/>
      <c r="BD11" s="194"/>
      <c r="BE11" s="194"/>
      <c r="BF11" s="5" t="str">
        <f t="shared" si="10"/>
        <v/>
      </c>
      <c r="BG11" s="6"/>
      <c r="BH11" s="7"/>
      <c r="BI11" s="8"/>
      <c r="BJ11" s="195"/>
      <c r="BK11" s="196"/>
      <c r="BL11" s="197"/>
      <c r="BM11" s="198"/>
      <c r="BN11" s="8"/>
      <c r="BO11" s="8"/>
      <c r="BP11" s="9"/>
    </row>
    <row r="12" spans="1:69" s="4" customFormat="1" ht="33.75" customHeight="1" x14ac:dyDescent="0.2">
      <c r="A12" s="192">
        <v>8</v>
      </c>
      <c r="B12" s="754">
        <v>8</v>
      </c>
      <c r="C12" s="756" t="s">
        <v>676</v>
      </c>
      <c r="D12" s="755" t="s">
        <v>124</v>
      </c>
      <c r="E12" s="754">
        <v>16</v>
      </c>
      <c r="F12" s="754">
        <v>16</v>
      </c>
      <c r="G12" s="193"/>
      <c r="H12" s="194"/>
      <c r="I12" s="194"/>
      <c r="J12" s="5"/>
      <c r="K12" s="193"/>
      <c r="L12" s="194"/>
      <c r="M12" s="194"/>
      <c r="N12" s="5"/>
      <c r="O12" s="757">
        <v>16</v>
      </c>
      <c r="P12" s="758">
        <v>18</v>
      </c>
      <c r="Q12" s="194"/>
      <c r="R12" s="5">
        <f t="shared" si="1"/>
        <v>288</v>
      </c>
      <c r="S12" s="759">
        <v>16</v>
      </c>
      <c r="T12" s="758">
        <v>39.6</v>
      </c>
      <c r="U12" s="194"/>
      <c r="V12" s="5">
        <f t="shared" si="2"/>
        <v>633.6</v>
      </c>
      <c r="W12" s="193"/>
      <c r="X12" s="194"/>
      <c r="Y12" s="194"/>
      <c r="Z12" s="5" t="str">
        <f t="shared" si="3"/>
        <v/>
      </c>
      <c r="AA12" s="759">
        <v>16</v>
      </c>
      <c r="AB12" s="758">
        <v>2865</v>
      </c>
      <c r="AC12" s="194"/>
      <c r="AD12" s="5">
        <f t="shared" si="4"/>
        <v>45840</v>
      </c>
      <c r="AE12" s="681"/>
      <c r="AF12" s="681"/>
      <c r="AG12" s="194"/>
      <c r="AH12" s="5" t="str">
        <f t="shared" si="5"/>
        <v/>
      </c>
      <c r="AI12" s="757"/>
      <c r="AJ12" s="759"/>
      <c r="AK12" s="194"/>
      <c r="AL12" s="5" t="str">
        <f t="shared" si="6"/>
        <v/>
      </c>
      <c r="AM12" s="193"/>
      <c r="AN12" s="194"/>
      <c r="AO12" s="194"/>
      <c r="AP12" s="5" t="str">
        <f t="shared" si="7"/>
        <v/>
      </c>
      <c r="AQ12" s="193"/>
      <c r="AR12" s="219"/>
      <c r="AS12" s="219"/>
      <c r="AT12" s="5" t="str">
        <f t="shared" si="0"/>
        <v/>
      </c>
      <c r="AU12" s="193"/>
      <c r="AV12" s="194"/>
      <c r="AW12" s="194"/>
      <c r="AX12" s="5" t="str">
        <f t="shared" si="8"/>
        <v/>
      </c>
      <c r="AY12" s="193"/>
      <c r="AZ12" s="194"/>
      <c r="BA12" s="194"/>
      <c r="BB12" s="5" t="str">
        <f t="shared" si="9"/>
        <v/>
      </c>
      <c r="BC12" s="193"/>
      <c r="BD12" s="194"/>
      <c r="BE12" s="194"/>
      <c r="BF12" s="5" t="str">
        <f t="shared" si="10"/>
        <v/>
      </c>
      <c r="BG12" s="6"/>
      <c r="BH12" s="7"/>
      <c r="BI12" s="8"/>
      <c r="BJ12" s="195"/>
      <c r="BK12" s="196"/>
      <c r="BL12" s="197"/>
      <c r="BM12" s="198"/>
      <c r="BN12" s="8"/>
      <c r="BO12" s="8"/>
      <c r="BP12" s="9"/>
    </row>
    <row r="13" spans="1:69" s="4" customFormat="1" ht="33.75" customHeight="1" x14ac:dyDescent="0.2">
      <c r="A13" s="192">
        <v>9</v>
      </c>
      <c r="B13" s="754">
        <v>9</v>
      </c>
      <c r="C13" s="755" t="s">
        <v>677</v>
      </c>
      <c r="D13" s="755" t="s">
        <v>124</v>
      </c>
      <c r="E13" s="754">
        <v>17</v>
      </c>
      <c r="F13" s="754">
        <v>17</v>
      </c>
      <c r="G13" s="193"/>
      <c r="H13" s="194"/>
      <c r="I13" s="194"/>
      <c r="J13" s="5"/>
      <c r="K13" s="193"/>
      <c r="L13" s="194"/>
      <c r="M13" s="194"/>
      <c r="N13" s="5"/>
      <c r="O13" s="757">
        <v>17</v>
      </c>
      <c r="P13" s="758">
        <v>6.6</v>
      </c>
      <c r="Q13" s="194"/>
      <c r="R13" s="5">
        <f t="shared" si="1"/>
        <v>112.19999999999999</v>
      </c>
      <c r="S13" s="759"/>
      <c r="T13" s="758"/>
      <c r="U13" s="194"/>
      <c r="V13" s="5" t="str">
        <f t="shared" si="2"/>
        <v/>
      </c>
      <c r="W13" s="193"/>
      <c r="X13" s="194"/>
      <c r="Y13" s="194"/>
      <c r="Z13" s="5" t="str">
        <f t="shared" si="3"/>
        <v/>
      </c>
      <c r="AA13" s="759">
        <v>17</v>
      </c>
      <c r="AB13" s="758">
        <v>465</v>
      </c>
      <c r="AC13" s="194"/>
      <c r="AD13" s="5">
        <f t="shared" si="4"/>
        <v>7905</v>
      </c>
      <c r="AE13" s="681"/>
      <c r="AF13" s="681"/>
      <c r="AG13" s="194"/>
      <c r="AH13" s="5" t="str">
        <f t="shared" si="5"/>
        <v/>
      </c>
      <c r="AI13" s="757"/>
      <c r="AJ13" s="759"/>
      <c r="AK13" s="194"/>
      <c r="AL13" s="5" t="str">
        <f t="shared" si="6"/>
        <v/>
      </c>
      <c r="AM13" s="193"/>
      <c r="AN13" s="194"/>
      <c r="AO13" s="194"/>
      <c r="AP13" s="5" t="str">
        <f t="shared" si="7"/>
        <v/>
      </c>
      <c r="AQ13" s="193"/>
      <c r="AR13" s="219"/>
      <c r="AS13" s="219"/>
      <c r="AT13" s="5" t="str">
        <f t="shared" si="0"/>
        <v/>
      </c>
      <c r="AU13" s="193"/>
      <c r="AV13" s="194"/>
      <c r="AW13" s="194"/>
      <c r="AX13" s="5" t="str">
        <f t="shared" si="8"/>
        <v/>
      </c>
      <c r="AY13" s="193"/>
      <c r="AZ13" s="194"/>
      <c r="BA13" s="194"/>
      <c r="BB13" s="5" t="str">
        <f t="shared" si="9"/>
        <v/>
      </c>
      <c r="BC13" s="193"/>
      <c r="BD13" s="194"/>
      <c r="BE13" s="194"/>
      <c r="BF13" s="5" t="str">
        <f t="shared" si="10"/>
        <v/>
      </c>
      <c r="BG13" s="6"/>
      <c r="BH13" s="7"/>
      <c r="BI13" s="8"/>
      <c r="BJ13" s="195"/>
      <c r="BK13" s="196"/>
      <c r="BL13" s="197"/>
      <c r="BM13" s="198"/>
      <c r="BN13" s="8"/>
      <c r="BO13" s="8"/>
      <c r="BP13" s="9"/>
    </row>
    <row r="14" spans="1:69" s="4" customFormat="1" ht="33.75" customHeight="1" x14ac:dyDescent="0.2">
      <c r="A14" s="192">
        <v>10</v>
      </c>
      <c r="B14" s="754">
        <v>10</v>
      </c>
      <c r="C14" s="756" t="s">
        <v>678</v>
      </c>
      <c r="D14" s="755" t="s">
        <v>591</v>
      </c>
      <c r="E14" s="754">
        <v>30</v>
      </c>
      <c r="F14" s="754">
        <v>30</v>
      </c>
      <c r="G14" s="193"/>
      <c r="H14" s="194"/>
      <c r="I14" s="194"/>
      <c r="J14" s="5"/>
      <c r="K14" s="193"/>
      <c r="L14" s="194"/>
      <c r="M14" s="194"/>
      <c r="N14" s="5"/>
      <c r="O14" s="757">
        <v>30</v>
      </c>
      <c r="P14" s="758">
        <v>7.5</v>
      </c>
      <c r="Q14" s="194"/>
      <c r="R14" s="5">
        <f t="shared" si="1"/>
        <v>225</v>
      </c>
      <c r="S14" s="759">
        <v>30</v>
      </c>
      <c r="T14" s="758">
        <v>36</v>
      </c>
      <c r="U14" s="194"/>
      <c r="V14" s="5">
        <f t="shared" si="2"/>
        <v>1080</v>
      </c>
      <c r="W14" s="193"/>
      <c r="X14" s="194"/>
      <c r="Y14" s="194"/>
      <c r="Z14" s="5" t="str">
        <f t="shared" si="3"/>
        <v/>
      </c>
      <c r="AA14" s="759">
        <v>30</v>
      </c>
      <c r="AB14" s="758">
        <v>1065</v>
      </c>
      <c r="AC14" s="194"/>
      <c r="AD14" s="5">
        <f t="shared" si="4"/>
        <v>31950</v>
      </c>
      <c r="AE14" s="681"/>
      <c r="AF14" s="681"/>
      <c r="AG14" s="194"/>
      <c r="AH14" s="5" t="str">
        <f t="shared" si="5"/>
        <v/>
      </c>
      <c r="AI14" s="757"/>
      <c r="AJ14" s="759"/>
      <c r="AK14" s="194"/>
      <c r="AL14" s="5" t="str">
        <f t="shared" si="6"/>
        <v/>
      </c>
      <c r="AM14" s="193"/>
      <c r="AN14" s="194"/>
      <c r="AO14" s="194"/>
      <c r="AP14" s="5" t="str">
        <f t="shared" si="7"/>
        <v/>
      </c>
      <c r="AQ14" s="193"/>
      <c r="AR14" s="219"/>
      <c r="AS14" s="219"/>
      <c r="AT14" s="5" t="str">
        <f t="shared" si="0"/>
        <v/>
      </c>
      <c r="AU14" s="193"/>
      <c r="AV14" s="194"/>
      <c r="AW14" s="194"/>
      <c r="AX14" s="5" t="str">
        <f t="shared" si="8"/>
        <v/>
      </c>
      <c r="AY14" s="193"/>
      <c r="AZ14" s="194"/>
      <c r="BA14" s="194"/>
      <c r="BB14" s="5" t="str">
        <f t="shared" si="9"/>
        <v/>
      </c>
      <c r="BC14" s="193"/>
      <c r="BD14" s="194"/>
      <c r="BE14" s="194"/>
      <c r="BF14" s="5" t="str">
        <f t="shared" si="10"/>
        <v/>
      </c>
      <c r="BG14" s="6"/>
      <c r="BH14" s="7"/>
      <c r="BI14" s="8"/>
      <c r="BJ14" s="195"/>
      <c r="BK14" s="196"/>
      <c r="BL14" s="197"/>
      <c r="BM14" s="198"/>
      <c r="BN14" s="8"/>
      <c r="BO14" s="8"/>
      <c r="BP14" s="9"/>
    </row>
    <row r="15" spans="1:69" s="4" customFormat="1" ht="33.75" customHeight="1" x14ac:dyDescent="0.2">
      <c r="A15" s="192">
        <v>11</v>
      </c>
      <c r="B15" s="754">
        <v>11</v>
      </c>
      <c r="C15" s="755" t="s">
        <v>679</v>
      </c>
      <c r="D15" s="755" t="s">
        <v>462</v>
      </c>
      <c r="E15" s="754">
        <v>4</v>
      </c>
      <c r="F15" s="754">
        <v>4</v>
      </c>
      <c r="G15" s="193"/>
      <c r="H15" s="194"/>
      <c r="I15" s="194"/>
      <c r="J15" s="5"/>
      <c r="K15" s="193"/>
      <c r="L15" s="194"/>
      <c r="M15" s="194"/>
      <c r="N15" s="5"/>
      <c r="O15" s="757"/>
      <c r="P15" s="758"/>
      <c r="Q15" s="194"/>
      <c r="R15" s="5" t="str">
        <f t="shared" si="1"/>
        <v/>
      </c>
      <c r="S15" s="759"/>
      <c r="T15" s="758"/>
      <c r="U15" s="194"/>
      <c r="V15" s="5" t="str">
        <f t="shared" si="2"/>
        <v/>
      </c>
      <c r="W15" s="193"/>
      <c r="X15" s="194"/>
      <c r="Y15" s="194"/>
      <c r="Z15" s="5" t="str">
        <f t="shared" si="3"/>
        <v/>
      </c>
      <c r="AA15" s="759"/>
      <c r="AB15" s="758"/>
      <c r="AC15" s="194"/>
      <c r="AD15" s="5" t="str">
        <f t="shared" si="4"/>
        <v/>
      </c>
      <c r="AE15" s="681"/>
      <c r="AF15" s="681"/>
      <c r="AG15" s="194"/>
      <c r="AH15" s="5" t="str">
        <f t="shared" si="5"/>
        <v/>
      </c>
      <c r="AI15" s="757"/>
      <c r="AJ15" s="759"/>
      <c r="AK15" s="194"/>
      <c r="AL15" s="5" t="str">
        <f t="shared" si="6"/>
        <v/>
      </c>
      <c r="AM15" s="193"/>
      <c r="AN15" s="194"/>
      <c r="AO15" s="194"/>
      <c r="AP15" s="5" t="str">
        <f t="shared" si="7"/>
        <v/>
      </c>
      <c r="AQ15" s="193"/>
      <c r="AR15" s="219"/>
      <c r="AS15" s="219"/>
      <c r="AT15" s="5" t="str">
        <f t="shared" si="0"/>
        <v/>
      </c>
      <c r="AU15" s="193"/>
      <c r="AV15" s="194"/>
      <c r="AW15" s="194"/>
      <c r="AX15" s="5" t="str">
        <f t="shared" si="8"/>
        <v/>
      </c>
      <c r="AY15" s="193"/>
      <c r="AZ15" s="194"/>
      <c r="BA15" s="194"/>
      <c r="BB15" s="5" t="str">
        <f t="shared" si="9"/>
        <v/>
      </c>
      <c r="BC15" s="193"/>
      <c r="BD15" s="194"/>
      <c r="BE15" s="194"/>
      <c r="BF15" s="5" t="str">
        <f t="shared" si="10"/>
        <v/>
      </c>
      <c r="BG15" s="6"/>
      <c r="BH15" s="7"/>
      <c r="BI15" s="8"/>
      <c r="BJ15" s="195"/>
      <c r="BK15" s="196"/>
      <c r="BL15" s="197"/>
      <c r="BM15" s="198"/>
      <c r="BN15" s="8"/>
      <c r="BO15" s="8"/>
      <c r="BP15" s="9"/>
    </row>
    <row r="16" spans="1:69" s="4" customFormat="1" ht="33.75" customHeight="1" x14ac:dyDescent="0.2">
      <c r="A16" s="192">
        <v>12</v>
      </c>
      <c r="B16" s="754">
        <v>12</v>
      </c>
      <c r="C16" s="756" t="s">
        <v>680</v>
      </c>
      <c r="D16" s="755" t="s">
        <v>591</v>
      </c>
      <c r="E16" s="754">
        <v>12</v>
      </c>
      <c r="F16" s="754">
        <v>12</v>
      </c>
      <c r="G16" s="193"/>
      <c r="H16" s="194"/>
      <c r="I16" s="194"/>
      <c r="J16" s="5"/>
      <c r="K16" s="193"/>
      <c r="L16" s="194"/>
      <c r="M16" s="194"/>
      <c r="N16" s="5"/>
      <c r="O16" s="757">
        <v>12</v>
      </c>
      <c r="P16" s="758">
        <v>9</v>
      </c>
      <c r="Q16" s="194"/>
      <c r="R16" s="5">
        <f t="shared" si="1"/>
        <v>108</v>
      </c>
      <c r="S16" s="759">
        <v>12</v>
      </c>
      <c r="T16" s="758">
        <v>29.7</v>
      </c>
      <c r="U16" s="194"/>
      <c r="V16" s="5">
        <f t="shared" si="2"/>
        <v>356.4</v>
      </c>
      <c r="W16" s="193"/>
      <c r="X16" s="194"/>
      <c r="Y16" s="194"/>
      <c r="Z16" s="5" t="str">
        <f t="shared" si="3"/>
        <v/>
      </c>
      <c r="AA16" s="759">
        <v>12</v>
      </c>
      <c r="AB16" s="758">
        <v>765</v>
      </c>
      <c r="AC16" s="194"/>
      <c r="AD16" s="5">
        <f t="shared" si="4"/>
        <v>9180</v>
      </c>
      <c r="AE16" s="681"/>
      <c r="AF16" s="681"/>
      <c r="AG16" s="194"/>
      <c r="AH16" s="5" t="str">
        <f t="shared" si="5"/>
        <v/>
      </c>
      <c r="AI16" s="757"/>
      <c r="AJ16" s="759"/>
      <c r="AK16" s="194"/>
      <c r="AL16" s="5" t="str">
        <f t="shared" si="6"/>
        <v/>
      </c>
      <c r="AM16" s="193"/>
      <c r="AN16" s="194"/>
      <c r="AO16" s="194"/>
      <c r="AP16" s="5" t="str">
        <f t="shared" si="7"/>
        <v/>
      </c>
      <c r="AQ16" s="193"/>
      <c r="AR16" s="219"/>
      <c r="AS16" s="219"/>
      <c r="AT16" s="5" t="str">
        <f t="shared" si="0"/>
        <v/>
      </c>
      <c r="AU16" s="193"/>
      <c r="AV16" s="194"/>
      <c r="AW16" s="194"/>
      <c r="AX16" s="5" t="str">
        <f t="shared" si="8"/>
        <v/>
      </c>
      <c r="AY16" s="193"/>
      <c r="AZ16" s="194"/>
      <c r="BA16" s="194"/>
      <c r="BB16" s="5" t="str">
        <f t="shared" si="9"/>
        <v/>
      </c>
      <c r="BC16" s="193"/>
      <c r="BD16" s="194"/>
      <c r="BE16" s="194"/>
      <c r="BF16" s="5" t="str">
        <f t="shared" si="10"/>
        <v/>
      </c>
      <c r="BG16" s="6"/>
      <c r="BH16" s="7"/>
      <c r="BI16" s="8"/>
      <c r="BJ16" s="195"/>
      <c r="BK16" s="196"/>
      <c r="BL16" s="197"/>
      <c r="BM16" s="198"/>
      <c r="BN16" s="8"/>
      <c r="BO16" s="8"/>
      <c r="BP16" s="9"/>
    </row>
    <row r="17" spans="1:68" s="4" customFormat="1" ht="33.75" customHeight="1" x14ac:dyDescent="0.2">
      <c r="A17" s="192">
        <v>13</v>
      </c>
      <c r="B17" s="754">
        <v>13</v>
      </c>
      <c r="C17" s="755" t="s">
        <v>681</v>
      </c>
      <c r="D17" s="755" t="s">
        <v>591</v>
      </c>
      <c r="E17" s="754">
        <v>4</v>
      </c>
      <c r="F17" s="754">
        <v>4</v>
      </c>
      <c r="G17" s="193"/>
      <c r="H17" s="194"/>
      <c r="I17" s="194"/>
      <c r="J17" s="5"/>
      <c r="K17" s="193"/>
      <c r="L17" s="194"/>
      <c r="M17" s="194"/>
      <c r="N17" s="5"/>
      <c r="O17" s="757">
        <v>4</v>
      </c>
      <c r="P17" s="758">
        <v>8.1</v>
      </c>
      <c r="Q17" s="194"/>
      <c r="R17" s="5">
        <f t="shared" si="1"/>
        <v>32.4</v>
      </c>
      <c r="S17" s="759">
        <v>4</v>
      </c>
      <c r="T17" s="758">
        <v>24</v>
      </c>
      <c r="U17" s="194"/>
      <c r="V17" s="5">
        <f t="shared" si="2"/>
        <v>96</v>
      </c>
      <c r="W17" s="193"/>
      <c r="X17" s="194"/>
      <c r="Y17" s="194"/>
      <c r="Z17" s="5" t="str">
        <f t="shared" si="3"/>
        <v/>
      </c>
      <c r="AA17" s="759">
        <v>4</v>
      </c>
      <c r="AB17" s="758">
        <v>765</v>
      </c>
      <c r="AC17" s="194"/>
      <c r="AD17" s="5">
        <f t="shared" si="4"/>
        <v>3060</v>
      </c>
      <c r="AE17" s="681"/>
      <c r="AF17" s="681"/>
      <c r="AG17" s="194"/>
      <c r="AH17" s="5" t="str">
        <f t="shared" si="5"/>
        <v/>
      </c>
      <c r="AI17" s="757"/>
      <c r="AJ17" s="759"/>
      <c r="AK17" s="194"/>
      <c r="AL17" s="5" t="str">
        <f t="shared" si="6"/>
        <v/>
      </c>
      <c r="AM17" s="193"/>
      <c r="AN17" s="194"/>
      <c r="AO17" s="194"/>
      <c r="AP17" s="5" t="str">
        <f t="shared" si="7"/>
        <v/>
      </c>
      <c r="AQ17" s="193"/>
      <c r="AR17" s="219"/>
      <c r="AS17" s="219"/>
      <c r="AT17" s="5" t="str">
        <f t="shared" si="0"/>
        <v/>
      </c>
      <c r="AU17" s="193"/>
      <c r="AV17" s="194"/>
      <c r="AW17" s="194"/>
      <c r="AX17" s="5" t="str">
        <f t="shared" si="8"/>
        <v/>
      </c>
      <c r="AY17" s="193"/>
      <c r="AZ17" s="194"/>
      <c r="BA17" s="194"/>
      <c r="BB17" s="5" t="str">
        <f t="shared" si="9"/>
        <v/>
      </c>
      <c r="BC17" s="193"/>
      <c r="BD17" s="194"/>
      <c r="BE17" s="194"/>
      <c r="BF17" s="5" t="str">
        <f t="shared" si="10"/>
        <v/>
      </c>
      <c r="BG17" s="6"/>
      <c r="BH17" s="7"/>
      <c r="BI17" s="8"/>
      <c r="BJ17" s="195"/>
      <c r="BK17" s="196"/>
      <c r="BL17" s="197"/>
      <c r="BM17" s="198"/>
      <c r="BN17" s="8"/>
      <c r="BO17" s="8"/>
      <c r="BP17" s="9"/>
    </row>
    <row r="18" spans="1:68" s="4" customFormat="1" ht="33.75" customHeight="1" x14ac:dyDescent="0.2">
      <c r="A18" s="192">
        <v>14</v>
      </c>
      <c r="B18" s="754">
        <v>14</v>
      </c>
      <c r="C18" s="756" t="s">
        <v>682</v>
      </c>
      <c r="D18" s="755" t="s">
        <v>591</v>
      </c>
      <c r="E18" s="754">
        <v>10</v>
      </c>
      <c r="F18" s="754">
        <v>10</v>
      </c>
      <c r="G18" s="193"/>
      <c r="H18" s="194"/>
      <c r="I18" s="194"/>
      <c r="J18" s="5"/>
      <c r="K18" s="193"/>
      <c r="L18" s="194"/>
      <c r="M18" s="194"/>
      <c r="N18" s="5"/>
      <c r="O18" s="757">
        <v>10</v>
      </c>
      <c r="P18" s="758">
        <v>6</v>
      </c>
      <c r="Q18" s="194"/>
      <c r="R18" s="5">
        <f t="shared" si="1"/>
        <v>60</v>
      </c>
      <c r="S18" s="759">
        <v>10</v>
      </c>
      <c r="T18" s="758">
        <v>24</v>
      </c>
      <c r="U18" s="194"/>
      <c r="V18" s="5">
        <f t="shared" si="2"/>
        <v>240</v>
      </c>
      <c r="W18" s="193"/>
      <c r="X18" s="194"/>
      <c r="Y18" s="194"/>
      <c r="Z18" s="5" t="str">
        <f t="shared" si="3"/>
        <v/>
      </c>
      <c r="AA18" s="759">
        <v>10</v>
      </c>
      <c r="AB18" s="758">
        <v>765</v>
      </c>
      <c r="AC18" s="194"/>
      <c r="AD18" s="5">
        <f t="shared" si="4"/>
        <v>7650</v>
      </c>
      <c r="AE18" s="681"/>
      <c r="AF18" s="681"/>
      <c r="AG18" s="194"/>
      <c r="AH18" s="5" t="str">
        <f t="shared" si="5"/>
        <v/>
      </c>
      <c r="AI18" s="757"/>
      <c r="AJ18" s="759"/>
      <c r="AK18" s="194"/>
      <c r="AL18" s="5" t="str">
        <f t="shared" si="6"/>
        <v/>
      </c>
      <c r="AM18" s="193"/>
      <c r="AN18" s="194"/>
      <c r="AO18" s="194"/>
      <c r="AP18" s="5" t="str">
        <f t="shared" si="7"/>
        <v/>
      </c>
      <c r="AQ18" s="193"/>
      <c r="AR18" s="219"/>
      <c r="AS18" s="219"/>
      <c r="AT18" s="5" t="str">
        <f t="shared" si="0"/>
        <v/>
      </c>
      <c r="AU18" s="193"/>
      <c r="AV18" s="194"/>
      <c r="AW18" s="194"/>
      <c r="AX18" s="5" t="str">
        <f t="shared" si="8"/>
        <v/>
      </c>
      <c r="AY18" s="193"/>
      <c r="AZ18" s="194"/>
      <c r="BA18" s="194"/>
      <c r="BB18" s="5" t="str">
        <f t="shared" si="9"/>
        <v/>
      </c>
      <c r="BC18" s="193"/>
      <c r="BD18" s="194"/>
      <c r="BE18" s="194"/>
      <c r="BF18" s="5" t="str">
        <f t="shared" si="10"/>
        <v/>
      </c>
      <c r="BG18" s="6"/>
      <c r="BH18" s="7"/>
      <c r="BI18" s="8"/>
      <c r="BJ18" s="195"/>
      <c r="BK18" s="196"/>
      <c r="BL18" s="197"/>
      <c r="BM18" s="198"/>
      <c r="BN18" s="8"/>
      <c r="BO18" s="8"/>
      <c r="BP18" s="9"/>
    </row>
    <row r="19" spans="1:68" s="4" customFormat="1" ht="33.75" customHeight="1" x14ac:dyDescent="0.2">
      <c r="A19" s="192">
        <v>15</v>
      </c>
      <c r="B19" s="754">
        <v>15</v>
      </c>
      <c r="C19" s="755" t="s">
        <v>683</v>
      </c>
      <c r="D19" s="755" t="s">
        <v>591</v>
      </c>
      <c r="E19" s="754">
        <v>20</v>
      </c>
      <c r="F19" s="754">
        <v>20</v>
      </c>
      <c r="G19" s="193"/>
      <c r="H19" s="194"/>
      <c r="I19" s="194"/>
      <c r="J19" s="5"/>
      <c r="K19" s="193"/>
      <c r="L19" s="194"/>
      <c r="M19" s="194"/>
      <c r="N19" s="5"/>
      <c r="O19" s="757">
        <v>20</v>
      </c>
      <c r="P19" s="758">
        <v>6.6</v>
      </c>
      <c r="Q19" s="194"/>
      <c r="R19" s="5">
        <f t="shared" si="1"/>
        <v>132</v>
      </c>
      <c r="S19" s="759">
        <v>20</v>
      </c>
      <c r="T19" s="758">
        <v>22</v>
      </c>
      <c r="U19" s="194"/>
      <c r="V19" s="5">
        <f t="shared" si="2"/>
        <v>440</v>
      </c>
      <c r="W19" s="193"/>
      <c r="X19" s="194"/>
      <c r="Y19" s="194"/>
      <c r="Z19" s="5" t="str">
        <f t="shared" si="3"/>
        <v/>
      </c>
      <c r="AA19" s="759">
        <v>20</v>
      </c>
      <c r="AB19" s="758">
        <v>765</v>
      </c>
      <c r="AC19" s="194"/>
      <c r="AD19" s="5">
        <f t="shared" si="4"/>
        <v>15300</v>
      </c>
      <c r="AE19" s="681"/>
      <c r="AF19" s="681"/>
      <c r="AG19" s="194"/>
      <c r="AH19" s="5" t="str">
        <f t="shared" si="5"/>
        <v/>
      </c>
      <c r="AI19" s="757"/>
      <c r="AJ19" s="759"/>
      <c r="AK19" s="194"/>
      <c r="AL19" s="5" t="str">
        <f t="shared" si="6"/>
        <v/>
      </c>
      <c r="AM19" s="193"/>
      <c r="AN19" s="194"/>
      <c r="AO19" s="194"/>
      <c r="AP19" s="5" t="str">
        <f t="shared" si="7"/>
        <v/>
      </c>
      <c r="AQ19" s="193"/>
      <c r="AR19" s="219"/>
      <c r="AS19" s="219"/>
      <c r="AT19" s="5" t="str">
        <f t="shared" si="0"/>
        <v/>
      </c>
      <c r="AU19" s="193"/>
      <c r="AV19" s="194"/>
      <c r="AW19" s="194"/>
      <c r="AX19" s="5" t="str">
        <f t="shared" si="8"/>
        <v/>
      </c>
      <c r="AY19" s="193"/>
      <c r="AZ19" s="194"/>
      <c r="BA19" s="194"/>
      <c r="BB19" s="5" t="str">
        <f t="shared" si="9"/>
        <v/>
      </c>
      <c r="BC19" s="193"/>
      <c r="BD19" s="194"/>
      <c r="BE19" s="194"/>
      <c r="BF19" s="5" t="str">
        <f t="shared" si="10"/>
        <v/>
      </c>
      <c r="BG19" s="6"/>
      <c r="BH19" s="7"/>
      <c r="BI19" s="8"/>
      <c r="BJ19" s="195"/>
      <c r="BK19" s="196"/>
      <c r="BL19" s="197"/>
      <c r="BM19" s="198"/>
      <c r="BN19" s="8"/>
      <c r="BO19" s="8"/>
      <c r="BP19" s="9"/>
    </row>
    <row r="20" spans="1:68" s="4" customFormat="1" ht="33.75" customHeight="1" x14ac:dyDescent="0.2">
      <c r="A20" s="192">
        <v>16</v>
      </c>
      <c r="B20" s="754">
        <v>16</v>
      </c>
      <c r="C20" s="756" t="s">
        <v>684</v>
      </c>
      <c r="D20" s="755" t="s">
        <v>591</v>
      </c>
      <c r="E20" s="754">
        <v>15</v>
      </c>
      <c r="F20" s="754">
        <v>15</v>
      </c>
      <c r="G20" s="193"/>
      <c r="H20" s="194"/>
      <c r="I20" s="194"/>
      <c r="J20" s="5"/>
      <c r="K20" s="193"/>
      <c r="L20" s="194"/>
      <c r="M20" s="194"/>
      <c r="N20" s="5"/>
      <c r="O20" s="757">
        <v>15</v>
      </c>
      <c r="P20" s="758">
        <v>88</v>
      </c>
      <c r="Q20" s="194"/>
      <c r="R20" s="5">
        <f t="shared" si="1"/>
        <v>1320</v>
      </c>
      <c r="S20" s="759">
        <v>15</v>
      </c>
      <c r="T20" s="758">
        <v>42</v>
      </c>
      <c r="U20" s="194"/>
      <c r="V20" s="5">
        <f t="shared" si="2"/>
        <v>630</v>
      </c>
      <c r="W20" s="193"/>
      <c r="X20" s="194"/>
      <c r="Y20" s="194"/>
      <c r="Z20" s="5" t="str">
        <f t="shared" si="3"/>
        <v/>
      </c>
      <c r="AA20" s="759">
        <v>15</v>
      </c>
      <c r="AB20" s="758">
        <v>2265</v>
      </c>
      <c r="AC20" s="194"/>
      <c r="AD20" s="5">
        <f t="shared" si="4"/>
        <v>33975</v>
      </c>
      <c r="AE20" s="681"/>
      <c r="AF20" s="681"/>
      <c r="AG20" s="194"/>
      <c r="AH20" s="5" t="str">
        <f t="shared" si="5"/>
        <v/>
      </c>
      <c r="AI20" s="757"/>
      <c r="AJ20" s="759"/>
      <c r="AK20" s="194"/>
      <c r="AL20" s="5" t="str">
        <f t="shared" si="6"/>
        <v/>
      </c>
      <c r="AM20" s="193"/>
      <c r="AN20" s="194"/>
      <c r="AO20" s="194"/>
      <c r="AP20" s="5" t="str">
        <f t="shared" si="7"/>
        <v/>
      </c>
      <c r="AQ20" s="193"/>
      <c r="AR20" s="219"/>
      <c r="AS20" s="219"/>
      <c r="AT20" s="5" t="str">
        <f t="shared" si="0"/>
        <v/>
      </c>
      <c r="AU20" s="193"/>
      <c r="AV20" s="194"/>
      <c r="AW20" s="194"/>
      <c r="AX20" s="5" t="str">
        <f t="shared" si="8"/>
        <v/>
      </c>
      <c r="AY20" s="193"/>
      <c r="AZ20" s="194"/>
      <c r="BA20" s="194"/>
      <c r="BB20" s="5" t="str">
        <f t="shared" si="9"/>
        <v/>
      </c>
      <c r="BC20" s="193"/>
      <c r="BD20" s="194"/>
      <c r="BE20" s="194"/>
      <c r="BF20" s="5" t="str">
        <f t="shared" si="10"/>
        <v/>
      </c>
      <c r="BG20" s="6"/>
      <c r="BH20" s="7"/>
      <c r="BI20" s="8"/>
      <c r="BJ20" s="195"/>
      <c r="BK20" s="196"/>
      <c r="BL20" s="197"/>
      <c r="BM20" s="198"/>
      <c r="BN20" s="8"/>
      <c r="BO20" s="8"/>
      <c r="BP20" s="9"/>
    </row>
    <row r="21" spans="1:68" s="4" customFormat="1" ht="33.75" customHeight="1" x14ac:dyDescent="0.2">
      <c r="A21" s="192">
        <v>17</v>
      </c>
      <c r="B21" s="754">
        <v>17</v>
      </c>
      <c r="C21" s="755" t="s">
        <v>685</v>
      </c>
      <c r="D21" s="755" t="s">
        <v>591</v>
      </c>
      <c r="E21" s="754">
        <v>34</v>
      </c>
      <c r="F21" s="754">
        <v>34</v>
      </c>
      <c r="G21" s="193"/>
      <c r="H21" s="194"/>
      <c r="I21" s="194"/>
      <c r="J21" s="5"/>
      <c r="K21" s="193"/>
      <c r="L21" s="194"/>
      <c r="M21" s="194"/>
      <c r="N21" s="5"/>
      <c r="O21" s="757">
        <v>34</v>
      </c>
      <c r="P21" s="758">
        <v>15</v>
      </c>
      <c r="Q21" s="194"/>
      <c r="R21" s="5">
        <f t="shared" si="1"/>
        <v>510</v>
      </c>
      <c r="S21" s="759">
        <v>34</v>
      </c>
      <c r="T21" s="758">
        <v>24</v>
      </c>
      <c r="U21" s="194"/>
      <c r="V21" s="5">
        <f t="shared" si="2"/>
        <v>816</v>
      </c>
      <c r="W21" s="193"/>
      <c r="X21" s="194"/>
      <c r="Y21" s="194"/>
      <c r="Z21" s="5" t="str">
        <f t="shared" si="3"/>
        <v/>
      </c>
      <c r="AA21" s="759">
        <v>34</v>
      </c>
      <c r="AB21" s="758">
        <v>1215</v>
      </c>
      <c r="AC21" s="194"/>
      <c r="AD21" s="5">
        <f t="shared" si="4"/>
        <v>41310</v>
      </c>
      <c r="AE21" s="681"/>
      <c r="AF21" s="681"/>
      <c r="AG21" s="194"/>
      <c r="AH21" s="5" t="str">
        <f t="shared" si="5"/>
        <v/>
      </c>
      <c r="AI21" s="757"/>
      <c r="AJ21" s="759"/>
      <c r="AK21" s="194"/>
      <c r="AL21" s="5" t="str">
        <f t="shared" si="6"/>
        <v/>
      </c>
      <c r="AM21" s="193"/>
      <c r="AN21" s="194"/>
      <c r="AO21" s="194"/>
      <c r="AP21" s="5" t="str">
        <f t="shared" si="7"/>
        <v/>
      </c>
      <c r="AQ21" s="193"/>
      <c r="AR21" s="219"/>
      <c r="AS21" s="219"/>
      <c r="AT21" s="5" t="str">
        <f t="shared" si="0"/>
        <v/>
      </c>
      <c r="AU21" s="193"/>
      <c r="AV21" s="194"/>
      <c r="AW21" s="194"/>
      <c r="AX21" s="5" t="str">
        <f t="shared" si="8"/>
        <v/>
      </c>
      <c r="AY21" s="193"/>
      <c r="AZ21" s="194"/>
      <c r="BA21" s="194"/>
      <c r="BB21" s="5" t="str">
        <f t="shared" si="9"/>
        <v/>
      </c>
      <c r="BC21" s="193"/>
      <c r="BD21" s="194"/>
      <c r="BE21" s="194"/>
      <c r="BF21" s="5" t="str">
        <f t="shared" si="10"/>
        <v/>
      </c>
      <c r="BG21" s="6"/>
      <c r="BH21" s="7"/>
      <c r="BI21" s="8"/>
      <c r="BJ21" s="195"/>
      <c r="BK21" s="196"/>
      <c r="BL21" s="197"/>
      <c r="BM21" s="198"/>
      <c r="BN21" s="8"/>
      <c r="BO21" s="8"/>
      <c r="BP21" s="9"/>
    </row>
    <row r="22" spans="1:68" s="4" customFormat="1" ht="33.75" customHeight="1" x14ac:dyDescent="0.2">
      <c r="A22" s="192">
        <v>18</v>
      </c>
      <c r="B22" s="754">
        <v>18</v>
      </c>
      <c r="C22" s="756" t="s">
        <v>686</v>
      </c>
      <c r="D22" s="755" t="s">
        <v>591</v>
      </c>
      <c r="E22" s="754">
        <v>11</v>
      </c>
      <c r="F22" s="754">
        <v>11</v>
      </c>
      <c r="G22" s="193"/>
      <c r="H22" s="194"/>
      <c r="I22" s="194"/>
      <c r="J22" s="5"/>
      <c r="K22" s="193"/>
      <c r="L22" s="194"/>
      <c r="M22" s="194"/>
      <c r="N22" s="5"/>
      <c r="O22" s="757"/>
      <c r="P22" s="758"/>
      <c r="Q22" s="194"/>
      <c r="R22" s="5" t="str">
        <f t="shared" si="1"/>
        <v/>
      </c>
      <c r="S22" s="759"/>
      <c r="T22" s="758"/>
      <c r="U22" s="194"/>
      <c r="V22" s="5" t="str">
        <f t="shared" si="2"/>
        <v/>
      </c>
      <c r="W22" s="193"/>
      <c r="X22" s="194"/>
      <c r="Y22" s="194"/>
      <c r="Z22" s="5" t="str">
        <f t="shared" si="3"/>
        <v/>
      </c>
      <c r="AA22" s="759"/>
      <c r="AB22" s="758"/>
      <c r="AC22" s="194"/>
      <c r="AD22" s="5" t="str">
        <f t="shared" si="4"/>
        <v/>
      </c>
      <c r="AE22" s="681"/>
      <c r="AF22" s="681"/>
      <c r="AG22" s="194"/>
      <c r="AH22" s="5" t="str">
        <f t="shared" si="5"/>
        <v/>
      </c>
      <c r="AI22" s="757"/>
      <c r="AJ22" s="759"/>
      <c r="AK22" s="194"/>
      <c r="AL22" s="5" t="str">
        <f t="shared" si="6"/>
        <v/>
      </c>
      <c r="AM22" s="193"/>
      <c r="AN22" s="194"/>
      <c r="AO22" s="194"/>
      <c r="AP22" s="5" t="str">
        <f t="shared" si="7"/>
        <v/>
      </c>
      <c r="AQ22" s="193"/>
      <c r="AR22" s="219"/>
      <c r="AS22" s="219"/>
      <c r="AT22" s="5" t="str">
        <f t="shared" si="0"/>
        <v/>
      </c>
      <c r="AU22" s="193"/>
      <c r="AV22" s="194"/>
      <c r="AW22" s="194"/>
      <c r="AX22" s="5" t="str">
        <f t="shared" si="8"/>
        <v/>
      </c>
      <c r="AY22" s="193"/>
      <c r="AZ22" s="194"/>
      <c r="BA22" s="194"/>
      <c r="BB22" s="5" t="str">
        <f t="shared" si="9"/>
        <v/>
      </c>
      <c r="BC22" s="193"/>
      <c r="BD22" s="194"/>
      <c r="BE22" s="194"/>
      <c r="BF22" s="5" t="str">
        <f t="shared" si="10"/>
        <v/>
      </c>
      <c r="BG22" s="6"/>
      <c r="BH22" s="7"/>
      <c r="BI22" s="8"/>
      <c r="BJ22" s="195"/>
      <c r="BK22" s="196"/>
      <c r="BL22" s="197"/>
      <c r="BM22" s="198"/>
      <c r="BN22" s="8"/>
      <c r="BO22" s="8"/>
      <c r="BP22" s="9"/>
    </row>
    <row r="23" spans="1:68" s="4" customFormat="1" ht="33.75" customHeight="1" x14ac:dyDescent="0.2">
      <c r="A23" s="192">
        <v>19</v>
      </c>
      <c r="B23" s="754">
        <v>19</v>
      </c>
      <c r="C23" s="755" t="s">
        <v>687</v>
      </c>
      <c r="D23" s="755" t="s">
        <v>125</v>
      </c>
      <c r="E23" s="754">
        <v>13</v>
      </c>
      <c r="F23" s="754">
        <v>13</v>
      </c>
      <c r="G23" s="193"/>
      <c r="H23" s="194"/>
      <c r="I23" s="194"/>
      <c r="J23" s="5"/>
      <c r="K23" s="193"/>
      <c r="L23" s="194"/>
      <c r="M23" s="194"/>
      <c r="N23" s="5"/>
      <c r="O23" s="757">
        <v>13</v>
      </c>
      <c r="P23" s="758">
        <v>450</v>
      </c>
      <c r="Q23" s="194"/>
      <c r="R23" s="5">
        <f t="shared" si="1"/>
        <v>5850</v>
      </c>
      <c r="S23" s="759">
        <v>13</v>
      </c>
      <c r="T23" s="758">
        <v>377</v>
      </c>
      <c r="U23" s="194"/>
      <c r="V23" s="5">
        <f t="shared" si="2"/>
        <v>4901</v>
      </c>
      <c r="W23" s="193"/>
      <c r="X23" s="194"/>
      <c r="Y23" s="194"/>
      <c r="Z23" s="5" t="str">
        <f t="shared" si="3"/>
        <v/>
      </c>
      <c r="AA23" s="759">
        <v>13</v>
      </c>
      <c r="AB23" s="758">
        <v>7365</v>
      </c>
      <c r="AC23" s="194"/>
      <c r="AD23" s="5">
        <f t="shared" si="4"/>
        <v>95745</v>
      </c>
      <c r="AE23" s="681"/>
      <c r="AF23" s="681"/>
      <c r="AG23" s="194"/>
      <c r="AH23" s="5" t="str">
        <f t="shared" si="5"/>
        <v/>
      </c>
      <c r="AI23" s="757">
        <v>13</v>
      </c>
      <c r="AJ23" s="759">
        <v>20750</v>
      </c>
      <c r="AK23" s="194"/>
      <c r="AL23" s="5">
        <f t="shared" si="6"/>
        <v>269750</v>
      </c>
      <c r="AM23" s="193"/>
      <c r="AN23" s="194"/>
      <c r="AO23" s="194"/>
      <c r="AP23" s="5" t="str">
        <f t="shared" si="7"/>
        <v/>
      </c>
      <c r="AQ23" s="193"/>
      <c r="AR23" s="219"/>
      <c r="AS23" s="219"/>
      <c r="AT23" s="5" t="str">
        <f t="shared" si="0"/>
        <v/>
      </c>
      <c r="AU23" s="193"/>
      <c r="AV23" s="194"/>
      <c r="AW23" s="194"/>
      <c r="AX23" s="5" t="str">
        <f t="shared" si="8"/>
        <v/>
      </c>
      <c r="AY23" s="193"/>
      <c r="AZ23" s="194"/>
      <c r="BA23" s="194"/>
      <c r="BB23" s="5" t="str">
        <f t="shared" si="9"/>
        <v/>
      </c>
      <c r="BC23" s="193"/>
      <c r="BD23" s="194"/>
      <c r="BE23" s="194"/>
      <c r="BF23" s="5" t="str">
        <f t="shared" si="10"/>
        <v/>
      </c>
      <c r="BG23" s="6"/>
      <c r="BH23" s="7"/>
      <c r="BI23" s="8"/>
      <c r="BJ23" s="195"/>
      <c r="BK23" s="196"/>
      <c r="BL23" s="197"/>
      <c r="BM23" s="198"/>
      <c r="BN23" s="8"/>
      <c r="BO23" s="8"/>
      <c r="BP23" s="9"/>
    </row>
    <row r="24" spans="1:68" s="4" customFormat="1" ht="33.75" customHeight="1" x14ac:dyDescent="0.2">
      <c r="A24" s="192">
        <v>20</v>
      </c>
      <c r="B24" s="754">
        <v>20</v>
      </c>
      <c r="C24" s="756" t="s">
        <v>688</v>
      </c>
      <c r="D24" s="755" t="s">
        <v>592</v>
      </c>
      <c r="E24" s="754">
        <v>4</v>
      </c>
      <c r="F24" s="754">
        <v>4</v>
      </c>
      <c r="G24" s="193"/>
      <c r="H24" s="194"/>
      <c r="I24" s="194"/>
      <c r="J24" s="5"/>
      <c r="K24" s="193"/>
      <c r="L24" s="194"/>
      <c r="M24" s="194"/>
      <c r="N24" s="5"/>
      <c r="O24" s="757"/>
      <c r="P24" s="758"/>
      <c r="Q24" s="194"/>
      <c r="R24" s="5" t="str">
        <f t="shared" si="1"/>
        <v/>
      </c>
      <c r="S24" s="759"/>
      <c r="T24" s="758"/>
      <c r="U24" s="194"/>
      <c r="V24" s="5" t="str">
        <f t="shared" si="2"/>
        <v/>
      </c>
      <c r="W24" s="193"/>
      <c r="X24" s="194"/>
      <c r="Y24" s="194"/>
      <c r="Z24" s="5" t="str">
        <f t="shared" si="3"/>
        <v/>
      </c>
      <c r="AA24" s="759"/>
      <c r="AB24" s="758"/>
      <c r="AC24" s="194"/>
      <c r="AD24" s="5" t="str">
        <f t="shared" si="4"/>
        <v/>
      </c>
      <c r="AE24" s="681"/>
      <c r="AF24" s="681"/>
      <c r="AG24" s="194"/>
      <c r="AH24" s="5" t="str">
        <f t="shared" si="5"/>
        <v/>
      </c>
      <c r="AI24" s="757"/>
      <c r="AJ24" s="759"/>
      <c r="AK24" s="194"/>
      <c r="AL24" s="5" t="str">
        <f t="shared" si="6"/>
        <v/>
      </c>
      <c r="AM24" s="193"/>
      <c r="AN24" s="194"/>
      <c r="AO24" s="194"/>
      <c r="AP24" s="5" t="str">
        <f t="shared" si="7"/>
        <v/>
      </c>
      <c r="AQ24" s="193"/>
      <c r="AR24" s="219"/>
      <c r="AS24" s="219"/>
      <c r="AT24" s="5" t="str">
        <f t="shared" si="0"/>
        <v/>
      </c>
      <c r="AU24" s="193"/>
      <c r="AV24" s="194"/>
      <c r="AW24" s="194"/>
      <c r="AX24" s="5" t="str">
        <f t="shared" si="8"/>
        <v/>
      </c>
      <c r="AY24" s="193"/>
      <c r="AZ24" s="194"/>
      <c r="BA24" s="194"/>
      <c r="BB24" s="5" t="str">
        <f t="shared" si="9"/>
        <v/>
      </c>
      <c r="BC24" s="193"/>
      <c r="BD24" s="194"/>
      <c r="BE24" s="194"/>
      <c r="BF24" s="5" t="str">
        <f t="shared" si="10"/>
        <v/>
      </c>
      <c r="BG24" s="6"/>
      <c r="BH24" s="7"/>
      <c r="BI24" s="8"/>
      <c r="BJ24" s="195"/>
      <c r="BK24" s="196"/>
      <c r="BL24" s="197"/>
      <c r="BM24" s="198"/>
      <c r="BN24" s="8"/>
      <c r="BO24" s="8"/>
      <c r="BP24" s="9"/>
    </row>
    <row r="25" spans="1:68" s="4" customFormat="1" ht="33.75" customHeight="1" x14ac:dyDescent="0.2">
      <c r="A25" s="192">
        <v>21</v>
      </c>
      <c r="B25" s="754">
        <v>21</v>
      </c>
      <c r="C25" s="755" t="s">
        <v>689</v>
      </c>
      <c r="D25" s="755" t="s">
        <v>593</v>
      </c>
      <c r="E25" s="754">
        <v>9</v>
      </c>
      <c r="F25" s="754">
        <v>9</v>
      </c>
      <c r="G25" s="193"/>
      <c r="H25" s="194"/>
      <c r="I25" s="194"/>
      <c r="J25" s="5"/>
      <c r="K25" s="193"/>
      <c r="L25" s="194"/>
      <c r="M25" s="194"/>
      <c r="N25" s="5"/>
      <c r="O25" s="757"/>
      <c r="P25" s="758"/>
      <c r="Q25" s="194"/>
      <c r="R25" s="5" t="str">
        <f t="shared" si="1"/>
        <v/>
      </c>
      <c r="S25" s="759"/>
      <c r="T25" s="758"/>
      <c r="U25" s="194"/>
      <c r="V25" s="5" t="str">
        <f t="shared" si="2"/>
        <v/>
      </c>
      <c r="W25" s="193"/>
      <c r="X25" s="194"/>
      <c r="Y25" s="194"/>
      <c r="Z25" s="5" t="str">
        <f t="shared" si="3"/>
        <v/>
      </c>
      <c r="AA25" s="759"/>
      <c r="AB25" s="758"/>
      <c r="AC25" s="194"/>
      <c r="AD25" s="5" t="str">
        <f t="shared" si="4"/>
        <v/>
      </c>
      <c r="AE25" s="681"/>
      <c r="AF25" s="681"/>
      <c r="AG25" s="194"/>
      <c r="AH25" s="5" t="str">
        <f t="shared" si="5"/>
        <v/>
      </c>
      <c r="AI25" s="757"/>
      <c r="AJ25" s="759"/>
      <c r="AK25" s="194"/>
      <c r="AL25" s="5" t="str">
        <f t="shared" si="6"/>
        <v/>
      </c>
      <c r="AM25" s="193"/>
      <c r="AN25" s="194"/>
      <c r="AO25" s="194"/>
      <c r="AP25" s="5" t="str">
        <f t="shared" si="7"/>
        <v/>
      </c>
      <c r="AQ25" s="193"/>
      <c r="AR25" s="219"/>
      <c r="AS25" s="219"/>
      <c r="AT25" s="5" t="str">
        <f t="shared" si="0"/>
        <v/>
      </c>
      <c r="AU25" s="193"/>
      <c r="AV25" s="194"/>
      <c r="AW25" s="194"/>
      <c r="AX25" s="5" t="str">
        <f t="shared" si="8"/>
        <v/>
      </c>
      <c r="AY25" s="193"/>
      <c r="AZ25" s="194"/>
      <c r="BA25" s="194"/>
      <c r="BB25" s="5" t="str">
        <f t="shared" si="9"/>
        <v/>
      </c>
      <c r="BC25" s="193"/>
      <c r="BD25" s="194"/>
      <c r="BE25" s="194"/>
      <c r="BF25" s="5" t="str">
        <f t="shared" si="10"/>
        <v/>
      </c>
      <c r="BG25" s="6"/>
      <c r="BH25" s="7"/>
      <c r="BI25" s="8"/>
      <c r="BJ25" s="195"/>
      <c r="BK25" s="196"/>
      <c r="BL25" s="197"/>
      <c r="BM25" s="198"/>
      <c r="BN25" s="8"/>
      <c r="BO25" s="8"/>
      <c r="BP25" s="9"/>
    </row>
    <row r="26" spans="1:68" s="4" customFormat="1" ht="33.75" customHeight="1" x14ac:dyDescent="0.2">
      <c r="A26" s="192">
        <v>22</v>
      </c>
      <c r="B26" s="754">
        <v>22</v>
      </c>
      <c r="C26" s="756" t="s">
        <v>690</v>
      </c>
      <c r="D26" s="755" t="s">
        <v>594</v>
      </c>
      <c r="E26" s="754">
        <v>9</v>
      </c>
      <c r="F26" s="754">
        <v>9</v>
      </c>
      <c r="G26" s="193"/>
      <c r="H26" s="194"/>
      <c r="I26" s="194"/>
      <c r="J26" s="5"/>
      <c r="K26" s="193"/>
      <c r="L26" s="194"/>
      <c r="M26" s="194"/>
      <c r="N26" s="5"/>
      <c r="O26" s="757"/>
      <c r="P26" s="758"/>
      <c r="Q26" s="194"/>
      <c r="R26" s="5" t="str">
        <f t="shared" si="1"/>
        <v/>
      </c>
      <c r="S26" s="759"/>
      <c r="T26" s="758"/>
      <c r="U26" s="194"/>
      <c r="V26" s="5" t="str">
        <f t="shared" si="2"/>
        <v/>
      </c>
      <c r="W26" s="193"/>
      <c r="X26" s="194"/>
      <c r="Y26" s="194"/>
      <c r="Z26" s="5" t="str">
        <f t="shared" si="3"/>
        <v/>
      </c>
      <c r="AA26" s="759"/>
      <c r="AB26" s="758"/>
      <c r="AC26" s="194"/>
      <c r="AD26" s="5" t="str">
        <f t="shared" si="4"/>
        <v/>
      </c>
      <c r="AE26" s="681"/>
      <c r="AF26" s="681"/>
      <c r="AG26" s="194"/>
      <c r="AH26" s="5" t="str">
        <f t="shared" si="5"/>
        <v/>
      </c>
      <c r="AI26" s="757"/>
      <c r="AJ26" s="759"/>
      <c r="AK26" s="194"/>
      <c r="AL26" s="5" t="str">
        <f t="shared" si="6"/>
        <v/>
      </c>
      <c r="AM26" s="193"/>
      <c r="AN26" s="194"/>
      <c r="AO26" s="194"/>
      <c r="AP26" s="5" t="str">
        <f t="shared" si="7"/>
        <v/>
      </c>
      <c r="AQ26" s="193"/>
      <c r="AR26" s="219"/>
      <c r="AS26" s="219"/>
      <c r="AT26" s="5" t="str">
        <f t="shared" si="0"/>
        <v/>
      </c>
      <c r="AU26" s="193"/>
      <c r="AV26" s="194"/>
      <c r="AW26" s="194"/>
      <c r="AX26" s="5" t="str">
        <f t="shared" si="8"/>
        <v/>
      </c>
      <c r="AY26" s="193"/>
      <c r="AZ26" s="194"/>
      <c r="BA26" s="194"/>
      <c r="BB26" s="5" t="str">
        <f t="shared" si="9"/>
        <v/>
      </c>
      <c r="BC26" s="193"/>
      <c r="BD26" s="194"/>
      <c r="BE26" s="194"/>
      <c r="BF26" s="5" t="str">
        <f t="shared" si="10"/>
        <v/>
      </c>
      <c r="BG26" s="6"/>
      <c r="BH26" s="7"/>
      <c r="BI26" s="8"/>
      <c r="BJ26" s="195"/>
      <c r="BK26" s="196"/>
      <c r="BL26" s="197"/>
      <c r="BM26" s="198"/>
      <c r="BN26" s="8"/>
      <c r="BO26" s="8"/>
      <c r="BP26" s="9"/>
    </row>
    <row r="27" spans="1:68" s="4" customFormat="1" ht="33.75" customHeight="1" x14ac:dyDescent="0.2">
      <c r="A27" s="192">
        <v>23</v>
      </c>
      <c r="B27" s="754">
        <v>23</v>
      </c>
      <c r="C27" s="755" t="s">
        <v>691</v>
      </c>
      <c r="D27" s="755" t="s">
        <v>595</v>
      </c>
      <c r="E27" s="754">
        <v>11</v>
      </c>
      <c r="F27" s="754">
        <v>11</v>
      </c>
      <c r="G27" s="193"/>
      <c r="H27" s="194"/>
      <c r="I27" s="194"/>
      <c r="J27" s="5"/>
      <c r="K27" s="193"/>
      <c r="L27" s="194"/>
      <c r="M27" s="194"/>
      <c r="N27" s="5"/>
      <c r="O27" s="757"/>
      <c r="P27" s="758"/>
      <c r="Q27" s="194"/>
      <c r="R27" s="5" t="str">
        <f t="shared" si="1"/>
        <v/>
      </c>
      <c r="S27" s="759"/>
      <c r="T27" s="758"/>
      <c r="U27" s="194"/>
      <c r="V27" s="5" t="str">
        <f t="shared" si="2"/>
        <v/>
      </c>
      <c r="W27" s="193"/>
      <c r="X27" s="194"/>
      <c r="Y27" s="194"/>
      <c r="Z27" s="5" t="str">
        <f t="shared" si="3"/>
        <v/>
      </c>
      <c r="AA27" s="759"/>
      <c r="AB27" s="758"/>
      <c r="AC27" s="194"/>
      <c r="AD27" s="5" t="str">
        <f t="shared" si="4"/>
        <v/>
      </c>
      <c r="AE27" s="681"/>
      <c r="AF27" s="681"/>
      <c r="AG27" s="194"/>
      <c r="AH27" s="5" t="str">
        <f t="shared" si="5"/>
        <v/>
      </c>
      <c r="AI27" s="757"/>
      <c r="AJ27" s="759"/>
      <c r="AK27" s="194"/>
      <c r="AL27" s="5" t="str">
        <f t="shared" si="6"/>
        <v/>
      </c>
      <c r="AM27" s="193"/>
      <c r="AN27" s="194"/>
      <c r="AO27" s="194"/>
      <c r="AP27" s="5" t="str">
        <f t="shared" si="7"/>
        <v/>
      </c>
      <c r="AQ27" s="193"/>
      <c r="AR27" s="219"/>
      <c r="AS27" s="219"/>
      <c r="AT27" s="5" t="str">
        <f t="shared" si="0"/>
        <v/>
      </c>
      <c r="AU27" s="193"/>
      <c r="AV27" s="194"/>
      <c r="AW27" s="194"/>
      <c r="AX27" s="5" t="str">
        <f t="shared" si="8"/>
        <v/>
      </c>
      <c r="AY27" s="193"/>
      <c r="AZ27" s="194"/>
      <c r="BA27" s="194"/>
      <c r="BB27" s="5" t="str">
        <f t="shared" si="9"/>
        <v/>
      </c>
      <c r="BC27" s="193"/>
      <c r="BD27" s="194"/>
      <c r="BE27" s="194"/>
      <c r="BF27" s="5" t="str">
        <f t="shared" si="10"/>
        <v/>
      </c>
      <c r="BG27" s="6"/>
      <c r="BH27" s="7"/>
      <c r="BI27" s="8"/>
      <c r="BJ27" s="195"/>
      <c r="BK27" s="196"/>
      <c r="BL27" s="197"/>
      <c r="BM27" s="198"/>
      <c r="BN27" s="8"/>
      <c r="BO27" s="8"/>
      <c r="BP27" s="9"/>
    </row>
    <row r="28" spans="1:68" s="4" customFormat="1" ht="33.75" customHeight="1" x14ac:dyDescent="0.2">
      <c r="A28" s="192">
        <v>24</v>
      </c>
      <c r="B28" s="754">
        <v>24</v>
      </c>
      <c r="C28" s="756" t="s">
        <v>692</v>
      </c>
      <c r="D28" s="755" t="s">
        <v>123</v>
      </c>
      <c r="E28" s="754">
        <v>46</v>
      </c>
      <c r="F28" s="754">
        <v>46</v>
      </c>
      <c r="G28" s="193"/>
      <c r="H28" s="194"/>
      <c r="I28" s="194"/>
      <c r="J28" s="5"/>
      <c r="K28" s="193"/>
      <c r="L28" s="194"/>
      <c r="M28" s="194"/>
      <c r="N28" s="5"/>
      <c r="O28" s="757">
        <v>46</v>
      </c>
      <c r="P28" s="758">
        <v>3.6</v>
      </c>
      <c r="Q28" s="194"/>
      <c r="R28" s="5">
        <f t="shared" si="1"/>
        <v>165.6</v>
      </c>
      <c r="S28" s="759">
        <v>46</v>
      </c>
      <c r="T28" s="758">
        <v>9.6</v>
      </c>
      <c r="U28" s="194"/>
      <c r="V28" s="5">
        <f t="shared" si="2"/>
        <v>441.59999999999997</v>
      </c>
      <c r="W28" s="193"/>
      <c r="X28" s="194"/>
      <c r="Y28" s="194"/>
      <c r="Z28" s="5" t="str">
        <f t="shared" si="3"/>
        <v/>
      </c>
      <c r="AA28" s="759">
        <v>46</v>
      </c>
      <c r="AB28" s="758">
        <v>90</v>
      </c>
      <c r="AC28" s="194"/>
      <c r="AD28" s="5">
        <f t="shared" si="4"/>
        <v>4140</v>
      </c>
      <c r="AE28" s="681"/>
      <c r="AF28" s="681"/>
      <c r="AG28" s="194"/>
      <c r="AH28" s="5" t="str">
        <f t="shared" si="5"/>
        <v/>
      </c>
      <c r="AI28" s="757"/>
      <c r="AJ28" s="759"/>
      <c r="AK28" s="194"/>
      <c r="AL28" s="5" t="str">
        <f t="shared" si="6"/>
        <v/>
      </c>
      <c r="AM28" s="193"/>
      <c r="AN28" s="194"/>
      <c r="AO28" s="194"/>
      <c r="AP28" s="5" t="str">
        <f t="shared" si="7"/>
        <v/>
      </c>
      <c r="AQ28" s="193"/>
      <c r="AR28" s="219"/>
      <c r="AS28" s="219"/>
      <c r="AT28" s="5" t="str">
        <f t="shared" si="0"/>
        <v/>
      </c>
      <c r="AU28" s="193"/>
      <c r="AV28" s="194"/>
      <c r="AW28" s="194"/>
      <c r="AX28" s="5" t="str">
        <f t="shared" si="8"/>
        <v/>
      </c>
      <c r="AY28" s="193"/>
      <c r="AZ28" s="194"/>
      <c r="BA28" s="194"/>
      <c r="BB28" s="5" t="str">
        <f t="shared" si="9"/>
        <v/>
      </c>
      <c r="BC28" s="193"/>
      <c r="BD28" s="194"/>
      <c r="BE28" s="194"/>
      <c r="BF28" s="5" t="str">
        <f t="shared" si="10"/>
        <v/>
      </c>
      <c r="BG28" s="6"/>
      <c r="BH28" s="7"/>
      <c r="BI28" s="8"/>
      <c r="BJ28" s="195"/>
      <c r="BK28" s="196"/>
      <c r="BL28" s="197"/>
      <c r="BM28" s="198"/>
      <c r="BN28" s="8"/>
      <c r="BO28" s="8"/>
      <c r="BP28" s="9"/>
    </row>
    <row r="29" spans="1:68" s="4" customFormat="1" ht="33.75" customHeight="1" x14ac:dyDescent="0.2">
      <c r="A29" s="192">
        <v>25</v>
      </c>
      <c r="B29" s="754">
        <v>25</v>
      </c>
      <c r="C29" s="755" t="s">
        <v>693</v>
      </c>
      <c r="D29" s="755" t="s">
        <v>123</v>
      </c>
      <c r="E29" s="754">
        <v>20</v>
      </c>
      <c r="F29" s="754">
        <v>20</v>
      </c>
      <c r="G29" s="193"/>
      <c r="H29" s="194"/>
      <c r="I29" s="194"/>
      <c r="J29" s="5"/>
      <c r="K29" s="193"/>
      <c r="L29" s="194"/>
      <c r="M29" s="194"/>
      <c r="N29" s="5"/>
      <c r="O29" s="757">
        <v>20</v>
      </c>
      <c r="P29" s="758">
        <v>3.6</v>
      </c>
      <c r="Q29" s="194"/>
      <c r="R29" s="5">
        <f t="shared" si="1"/>
        <v>72</v>
      </c>
      <c r="S29" s="759">
        <v>20</v>
      </c>
      <c r="T29" s="758">
        <v>8.8000000000000007</v>
      </c>
      <c r="U29" s="194"/>
      <c r="V29" s="5">
        <f t="shared" si="2"/>
        <v>176</v>
      </c>
      <c r="W29" s="193"/>
      <c r="X29" s="194"/>
      <c r="Y29" s="194"/>
      <c r="Z29" s="5" t="str">
        <f t="shared" si="3"/>
        <v/>
      </c>
      <c r="AA29" s="759">
        <v>20</v>
      </c>
      <c r="AB29" s="758">
        <v>90</v>
      </c>
      <c r="AC29" s="194"/>
      <c r="AD29" s="5">
        <f t="shared" si="4"/>
        <v>1800</v>
      </c>
      <c r="AE29" s="681"/>
      <c r="AF29" s="681"/>
      <c r="AG29" s="194"/>
      <c r="AH29" s="5" t="str">
        <f t="shared" si="5"/>
        <v/>
      </c>
      <c r="AI29" s="757"/>
      <c r="AJ29" s="759"/>
      <c r="AK29" s="194"/>
      <c r="AL29" s="5" t="str">
        <f t="shared" si="6"/>
        <v/>
      </c>
      <c r="AM29" s="193"/>
      <c r="AN29" s="194"/>
      <c r="AO29" s="194"/>
      <c r="AP29" s="5" t="str">
        <f t="shared" si="7"/>
        <v/>
      </c>
      <c r="AQ29" s="193"/>
      <c r="AR29" s="219"/>
      <c r="AS29" s="219"/>
      <c r="AT29" s="5" t="str">
        <f t="shared" si="0"/>
        <v/>
      </c>
      <c r="AU29" s="193"/>
      <c r="AV29" s="194"/>
      <c r="AW29" s="194"/>
      <c r="AX29" s="5" t="str">
        <f t="shared" si="8"/>
        <v/>
      </c>
      <c r="AY29" s="193"/>
      <c r="AZ29" s="194"/>
      <c r="BA29" s="194"/>
      <c r="BB29" s="5" t="str">
        <f t="shared" si="9"/>
        <v/>
      </c>
      <c r="BC29" s="193"/>
      <c r="BD29" s="194"/>
      <c r="BE29" s="194"/>
      <c r="BF29" s="5" t="str">
        <f t="shared" si="10"/>
        <v/>
      </c>
      <c r="BG29" s="6"/>
      <c r="BH29" s="7"/>
      <c r="BI29" s="8"/>
      <c r="BJ29" s="195"/>
      <c r="BK29" s="196"/>
      <c r="BL29" s="197"/>
      <c r="BM29" s="198"/>
      <c r="BN29" s="8"/>
      <c r="BO29" s="8"/>
      <c r="BP29" s="9"/>
    </row>
    <row r="30" spans="1:68" s="4" customFormat="1" ht="33.75" customHeight="1" x14ac:dyDescent="0.2">
      <c r="A30" s="192">
        <v>26</v>
      </c>
      <c r="B30" s="754">
        <v>26</v>
      </c>
      <c r="C30" s="756" t="s">
        <v>694</v>
      </c>
      <c r="D30" s="755" t="s">
        <v>596</v>
      </c>
      <c r="E30" s="754">
        <v>5</v>
      </c>
      <c r="F30" s="754">
        <v>5</v>
      </c>
      <c r="G30" s="193"/>
      <c r="H30" s="194"/>
      <c r="I30" s="194"/>
      <c r="J30" s="5"/>
      <c r="K30" s="193"/>
      <c r="L30" s="194"/>
      <c r="M30" s="194"/>
      <c r="N30" s="5"/>
      <c r="O30" s="757">
        <v>5</v>
      </c>
      <c r="P30" s="758">
        <v>4583</v>
      </c>
      <c r="Q30" s="194"/>
      <c r="R30" s="5">
        <f t="shared" si="1"/>
        <v>22915</v>
      </c>
      <c r="S30" s="759">
        <v>5</v>
      </c>
      <c r="T30" s="758">
        <v>4920</v>
      </c>
      <c r="U30" s="194"/>
      <c r="V30" s="5">
        <f t="shared" si="2"/>
        <v>24600</v>
      </c>
      <c r="W30" s="193"/>
      <c r="X30" s="194"/>
      <c r="Y30" s="194"/>
      <c r="Z30" s="5" t="str">
        <f t="shared" si="3"/>
        <v/>
      </c>
      <c r="AA30" s="759"/>
      <c r="AB30" s="758"/>
      <c r="AC30" s="194"/>
      <c r="AD30" s="5" t="str">
        <f t="shared" si="4"/>
        <v/>
      </c>
      <c r="AE30" s="681"/>
      <c r="AF30" s="681"/>
      <c r="AG30" s="194"/>
      <c r="AH30" s="5" t="str">
        <f t="shared" si="5"/>
        <v/>
      </c>
      <c r="AI30" s="757"/>
      <c r="AJ30" s="759"/>
      <c r="AK30" s="194"/>
      <c r="AL30" s="5" t="str">
        <f t="shared" si="6"/>
        <v/>
      </c>
      <c r="AM30" s="193"/>
      <c r="AN30" s="194"/>
      <c r="AO30" s="194"/>
      <c r="AP30" s="5" t="str">
        <f t="shared" si="7"/>
        <v/>
      </c>
      <c r="AQ30" s="193"/>
      <c r="AR30" s="219"/>
      <c r="AS30" s="219"/>
      <c r="AT30" s="5" t="str">
        <f t="shared" si="0"/>
        <v/>
      </c>
      <c r="AU30" s="193"/>
      <c r="AV30" s="194"/>
      <c r="AW30" s="194"/>
      <c r="AX30" s="5" t="str">
        <f t="shared" si="8"/>
        <v/>
      </c>
      <c r="AY30" s="193"/>
      <c r="AZ30" s="194"/>
      <c r="BA30" s="194"/>
      <c r="BB30" s="5" t="str">
        <f t="shared" si="9"/>
        <v/>
      </c>
      <c r="BC30" s="193"/>
      <c r="BD30" s="194"/>
      <c r="BE30" s="194"/>
      <c r="BF30" s="5" t="str">
        <f t="shared" si="10"/>
        <v/>
      </c>
      <c r="BG30" s="6"/>
      <c r="BH30" s="7"/>
      <c r="BI30" s="8"/>
      <c r="BJ30" s="195"/>
      <c r="BK30" s="196"/>
      <c r="BL30" s="197"/>
      <c r="BM30" s="198"/>
      <c r="BN30" s="8"/>
      <c r="BO30" s="8"/>
      <c r="BP30" s="9"/>
    </row>
    <row r="31" spans="1:68" s="4" customFormat="1" ht="33.75" customHeight="1" x14ac:dyDescent="0.2">
      <c r="A31" s="192">
        <v>27</v>
      </c>
      <c r="B31" s="754">
        <v>27</v>
      </c>
      <c r="C31" s="755" t="s">
        <v>695</v>
      </c>
      <c r="D31" s="755" t="s">
        <v>597</v>
      </c>
      <c r="E31" s="754">
        <v>121</v>
      </c>
      <c r="F31" s="754">
        <v>121</v>
      </c>
      <c r="G31" s="193"/>
      <c r="H31" s="194"/>
      <c r="I31" s="194"/>
      <c r="J31" s="5"/>
      <c r="K31" s="193"/>
      <c r="L31" s="194"/>
      <c r="M31" s="194"/>
      <c r="N31" s="5"/>
      <c r="O31" s="757">
        <v>121</v>
      </c>
      <c r="P31" s="758">
        <v>6.5</v>
      </c>
      <c r="Q31" s="194"/>
      <c r="R31" s="5">
        <f t="shared" si="1"/>
        <v>786.5</v>
      </c>
      <c r="S31" s="759">
        <v>121</v>
      </c>
      <c r="T31" s="758">
        <v>23.1</v>
      </c>
      <c r="U31" s="194"/>
      <c r="V31" s="5">
        <f t="shared" si="2"/>
        <v>2795.1000000000004</v>
      </c>
      <c r="W31" s="193"/>
      <c r="X31" s="194"/>
      <c r="Y31" s="194"/>
      <c r="Z31" s="5" t="str">
        <f t="shared" si="3"/>
        <v/>
      </c>
      <c r="AA31" s="759">
        <v>121</v>
      </c>
      <c r="AB31" s="758">
        <v>465</v>
      </c>
      <c r="AC31" s="194"/>
      <c r="AD31" s="5">
        <f t="shared" si="4"/>
        <v>56265</v>
      </c>
      <c r="AE31" s="681"/>
      <c r="AF31" s="681"/>
      <c r="AG31" s="194"/>
      <c r="AH31" s="5" t="str">
        <f t="shared" si="5"/>
        <v/>
      </c>
      <c r="AI31" s="757">
        <v>121</v>
      </c>
      <c r="AJ31" s="759">
        <v>581</v>
      </c>
      <c r="AK31" s="194"/>
      <c r="AL31" s="5">
        <f t="shared" si="6"/>
        <v>70301</v>
      </c>
      <c r="AM31" s="193"/>
      <c r="AN31" s="194"/>
      <c r="AO31" s="194"/>
      <c r="AP31" s="5" t="str">
        <f t="shared" si="7"/>
        <v/>
      </c>
      <c r="AQ31" s="193"/>
      <c r="AR31" s="219"/>
      <c r="AS31" s="219"/>
      <c r="AT31" s="5" t="str">
        <f t="shared" si="0"/>
        <v/>
      </c>
      <c r="AU31" s="193"/>
      <c r="AV31" s="194"/>
      <c r="AW31" s="194"/>
      <c r="AX31" s="5" t="str">
        <f t="shared" si="8"/>
        <v/>
      </c>
      <c r="AY31" s="193"/>
      <c r="AZ31" s="194"/>
      <c r="BA31" s="194"/>
      <c r="BB31" s="5" t="str">
        <f t="shared" si="9"/>
        <v/>
      </c>
      <c r="BC31" s="193"/>
      <c r="BD31" s="194"/>
      <c r="BE31" s="194"/>
      <c r="BF31" s="5" t="str">
        <f t="shared" si="10"/>
        <v/>
      </c>
      <c r="BG31" s="6"/>
      <c r="BH31" s="7"/>
      <c r="BI31" s="8"/>
      <c r="BJ31" s="195"/>
      <c r="BK31" s="196"/>
      <c r="BL31" s="197"/>
      <c r="BM31" s="198"/>
      <c r="BN31" s="8"/>
      <c r="BO31" s="8"/>
      <c r="BP31" s="9"/>
    </row>
    <row r="32" spans="1:68" s="4" customFormat="1" ht="33.75" customHeight="1" x14ac:dyDescent="0.2">
      <c r="A32" s="192">
        <v>28</v>
      </c>
      <c r="B32" s="754">
        <v>28</v>
      </c>
      <c r="C32" s="756" t="s">
        <v>696</v>
      </c>
      <c r="D32" s="755" t="s">
        <v>598</v>
      </c>
      <c r="E32" s="754">
        <v>15</v>
      </c>
      <c r="F32" s="754">
        <v>15</v>
      </c>
      <c r="G32" s="193"/>
      <c r="H32" s="194"/>
      <c r="I32" s="194"/>
      <c r="J32" s="5"/>
      <c r="K32" s="193"/>
      <c r="L32" s="194"/>
      <c r="M32" s="194"/>
      <c r="N32" s="5"/>
      <c r="O32" s="757"/>
      <c r="P32" s="758"/>
      <c r="Q32" s="194"/>
      <c r="R32" s="5" t="str">
        <f t="shared" si="1"/>
        <v/>
      </c>
      <c r="S32" s="759"/>
      <c r="T32" s="758"/>
      <c r="U32" s="194"/>
      <c r="V32" s="5" t="str">
        <f t="shared" si="2"/>
        <v/>
      </c>
      <c r="W32" s="193"/>
      <c r="X32" s="194"/>
      <c r="Y32" s="194"/>
      <c r="Z32" s="5" t="str">
        <f t="shared" si="3"/>
        <v/>
      </c>
      <c r="AA32" s="759"/>
      <c r="AB32" s="758"/>
      <c r="AC32" s="194"/>
      <c r="AD32" s="5" t="str">
        <f t="shared" si="4"/>
        <v/>
      </c>
      <c r="AE32" s="681"/>
      <c r="AF32" s="681"/>
      <c r="AG32" s="194"/>
      <c r="AH32" s="5" t="str">
        <f t="shared" si="5"/>
        <v/>
      </c>
      <c r="AI32" s="757"/>
      <c r="AJ32" s="759"/>
      <c r="AK32" s="194"/>
      <c r="AL32" s="5" t="str">
        <f t="shared" si="6"/>
        <v/>
      </c>
      <c r="AM32" s="193"/>
      <c r="AN32" s="194"/>
      <c r="AO32" s="194"/>
      <c r="AP32" s="5" t="str">
        <f t="shared" si="7"/>
        <v/>
      </c>
      <c r="AQ32" s="193"/>
      <c r="AR32" s="219"/>
      <c r="AS32" s="219"/>
      <c r="AT32" s="5" t="str">
        <f t="shared" si="0"/>
        <v/>
      </c>
      <c r="AU32" s="193"/>
      <c r="AV32" s="194"/>
      <c r="AW32" s="194"/>
      <c r="AX32" s="5" t="str">
        <f t="shared" si="8"/>
        <v/>
      </c>
      <c r="AY32" s="193"/>
      <c r="AZ32" s="194"/>
      <c r="BA32" s="194"/>
      <c r="BB32" s="5" t="str">
        <f t="shared" si="9"/>
        <v/>
      </c>
      <c r="BC32" s="193"/>
      <c r="BD32" s="194"/>
      <c r="BE32" s="194"/>
      <c r="BF32" s="5" t="str">
        <f t="shared" si="10"/>
        <v/>
      </c>
      <c r="BG32" s="6"/>
      <c r="BH32" s="7"/>
      <c r="BI32" s="8"/>
      <c r="BJ32" s="195"/>
      <c r="BK32" s="196"/>
      <c r="BL32" s="197"/>
      <c r="BM32" s="198"/>
      <c r="BN32" s="8"/>
      <c r="BO32" s="8"/>
      <c r="BP32" s="9"/>
    </row>
    <row r="33" spans="1:68" s="4" customFormat="1" ht="33.75" customHeight="1" x14ac:dyDescent="0.2">
      <c r="A33" s="192">
        <v>29</v>
      </c>
      <c r="B33" s="754">
        <v>29</v>
      </c>
      <c r="C33" s="755" t="s">
        <v>697</v>
      </c>
      <c r="D33" s="755" t="s">
        <v>465</v>
      </c>
      <c r="E33" s="754">
        <v>3</v>
      </c>
      <c r="F33" s="754">
        <v>3</v>
      </c>
      <c r="G33" s="193"/>
      <c r="H33" s="194"/>
      <c r="I33" s="194"/>
      <c r="J33" s="5"/>
      <c r="K33" s="193"/>
      <c r="L33" s="194"/>
      <c r="M33" s="194"/>
      <c r="N33" s="5"/>
      <c r="O33" s="757"/>
      <c r="P33" s="758"/>
      <c r="Q33" s="194"/>
      <c r="R33" s="5" t="str">
        <f t="shared" si="1"/>
        <v/>
      </c>
      <c r="S33" s="759"/>
      <c r="T33" s="758"/>
      <c r="U33" s="194"/>
      <c r="V33" s="5" t="str">
        <f t="shared" si="2"/>
        <v/>
      </c>
      <c r="W33" s="193"/>
      <c r="X33" s="194"/>
      <c r="Y33" s="194"/>
      <c r="Z33" s="5" t="str">
        <f t="shared" si="3"/>
        <v/>
      </c>
      <c r="AA33" s="759">
        <v>3</v>
      </c>
      <c r="AB33" s="758">
        <v>3765</v>
      </c>
      <c r="AC33" s="194"/>
      <c r="AD33" s="5">
        <f t="shared" si="4"/>
        <v>11295</v>
      </c>
      <c r="AE33" s="681"/>
      <c r="AF33" s="681"/>
      <c r="AG33" s="194"/>
      <c r="AH33" s="5" t="str">
        <f t="shared" si="5"/>
        <v/>
      </c>
      <c r="AI33" s="757"/>
      <c r="AJ33" s="759"/>
      <c r="AK33" s="194"/>
      <c r="AL33" s="5" t="str">
        <f t="shared" si="6"/>
        <v/>
      </c>
      <c r="AM33" s="193"/>
      <c r="AN33" s="194"/>
      <c r="AO33" s="194"/>
      <c r="AP33" s="5" t="str">
        <f t="shared" si="7"/>
        <v/>
      </c>
      <c r="AQ33" s="193"/>
      <c r="AR33" s="219"/>
      <c r="AS33" s="219"/>
      <c r="AT33" s="5" t="str">
        <f t="shared" si="0"/>
        <v/>
      </c>
      <c r="AU33" s="193"/>
      <c r="AV33" s="194"/>
      <c r="AW33" s="194"/>
      <c r="AX33" s="5" t="str">
        <f t="shared" si="8"/>
        <v/>
      </c>
      <c r="AY33" s="193"/>
      <c r="AZ33" s="194"/>
      <c r="BA33" s="194"/>
      <c r="BB33" s="5" t="str">
        <f t="shared" si="9"/>
        <v/>
      </c>
      <c r="BC33" s="193"/>
      <c r="BD33" s="194"/>
      <c r="BE33" s="194"/>
      <c r="BF33" s="5" t="str">
        <f t="shared" si="10"/>
        <v/>
      </c>
      <c r="BG33" s="6"/>
      <c r="BH33" s="7"/>
      <c r="BI33" s="8"/>
      <c r="BJ33" s="195"/>
      <c r="BK33" s="196"/>
      <c r="BL33" s="197"/>
      <c r="BM33" s="198"/>
      <c r="BN33" s="8"/>
      <c r="BO33" s="8"/>
      <c r="BP33" s="9"/>
    </row>
    <row r="34" spans="1:68" s="4" customFormat="1" ht="33.75" customHeight="1" x14ac:dyDescent="0.2">
      <c r="A34" s="192">
        <v>30</v>
      </c>
      <c r="B34" s="754">
        <v>30</v>
      </c>
      <c r="C34" s="756" t="s">
        <v>698</v>
      </c>
      <c r="D34" s="755" t="s">
        <v>599</v>
      </c>
      <c r="E34" s="754">
        <v>4</v>
      </c>
      <c r="F34" s="754">
        <v>4</v>
      </c>
      <c r="G34" s="193"/>
      <c r="H34" s="194"/>
      <c r="I34" s="194"/>
      <c r="J34" s="5"/>
      <c r="K34" s="193"/>
      <c r="L34" s="194"/>
      <c r="M34" s="194"/>
      <c r="N34" s="5"/>
      <c r="O34" s="757"/>
      <c r="P34" s="758"/>
      <c r="Q34" s="194"/>
      <c r="R34" s="5" t="str">
        <f t="shared" si="1"/>
        <v/>
      </c>
      <c r="S34" s="759"/>
      <c r="T34" s="758"/>
      <c r="U34" s="194"/>
      <c r="V34" s="5" t="str">
        <f t="shared" si="2"/>
        <v/>
      </c>
      <c r="W34" s="193"/>
      <c r="X34" s="194"/>
      <c r="Y34" s="194"/>
      <c r="Z34" s="5" t="str">
        <f t="shared" si="3"/>
        <v/>
      </c>
      <c r="AA34" s="759"/>
      <c r="AB34" s="758"/>
      <c r="AC34" s="194"/>
      <c r="AD34" s="5" t="str">
        <f t="shared" si="4"/>
        <v/>
      </c>
      <c r="AE34" s="681"/>
      <c r="AF34" s="681"/>
      <c r="AG34" s="194"/>
      <c r="AH34" s="5" t="str">
        <f t="shared" si="5"/>
        <v/>
      </c>
      <c r="AI34" s="757"/>
      <c r="AJ34" s="759"/>
      <c r="AK34" s="194"/>
      <c r="AL34" s="5" t="str">
        <f t="shared" si="6"/>
        <v/>
      </c>
      <c r="AM34" s="193"/>
      <c r="AN34" s="194"/>
      <c r="AO34" s="194"/>
      <c r="AP34" s="5" t="str">
        <f t="shared" si="7"/>
        <v/>
      </c>
      <c r="AQ34" s="193"/>
      <c r="AR34" s="219"/>
      <c r="AS34" s="219"/>
      <c r="AT34" s="5" t="str">
        <f t="shared" si="0"/>
        <v/>
      </c>
      <c r="AU34" s="193"/>
      <c r="AV34" s="194"/>
      <c r="AW34" s="194"/>
      <c r="AX34" s="5" t="str">
        <f t="shared" si="8"/>
        <v/>
      </c>
      <c r="AY34" s="193"/>
      <c r="AZ34" s="194"/>
      <c r="BA34" s="194"/>
      <c r="BB34" s="5" t="str">
        <f t="shared" si="9"/>
        <v/>
      </c>
      <c r="BC34" s="193"/>
      <c r="BD34" s="194"/>
      <c r="BE34" s="194"/>
      <c r="BF34" s="5" t="str">
        <f t="shared" si="10"/>
        <v/>
      </c>
      <c r="BG34" s="6"/>
      <c r="BH34" s="7"/>
      <c r="BI34" s="8"/>
      <c r="BJ34" s="195"/>
      <c r="BK34" s="196"/>
      <c r="BL34" s="197"/>
      <c r="BM34" s="198"/>
      <c r="BN34" s="8"/>
      <c r="BO34" s="8"/>
      <c r="BP34" s="9"/>
    </row>
    <row r="35" spans="1:68" s="4" customFormat="1" ht="33.75" customHeight="1" x14ac:dyDescent="0.2">
      <c r="A35" s="192">
        <v>31</v>
      </c>
      <c r="B35" s="754">
        <v>31</v>
      </c>
      <c r="C35" s="755" t="s">
        <v>699</v>
      </c>
      <c r="D35" s="755" t="s">
        <v>127</v>
      </c>
      <c r="E35" s="754">
        <v>10</v>
      </c>
      <c r="F35" s="754">
        <v>10</v>
      </c>
      <c r="G35" s="193"/>
      <c r="H35" s="194"/>
      <c r="I35" s="194"/>
      <c r="J35" s="5"/>
      <c r="K35" s="193"/>
      <c r="L35" s="194"/>
      <c r="M35" s="194"/>
      <c r="N35" s="5"/>
      <c r="O35" s="757">
        <v>10</v>
      </c>
      <c r="P35" s="758">
        <v>30</v>
      </c>
      <c r="Q35" s="194"/>
      <c r="R35" s="5">
        <f t="shared" si="1"/>
        <v>300</v>
      </c>
      <c r="S35" s="759">
        <v>10</v>
      </c>
      <c r="T35" s="758">
        <v>14.4</v>
      </c>
      <c r="U35" s="194"/>
      <c r="V35" s="5">
        <f t="shared" si="2"/>
        <v>144</v>
      </c>
      <c r="W35" s="193"/>
      <c r="X35" s="194"/>
      <c r="Y35" s="194"/>
      <c r="Z35" s="5" t="str">
        <f t="shared" si="3"/>
        <v/>
      </c>
      <c r="AA35" s="759">
        <v>10</v>
      </c>
      <c r="AB35" s="758">
        <v>315</v>
      </c>
      <c r="AC35" s="194"/>
      <c r="AD35" s="5">
        <f t="shared" si="4"/>
        <v>3150</v>
      </c>
      <c r="AE35" s="681"/>
      <c r="AF35" s="681"/>
      <c r="AG35" s="194"/>
      <c r="AH35" s="5" t="str">
        <f t="shared" si="5"/>
        <v/>
      </c>
      <c r="AI35" s="757"/>
      <c r="AJ35" s="759"/>
      <c r="AK35" s="194"/>
      <c r="AL35" s="5" t="str">
        <f t="shared" si="6"/>
        <v/>
      </c>
      <c r="AM35" s="193"/>
      <c r="AN35" s="194"/>
      <c r="AO35" s="194"/>
      <c r="AP35" s="5" t="str">
        <f t="shared" si="7"/>
        <v/>
      </c>
      <c r="AQ35" s="193"/>
      <c r="AR35" s="219"/>
      <c r="AS35" s="219"/>
      <c r="AT35" s="5" t="str">
        <f t="shared" si="0"/>
        <v/>
      </c>
      <c r="AU35" s="193"/>
      <c r="AV35" s="194"/>
      <c r="AW35" s="194"/>
      <c r="AX35" s="5" t="str">
        <f t="shared" si="8"/>
        <v/>
      </c>
      <c r="AY35" s="193"/>
      <c r="AZ35" s="194"/>
      <c r="BA35" s="194"/>
      <c r="BB35" s="5" t="str">
        <f t="shared" si="9"/>
        <v/>
      </c>
      <c r="BC35" s="193"/>
      <c r="BD35" s="194"/>
      <c r="BE35" s="194"/>
      <c r="BF35" s="5" t="str">
        <f t="shared" si="10"/>
        <v/>
      </c>
      <c r="BG35" s="6"/>
      <c r="BH35" s="7"/>
      <c r="BI35" s="8"/>
      <c r="BJ35" s="195"/>
      <c r="BK35" s="196"/>
      <c r="BL35" s="197"/>
      <c r="BM35" s="198"/>
      <c r="BN35" s="8"/>
      <c r="BO35" s="8"/>
      <c r="BP35" s="9"/>
    </row>
    <row r="36" spans="1:68" s="4" customFormat="1" ht="33.75" customHeight="1" x14ac:dyDescent="0.2">
      <c r="A36" s="192">
        <v>32</v>
      </c>
      <c r="B36" s="754">
        <v>32</v>
      </c>
      <c r="C36" s="756" t="s">
        <v>700</v>
      </c>
      <c r="D36" s="755" t="s">
        <v>127</v>
      </c>
      <c r="E36" s="754">
        <v>20</v>
      </c>
      <c r="F36" s="754">
        <v>20</v>
      </c>
      <c r="G36" s="193"/>
      <c r="H36" s="194"/>
      <c r="I36" s="194"/>
      <c r="J36" s="5"/>
      <c r="K36" s="193"/>
      <c r="L36" s="194"/>
      <c r="M36" s="194"/>
      <c r="N36" s="5"/>
      <c r="O36" s="757">
        <v>20</v>
      </c>
      <c r="P36" s="758">
        <v>30</v>
      </c>
      <c r="Q36" s="194"/>
      <c r="R36" s="5">
        <f t="shared" si="1"/>
        <v>600</v>
      </c>
      <c r="S36" s="759">
        <v>20</v>
      </c>
      <c r="T36" s="758">
        <v>14.4</v>
      </c>
      <c r="U36" s="194"/>
      <c r="V36" s="5">
        <f t="shared" si="2"/>
        <v>288</v>
      </c>
      <c r="W36" s="193"/>
      <c r="X36" s="194"/>
      <c r="Y36" s="194"/>
      <c r="Z36" s="5" t="str">
        <f t="shared" si="3"/>
        <v/>
      </c>
      <c r="AA36" s="759">
        <v>20</v>
      </c>
      <c r="AB36" s="758">
        <v>315</v>
      </c>
      <c r="AC36" s="194"/>
      <c r="AD36" s="5">
        <f t="shared" si="4"/>
        <v>6300</v>
      </c>
      <c r="AE36" s="681"/>
      <c r="AF36" s="681"/>
      <c r="AG36" s="194"/>
      <c r="AH36" s="5" t="str">
        <f t="shared" si="5"/>
        <v/>
      </c>
      <c r="AI36" s="757"/>
      <c r="AJ36" s="759"/>
      <c r="AK36" s="194"/>
      <c r="AL36" s="5" t="str">
        <f t="shared" si="6"/>
        <v/>
      </c>
      <c r="AM36" s="193"/>
      <c r="AN36" s="194"/>
      <c r="AO36" s="194"/>
      <c r="AP36" s="5" t="str">
        <f t="shared" si="7"/>
        <v/>
      </c>
      <c r="AQ36" s="193"/>
      <c r="AR36" s="219"/>
      <c r="AS36" s="219"/>
      <c r="AT36" s="5" t="str">
        <f t="shared" si="0"/>
        <v/>
      </c>
      <c r="AU36" s="193"/>
      <c r="AV36" s="194"/>
      <c r="AW36" s="194"/>
      <c r="AX36" s="5" t="str">
        <f t="shared" si="8"/>
        <v/>
      </c>
      <c r="AY36" s="193"/>
      <c r="AZ36" s="194"/>
      <c r="BA36" s="194"/>
      <c r="BB36" s="5" t="str">
        <f t="shared" si="9"/>
        <v/>
      </c>
      <c r="BC36" s="193"/>
      <c r="BD36" s="194"/>
      <c r="BE36" s="194"/>
      <c r="BF36" s="5" t="str">
        <f t="shared" si="10"/>
        <v/>
      </c>
      <c r="BG36" s="6"/>
      <c r="BH36" s="7"/>
      <c r="BI36" s="8"/>
      <c r="BJ36" s="195"/>
      <c r="BK36" s="196"/>
      <c r="BL36" s="197"/>
      <c r="BM36" s="198"/>
      <c r="BN36" s="8"/>
      <c r="BO36" s="8"/>
      <c r="BP36" s="9"/>
    </row>
    <row r="37" spans="1:68" s="4" customFormat="1" ht="33.75" customHeight="1" x14ac:dyDescent="0.2">
      <c r="A37" s="192">
        <v>33</v>
      </c>
      <c r="B37" s="754">
        <v>33</v>
      </c>
      <c r="C37" s="755" t="s">
        <v>701</v>
      </c>
      <c r="D37" s="755" t="s">
        <v>127</v>
      </c>
      <c r="E37" s="754">
        <v>110</v>
      </c>
      <c r="F37" s="754">
        <v>110</v>
      </c>
      <c r="G37" s="193"/>
      <c r="H37" s="194"/>
      <c r="I37" s="194"/>
      <c r="J37" s="5"/>
      <c r="K37" s="193"/>
      <c r="L37" s="194"/>
      <c r="M37" s="194"/>
      <c r="N37" s="5"/>
      <c r="O37" s="757">
        <v>110</v>
      </c>
      <c r="P37" s="758">
        <v>27</v>
      </c>
      <c r="Q37" s="194"/>
      <c r="R37" s="5">
        <f t="shared" si="1"/>
        <v>2970</v>
      </c>
      <c r="S37" s="759">
        <v>110</v>
      </c>
      <c r="T37" s="758">
        <v>19.5</v>
      </c>
      <c r="U37" s="194"/>
      <c r="V37" s="5">
        <f t="shared" si="2"/>
        <v>2145</v>
      </c>
      <c r="W37" s="193"/>
      <c r="X37" s="194"/>
      <c r="Y37" s="194"/>
      <c r="Z37" s="5" t="str">
        <f t="shared" si="3"/>
        <v/>
      </c>
      <c r="AA37" s="759">
        <v>110</v>
      </c>
      <c r="AB37" s="758">
        <v>465</v>
      </c>
      <c r="AC37" s="194"/>
      <c r="AD37" s="5">
        <f t="shared" si="4"/>
        <v>51150</v>
      </c>
      <c r="AE37" s="681"/>
      <c r="AF37" s="681"/>
      <c r="AG37" s="194"/>
      <c r="AH37" s="5" t="str">
        <f t="shared" si="5"/>
        <v/>
      </c>
      <c r="AI37" s="757"/>
      <c r="AJ37" s="759"/>
      <c r="AK37" s="194"/>
      <c r="AL37" s="5" t="str">
        <f t="shared" si="6"/>
        <v/>
      </c>
      <c r="AM37" s="193"/>
      <c r="AN37" s="194"/>
      <c r="AO37" s="194"/>
      <c r="AP37" s="5" t="str">
        <f t="shared" si="7"/>
        <v/>
      </c>
      <c r="AQ37" s="193"/>
      <c r="AR37" s="219"/>
      <c r="AS37" s="219"/>
      <c r="AT37" s="5" t="str">
        <f t="shared" si="0"/>
        <v/>
      </c>
      <c r="AU37" s="193"/>
      <c r="AV37" s="194"/>
      <c r="AW37" s="194"/>
      <c r="AX37" s="5" t="str">
        <f t="shared" si="8"/>
        <v/>
      </c>
      <c r="AY37" s="193"/>
      <c r="AZ37" s="194"/>
      <c r="BA37" s="194"/>
      <c r="BB37" s="5" t="str">
        <f t="shared" si="9"/>
        <v/>
      </c>
      <c r="BC37" s="193"/>
      <c r="BD37" s="194"/>
      <c r="BE37" s="194"/>
      <c r="BF37" s="5" t="str">
        <f t="shared" si="10"/>
        <v/>
      </c>
      <c r="BG37" s="6"/>
      <c r="BH37" s="7"/>
      <c r="BI37" s="8"/>
      <c r="BJ37" s="195"/>
      <c r="BK37" s="196"/>
      <c r="BL37" s="197"/>
      <c r="BM37" s="198"/>
      <c r="BN37" s="8"/>
      <c r="BO37" s="8"/>
      <c r="BP37" s="9"/>
    </row>
    <row r="38" spans="1:68" s="4" customFormat="1" ht="33.75" customHeight="1" x14ac:dyDescent="0.2">
      <c r="A38" s="192">
        <v>34</v>
      </c>
      <c r="B38" s="754">
        <v>34</v>
      </c>
      <c r="C38" s="756" t="s">
        <v>702</v>
      </c>
      <c r="D38" s="755" t="s">
        <v>127</v>
      </c>
      <c r="E38" s="754">
        <v>131</v>
      </c>
      <c r="F38" s="754">
        <v>131</v>
      </c>
      <c r="G38" s="193"/>
      <c r="H38" s="194"/>
      <c r="I38" s="194"/>
      <c r="J38" s="5"/>
      <c r="K38" s="193"/>
      <c r="L38" s="194"/>
      <c r="M38" s="194"/>
      <c r="N38" s="5"/>
      <c r="O38" s="757">
        <v>131</v>
      </c>
      <c r="P38" s="758">
        <v>45</v>
      </c>
      <c r="Q38" s="194"/>
      <c r="R38" s="5">
        <f t="shared" si="1"/>
        <v>5895</v>
      </c>
      <c r="S38" s="759">
        <v>131</v>
      </c>
      <c r="T38" s="758">
        <v>18</v>
      </c>
      <c r="U38" s="194"/>
      <c r="V38" s="5">
        <f t="shared" si="2"/>
        <v>2358</v>
      </c>
      <c r="W38" s="193"/>
      <c r="X38" s="194"/>
      <c r="Y38" s="194"/>
      <c r="Z38" s="5" t="str">
        <f t="shared" si="3"/>
        <v/>
      </c>
      <c r="AA38" s="759">
        <v>131</v>
      </c>
      <c r="AB38" s="758">
        <v>465</v>
      </c>
      <c r="AC38" s="194"/>
      <c r="AD38" s="5">
        <f t="shared" si="4"/>
        <v>60915</v>
      </c>
      <c r="AE38" s="681"/>
      <c r="AF38" s="681"/>
      <c r="AG38" s="194"/>
      <c r="AH38" s="5" t="str">
        <f t="shared" si="5"/>
        <v/>
      </c>
      <c r="AI38" s="757"/>
      <c r="AJ38" s="759"/>
      <c r="AK38" s="194"/>
      <c r="AL38" s="5" t="str">
        <f t="shared" si="6"/>
        <v/>
      </c>
      <c r="AM38" s="193"/>
      <c r="AN38" s="194"/>
      <c r="AO38" s="194"/>
      <c r="AP38" s="5" t="str">
        <f t="shared" si="7"/>
        <v/>
      </c>
      <c r="AQ38" s="193"/>
      <c r="AR38" s="219"/>
      <c r="AS38" s="219"/>
      <c r="AT38" s="5" t="str">
        <f t="shared" si="0"/>
        <v/>
      </c>
      <c r="AU38" s="193"/>
      <c r="AV38" s="194"/>
      <c r="AW38" s="194"/>
      <c r="AX38" s="5" t="str">
        <f t="shared" si="8"/>
        <v/>
      </c>
      <c r="AY38" s="193"/>
      <c r="AZ38" s="194"/>
      <c r="BA38" s="194"/>
      <c r="BB38" s="5" t="str">
        <f t="shared" si="9"/>
        <v/>
      </c>
      <c r="BC38" s="193"/>
      <c r="BD38" s="194"/>
      <c r="BE38" s="194"/>
      <c r="BF38" s="5" t="str">
        <f t="shared" si="10"/>
        <v/>
      </c>
      <c r="BG38" s="6"/>
      <c r="BH38" s="7"/>
      <c r="BI38" s="8"/>
      <c r="BJ38" s="195"/>
      <c r="BK38" s="196"/>
      <c r="BL38" s="197"/>
      <c r="BM38" s="198"/>
      <c r="BN38" s="8"/>
      <c r="BO38" s="8"/>
      <c r="BP38" s="9"/>
    </row>
    <row r="39" spans="1:68" s="4" customFormat="1" ht="33.75" customHeight="1" x14ac:dyDescent="0.2">
      <c r="A39" s="192">
        <v>35</v>
      </c>
      <c r="B39" s="754">
        <v>35</v>
      </c>
      <c r="C39" s="755" t="s">
        <v>703</v>
      </c>
      <c r="D39" s="755" t="s">
        <v>127</v>
      </c>
      <c r="E39" s="754">
        <v>10</v>
      </c>
      <c r="F39" s="754">
        <v>10</v>
      </c>
      <c r="G39" s="193"/>
      <c r="H39" s="194"/>
      <c r="I39" s="194"/>
      <c r="J39" s="5"/>
      <c r="K39" s="193"/>
      <c r="L39" s="194"/>
      <c r="M39" s="194"/>
      <c r="N39" s="5"/>
      <c r="O39" s="757">
        <v>10</v>
      </c>
      <c r="P39" s="758">
        <v>171</v>
      </c>
      <c r="Q39" s="194"/>
      <c r="R39" s="5">
        <f t="shared" si="1"/>
        <v>1710</v>
      </c>
      <c r="S39" s="759">
        <v>10</v>
      </c>
      <c r="T39" s="758">
        <v>144</v>
      </c>
      <c r="U39" s="194"/>
      <c r="V39" s="5">
        <f t="shared" si="2"/>
        <v>1440</v>
      </c>
      <c r="W39" s="193"/>
      <c r="X39" s="194"/>
      <c r="Y39" s="194"/>
      <c r="Z39" s="5" t="str">
        <f t="shared" si="3"/>
        <v/>
      </c>
      <c r="AA39" s="759">
        <v>10</v>
      </c>
      <c r="AB39" s="758">
        <v>9765</v>
      </c>
      <c r="AC39" s="194"/>
      <c r="AD39" s="5">
        <f t="shared" si="4"/>
        <v>97650</v>
      </c>
      <c r="AE39" s="681"/>
      <c r="AF39" s="681"/>
      <c r="AG39" s="194"/>
      <c r="AH39" s="5" t="str">
        <f t="shared" si="5"/>
        <v/>
      </c>
      <c r="AI39" s="757">
        <v>10</v>
      </c>
      <c r="AJ39" s="759">
        <v>14940</v>
      </c>
      <c r="AK39" s="194"/>
      <c r="AL39" s="5">
        <f t="shared" si="6"/>
        <v>149400</v>
      </c>
      <c r="AM39" s="193"/>
      <c r="AN39" s="194"/>
      <c r="AO39" s="194"/>
      <c r="AP39" s="5" t="str">
        <f t="shared" si="7"/>
        <v/>
      </c>
      <c r="AQ39" s="193"/>
      <c r="AR39" s="219"/>
      <c r="AS39" s="219"/>
      <c r="AT39" s="5" t="str">
        <f t="shared" si="0"/>
        <v/>
      </c>
      <c r="AU39" s="193"/>
      <c r="AV39" s="194"/>
      <c r="AW39" s="194"/>
      <c r="AX39" s="5" t="str">
        <f t="shared" si="8"/>
        <v/>
      </c>
      <c r="AY39" s="193"/>
      <c r="AZ39" s="194"/>
      <c r="BA39" s="194"/>
      <c r="BB39" s="5" t="str">
        <f t="shared" si="9"/>
        <v/>
      </c>
      <c r="BC39" s="193"/>
      <c r="BD39" s="194"/>
      <c r="BE39" s="194"/>
      <c r="BF39" s="5" t="str">
        <f t="shared" si="10"/>
        <v/>
      </c>
      <c r="BG39" s="6"/>
      <c r="BH39" s="7"/>
      <c r="BI39" s="8"/>
      <c r="BJ39" s="195"/>
      <c r="BK39" s="196"/>
      <c r="BL39" s="197"/>
      <c r="BM39" s="198"/>
      <c r="BN39" s="8"/>
      <c r="BO39" s="8"/>
      <c r="BP39" s="9"/>
    </row>
    <row r="40" spans="1:68" s="4" customFormat="1" ht="33.75" customHeight="1" x14ac:dyDescent="0.2">
      <c r="A40" s="192">
        <v>36</v>
      </c>
      <c r="B40" s="754">
        <v>36</v>
      </c>
      <c r="C40" s="756" t="s">
        <v>704</v>
      </c>
      <c r="D40" s="755" t="s">
        <v>127</v>
      </c>
      <c r="E40" s="754">
        <v>28</v>
      </c>
      <c r="F40" s="754">
        <v>28</v>
      </c>
      <c r="G40" s="193"/>
      <c r="H40" s="194"/>
      <c r="I40" s="194"/>
      <c r="J40" s="5"/>
      <c r="K40" s="193"/>
      <c r="L40" s="194"/>
      <c r="M40" s="194"/>
      <c r="N40" s="5"/>
      <c r="O40" s="757">
        <v>28</v>
      </c>
      <c r="P40" s="758">
        <v>155</v>
      </c>
      <c r="Q40" s="194"/>
      <c r="R40" s="5">
        <f t="shared" si="1"/>
        <v>4340</v>
      </c>
      <c r="S40" s="759">
        <v>28</v>
      </c>
      <c r="T40" s="758">
        <v>132</v>
      </c>
      <c r="U40" s="194"/>
      <c r="V40" s="5">
        <f t="shared" si="2"/>
        <v>3696</v>
      </c>
      <c r="W40" s="193"/>
      <c r="X40" s="194"/>
      <c r="Y40" s="194"/>
      <c r="Z40" s="5" t="str">
        <f t="shared" si="3"/>
        <v/>
      </c>
      <c r="AA40" s="759">
        <v>28</v>
      </c>
      <c r="AB40" s="758">
        <v>9765</v>
      </c>
      <c r="AC40" s="194"/>
      <c r="AD40" s="5">
        <f t="shared" si="4"/>
        <v>273420</v>
      </c>
      <c r="AE40" s="681"/>
      <c r="AF40" s="681"/>
      <c r="AG40" s="194"/>
      <c r="AH40" s="5" t="str">
        <f t="shared" si="5"/>
        <v/>
      </c>
      <c r="AI40" s="757">
        <v>28</v>
      </c>
      <c r="AJ40" s="759">
        <v>14940</v>
      </c>
      <c r="AK40" s="194"/>
      <c r="AL40" s="5">
        <f t="shared" si="6"/>
        <v>418320</v>
      </c>
      <c r="AM40" s="193"/>
      <c r="AN40" s="194"/>
      <c r="AO40" s="194"/>
      <c r="AP40" s="5" t="str">
        <f t="shared" si="7"/>
        <v/>
      </c>
      <c r="AQ40" s="193"/>
      <c r="AR40" s="219"/>
      <c r="AS40" s="219"/>
      <c r="AT40" s="5" t="str">
        <f t="shared" si="0"/>
        <v/>
      </c>
      <c r="AU40" s="193"/>
      <c r="AV40" s="194"/>
      <c r="AW40" s="194"/>
      <c r="AX40" s="5" t="str">
        <f t="shared" si="8"/>
        <v/>
      </c>
      <c r="AY40" s="193"/>
      <c r="AZ40" s="194"/>
      <c r="BA40" s="194"/>
      <c r="BB40" s="5" t="str">
        <f t="shared" si="9"/>
        <v/>
      </c>
      <c r="BC40" s="193"/>
      <c r="BD40" s="194"/>
      <c r="BE40" s="194"/>
      <c r="BF40" s="5" t="str">
        <f t="shared" si="10"/>
        <v/>
      </c>
      <c r="BG40" s="6"/>
      <c r="BH40" s="7"/>
      <c r="BI40" s="8"/>
      <c r="BJ40" s="195"/>
      <c r="BK40" s="196"/>
      <c r="BL40" s="197"/>
      <c r="BM40" s="198"/>
      <c r="BN40" s="8"/>
      <c r="BO40" s="8"/>
      <c r="BP40" s="9"/>
    </row>
    <row r="41" spans="1:68" s="4" customFormat="1" ht="33.75" customHeight="1" x14ac:dyDescent="0.2">
      <c r="A41" s="192">
        <v>37</v>
      </c>
      <c r="B41" s="754">
        <v>37</v>
      </c>
      <c r="C41" s="755" t="s">
        <v>705</v>
      </c>
      <c r="D41" s="755" t="s">
        <v>600</v>
      </c>
      <c r="E41" s="754">
        <v>5</v>
      </c>
      <c r="F41" s="754">
        <v>5</v>
      </c>
      <c r="G41" s="193"/>
      <c r="H41" s="194"/>
      <c r="I41" s="194"/>
      <c r="J41" s="5"/>
      <c r="K41" s="193"/>
      <c r="L41" s="194"/>
      <c r="M41" s="194"/>
      <c r="N41" s="5"/>
      <c r="O41" s="757"/>
      <c r="P41" s="758"/>
      <c r="Q41" s="194"/>
      <c r="R41" s="5" t="str">
        <f t="shared" si="1"/>
        <v/>
      </c>
      <c r="S41" s="759"/>
      <c r="T41" s="758"/>
      <c r="U41" s="194"/>
      <c r="V41" s="5" t="str">
        <f t="shared" si="2"/>
        <v/>
      </c>
      <c r="W41" s="193"/>
      <c r="X41" s="194"/>
      <c r="Y41" s="194"/>
      <c r="Z41" s="5" t="str">
        <f t="shared" si="3"/>
        <v/>
      </c>
      <c r="AA41" s="759"/>
      <c r="AB41" s="758"/>
      <c r="AC41" s="194"/>
      <c r="AD41" s="5" t="str">
        <f t="shared" si="4"/>
        <v/>
      </c>
      <c r="AE41" s="681"/>
      <c r="AF41" s="681"/>
      <c r="AG41" s="194"/>
      <c r="AH41" s="5" t="str">
        <f t="shared" si="5"/>
        <v/>
      </c>
      <c r="AI41" s="757"/>
      <c r="AJ41" s="759"/>
      <c r="AK41" s="194"/>
      <c r="AL41" s="5" t="str">
        <f t="shared" si="6"/>
        <v/>
      </c>
      <c r="AM41" s="193"/>
      <c r="AN41" s="194"/>
      <c r="AO41" s="194"/>
      <c r="AP41" s="5" t="str">
        <f t="shared" si="7"/>
        <v/>
      </c>
      <c r="AQ41" s="193"/>
      <c r="AR41" s="219"/>
      <c r="AS41" s="219"/>
      <c r="AT41" s="5" t="str">
        <f t="shared" si="0"/>
        <v/>
      </c>
      <c r="AU41" s="193"/>
      <c r="AV41" s="194"/>
      <c r="AW41" s="194"/>
      <c r="AX41" s="5" t="str">
        <f t="shared" si="8"/>
        <v/>
      </c>
      <c r="AY41" s="193"/>
      <c r="AZ41" s="194"/>
      <c r="BA41" s="194"/>
      <c r="BB41" s="5" t="str">
        <f t="shared" si="9"/>
        <v/>
      </c>
      <c r="BC41" s="193"/>
      <c r="BD41" s="194"/>
      <c r="BE41" s="194"/>
      <c r="BF41" s="5" t="str">
        <f t="shared" si="10"/>
        <v/>
      </c>
      <c r="BG41" s="6"/>
      <c r="BH41" s="7"/>
      <c r="BI41" s="8"/>
      <c r="BJ41" s="195"/>
      <c r="BK41" s="196"/>
      <c r="BL41" s="197"/>
      <c r="BM41" s="198"/>
      <c r="BN41" s="8"/>
      <c r="BO41" s="8"/>
      <c r="BP41" s="9"/>
    </row>
    <row r="42" spans="1:68" s="4" customFormat="1" ht="33.75" customHeight="1" x14ac:dyDescent="0.2">
      <c r="A42" s="192">
        <v>38</v>
      </c>
      <c r="B42" s="754">
        <v>38</v>
      </c>
      <c r="C42" s="756" t="s">
        <v>706</v>
      </c>
      <c r="D42" s="755" t="s">
        <v>129</v>
      </c>
      <c r="E42" s="754">
        <v>12</v>
      </c>
      <c r="F42" s="754">
        <v>12</v>
      </c>
      <c r="G42" s="193"/>
      <c r="H42" s="194"/>
      <c r="I42" s="194"/>
      <c r="J42" s="5"/>
      <c r="K42" s="193"/>
      <c r="L42" s="194"/>
      <c r="M42" s="194"/>
      <c r="N42" s="5"/>
      <c r="O42" s="757">
        <v>12</v>
      </c>
      <c r="P42" s="758">
        <v>500</v>
      </c>
      <c r="Q42" s="194"/>
      <c r="R42" s="5">
        <f t="shared" si="1"/>
        <v>6000</v>
      </c>
      <c r="S42" s="759">
        <v>12</v>
      </c>
      <c r="T42" s="758">
        <v>325</v>
      </c>
      <c r="U42" s="194"/>
      <c r="V42" s="5">
        <f t="shared" si="2"/>
        <v>3900</v>
      </c>
      <c r="W42" s="193"/>
      <c r="X42" s="194"/>
      <c r="Y42" s="194"/>
      <c r="Z42" s="5" t="str">
        <f t="shared" si="3"/>
        <v/>
      </c>
      <c r="AA42" s="759">
        <v>12</v>
      </c>
      <c r="AB42" s="758">
        <v>9765</v>
      </c>
      <c r="AC42" s="194"/>
      <c r="AD42" s="5">
        <f t="shared" si="4"/>
        <v>117180</v>
      </c>
      <c r="AE42" s="681"/>
      <c r="AF42" s="681"/>
      <c r="AG42" s="194"/>
      <c r="AH42" s="5" t="str">
        <f t="shared" si="5"/>
        <v/>
      </c>
      <c r="AI42" s="757"/>
      <c r="AJ42" s="759"/>
      <c r="AK42" s="194"/>
      <c r="AL42" s="5" t="str">
        <f t="shared" si="6"/>
        <v/>
      </c>
      <c r="AM42" s="193"/>
      <c r="AN42" s="194"/>
      <c r="AO42" s="194"/>
      <c r="AP42" s="5" t="str">
        <f t="shared" si="7"/>
        <v/>
      </c>
      <c r="AQ42" s="193"/>
      <c r="AR42" s="219"/>
      <c r="AS42" s="219"/>
      <c r="AT42" s="5" t="str">
        <f t="shared" si="0"/>
        <v/>
      </c>
      <c r="AU42" s="193"/>
      <c r="AV42" s="194"/>
      <c r="AW42" s="194"/>
      <c r="AX42" s="5" t="str">
        <f t="shared" si="8"/>
        <v/>
      </c>
      <c r="AY42" s="193"/>
      <c r="AZ42" s="194"/>
      <c r="BA42" s="194"/>
      <c r="BB42" s="5" t="str">
        <f t="shared" si="9"/>
        <v/>
      </c>
      <c r="BC42" s="193"/>
      <c r="BD42" s="194"/>
      <c r="BE42" s="194"/>
      <c r="BF42" s="5" t="str">
        <f t="shared" si="10"/>
        <v/>
      </c>
      <c r="BG42" s="6"/>
      <c r="BH42" s="7"/>
      <c r="BI42" s="8"/>
      <c r="BJ42" s="195"/>
      <c r="BK42" s="196"/>
      <c r="BL42" s="197"/>
      <c r="BM42" s="198"/>
      <c r="BN42" s="8"/>
      <c r="BO42" s="8"/>
      <c r="BP42" s="9"/>
    </row>
    <row r="43" spans="1:68" s="4" customFormat="1" ht="33.75" customHeight="1" x14ac:dyDescent="0.2">
      <c r="A43" s="192">
        <v>39</v>
      </c>
      <c r="B43" s="754">
        <v>39</v>
      </c>
      <c r="C43" s="755" t="s">
        <v>707</v>
      </c>
      <c r="D43" s="755" t="s">
        <v>601</v>
      </c>
      <c r="E43" s="754">
        <v>4</v>
      </c>
      <c r="F43" s="754">
        <v>4</v>
      </c>
      <c r="G43" s="193"/>
      <c r="H43" s="194"/>
      <c r="I43" s="194"/>
      <c r="J43" s="5"/>
      <c r="K43" s="193"/>
      <c r="L43" s="194"/>
      <c r="M43" s="194"/>
      <c r="N43" s="5"/>
      <c r="O43" s="757">
        <v>4</v>
      </c>
      <c r="P43" s="758">
        <v>93300</v>
      </c>
      <c r="Q43" s="194"/>
      <c r="R43" s="5">
        <f t="shared" si="1"/>
        <v>373200</v>
      </c>
      <c r="S43" s="759">
        <v>4</v>
      </c>
      <c r="T43" s="758">
        <v>168000</v>
      </c>
      <c r="U43" s="194"/>
      <c r="V43" s="5">
        <f t="shared" si="2"/>
        <v>672000</v>
      </c>
      <c r="W43" s="193"/>
      <c r="X43" s="194"/>
      <c r="Y43" s="194"/>
      <c r="Z43" s="5" t="str">
        <f t="shared" si="3"/>
        <v/>
      </c>
      <c r="AA43" s="759"/>
      <c r="AB43" s="758"/>
      <c r="AC43" s="194"/>
      <c r="AD43" s="5" t="str">
        <f t="shared" si="4"/>
        <v/>
      </c>
      <c r="AE43" s="681"/>
      <c r="AF43" s="681"/>
      <c r="AG43" s="194"/>
      <c r="AH43" s="5" t="str">
        <f t="shared" si="5"/>
        <v/>
      </c>
      <c r="AI43" s="757"/>
      <c r="AJ43" s="759"/>
      <c r="AK43" s="194"/>
      <c r="AL43" s="5" t="str">
        <f t="shared" si="6"/>
        <v/>
      </c>
      <c r="AM43" s="193"/>
      <c r="AN43" s="194"/>
      <c r="AO43" s="194"/>
      <c r="AP43" s="5" t="str">
        <f t="shared" si="7"/>
        <v/>
      </c>
      <c r="AQ43" s="193"/>
      <c r="AR43" s="219"/>
      <c r="AS43" s="219"/>
      <c r="AT43" s="5" t="str">
        <f t="shared" si="0"/>
        <v/>
      </c>
      <c r="AU43" s="193"/>
      <c r="AV43" s="194"/>
      <c r="AW43" s="194"/>
      <c r="AX43" s="5" t="str">
        <f t="shared" si="8"/>
        <v/>
      </c>
      <c r="AY43" s="193"/>
      <c r="AZ43" s="194"/>
      <c r="BA43" s="194"/>
      <c r="BB43" s="5" t="str">
        <f t="shared" si="9"/>
        <v/>
      </c>
      <c r="BC43" s="193"/>
      <c r="BD43" s="194"/>
      <c r="BE43" s="194"/>
      <c r="BF43" s="5" t="str">
        <f t="shared" si="10"/>
        <v/>
      </c>
      <c r="BG43" s="6"/>
      <c r="BH43" s="7"/>
      <c r="BI43" s="8"/>
      <c r="BJ43" s="195"/>
      <c r="BK43" s="196"/>
      <c r="BL43" s="197"/>
      <c r="BM43" s="198"/>
      <c r="BN43" s="8"/>
      <c r="BO43" s="8"/>
      <c r="BP43" s="9"/>
    </row>
    <row r="44" spans="1:68" s="4" customFormat="1" ht="33.75" customHeight="1" x14ac:dyDescent="0.2">
      <c r="A44" s="192">
        <v>40</v>
      </c>
      <c r="B44" s="754">
        <v>40</v>
      </c>
      <c r="C44" s="756" t="s">
        <v>708</v>
      </c>
      <c r="D44" s="755" t="s">
        <v>602</v>
      </c>
      <c r="E44" s="754">
        <v>5</v>
      </c>
      <c r="F44" s="754">
        <v>5</v>
      </c>
      <c r="G44" s="193"/>
      <c r="H44" s="194"/>
      <c r="I44" s="194"/>
      <c r="J44" s="5"/>
      <c r="K44" s="193"/>
      <c r="L44" s="194"/>
      <c r="M44" s="194"/>
      <c r="N44" s="5"/>
      <c r="O44" s="757"/>
      <c r="P44" s="758"/>
      <c r="Q44" s="194"/>
      <c r="R44" s="5" t="str">
        <f t="shared" si="1"/>
        <v/>
      </c>
      <c r="S44" s="759"/>
      <c r="T44" s="758"/>
      <c r="U44" s="194"/>
      <c r="V44" s="5" t="str">
        <f t="shared" si="2"/>
        <v/>
      </c>
      <c r="W44" s="193"/>
      <c r="X44" s="194"/>
      <c r="Y44" s="194"/>
      <c r="Z44" s="5" t="str">
        <f t="shared" si="3"/>
        <v/>
      </c>
      <c r="AA44" s="759"/>
      <c r="AB44" s="758"/>
      <c r="AC44" s="194"/>
      <c r="AD44" s="5" t="str">
        <f t="shared" si="4"/>
        <v/>
      </c>
      <c r="AE44" s="681"/>
      <c r="AF44" s="681"/>
      <c r="AG44" s="194"/>
      <c r="AH44" s="5" t="str">
        <f t="shared" si="5"/>
        <v/>
      </c>
      <c r="AI44" s="757"/>
      <c r="AJ44" s="759"/>
      <c r="AK44" s="194"/>
      <c r="AL44" s="5" t="str">
        <f t="shared" si="6"/>
        <v/>
      </c>
      <c r="AM44" s="193"/>
      <c r="AN44" s="194"/>
      <c r="AO44" s="194"/>
      <c r="AP44" s="5" t="str">
        <f t="shared" si="7"/>
        <v/>
      </c>
      <c r="AQ44" s="193"/>
      <c r="AR44" s="219"/>
      <c r="AS44" s="219"/>
      <c r="AT44" s="5" t="str">
        <f t="shared" si="0"/>
        <v/>
      </c>
      <c r="AU44" s="193"/>
      <c r="AV44" s="194"/>
      <c r="AW44" s="194"/>
      <c r="AX44" s="5" t="str">
        <f t="shared" si="8"/>
        <v/>
      </c>
      <c r="AY44" s="193"/>
      <c r="AZ44" s="194"/>
      <c r="BA44" s="194"/>
      <c r="BB44" s="5" t="str">
        <f t="shared" si="9"/>
        <v/>
      </c>
      <c r="BC44" s="193"/>
      <c r="BD44" s="194"/>
      <c r="BE44" s="194"/>
      <c r="BF44" s="5" t="str">
        <f t="shared" si="10"/>
        <v/>
      </c>
      <c r="BG44" s="6"/>
      <c r="BH44" s="7"/>
      <c r="BI44" s="8"/>
      <c r="BJ44" s="195"/>
      <c r="BK44" s="196"/>
      <c r="BL44" s="197"/>
      <c r="BM44" s="198"/>
      <c r="BN44" s="8"/>
      <c r="BO44" s="8"/>
      <c r="BP44" s="9"/>
    </row>
    <row r="45" spans="1:68" s="4" customFormat="1" ht="33.75" customHeight="1" x14ac:dyDescent="0.2">
      <c r="A45" s="192">
        <v>41</v>
      </c>
      <c r="B45" s="754">
        <v>41</v>
      </c>
      <c r="C45" s="755" t="s">
        <v>709</v>
      </c>
      <c r="D45" s="755" t="s">
        <v>464</v>
      </c>
      <c r="E45" s="754">
        <v>20</v>
      </c>
      <c r="F45" s="754">
        <v>20</v>
      </c>
      <c r="G45" s="193"/>
      <c r="H45" s="194"/>
      <c r="I45" s="194"/>
      <c r="J45" s="5"/>
      <c r="K45" s="193"/>
      <c r="L45" s="194"/>
      <c r="M45" s="194"/>
      <c r="N45" s="5"/>
      <c r="O45" s="757">
        <v>20</v>
      </c>
      <c r="P45" s="758">
        <v>450</v>
      </c>
      <c r="Q45" s="194"/>
      <c r="R45" s="5">
        <f t="shared" si="1"/>
        <v>9000</v>
      </c>
      <c r="S45" s="759">
        <v>20</v>
      </c>
      <c r="T45" s="758">
        <v>325</v>
      </c>
      <c r="U45" s="194"/>
      <c r="V45" s="5">
        <f t="shared" si="2"/>
        <v>6500</v>
      </c>
      <c r="W45" s="193"/>
      <c r="X45" s="194"/>
      <c r="Y45" s="194"/>
      <c r="Z45" s="5" t="str">
        <f t="shared" si="3"/>
        <v/>
      </c>
      <c r="AA45" s="759">
        <v>20</v>
      </c>
      <c r="AB45" s="758">
        <v>5265</v>
      </c>
      <c r="AC45" s="194"/>
      <c r="AD45" s="5">
        <f t="shared" si="4"/>
        <v>105300</v>
      </c>
      <c r="AE45" s="681"/>
      <c r="AF45" s="681"/>
      <c r="AG45" s="194"/>
      <c r="AH45" s="5" t="str">
        <f t="shared" si="5"/>
        <v/>
      </c>
      <c r="AI45" s="757">
        <v>20</v>
      </c>
      <c r="AJ45" s="759">
        <v>6640</v>
      </c>
      <c r="AK45" s="194"/>
      <c r="AL45" s="5">
        <f t="shared" si="6"/>
        <v>132800</v>
      </c>
      <c r="AM45" s="193"/>
      <c r="AN45" s="194"/>
      <c r="AO45" s="194"/>
      <c r="AP45" s="5" t="str">
        <f t="shared" si="7"/>
        <v/>
      </c>
      <c r="AQ45" s="193"/>
      <c r="AR45" s="219"/>
      <c r="AS45" s="219"/>
      <c r="AT45" s="5" t="str">
        <f t="shared" si="0"/>
        <v/>
      </c>
      <c r="AU45" s="193"/>
      <c r="AV45" s="194"/>
      <c r="AW45" s="194"/>
      <c r="AX45" s="5" t="str">
        <f t="shared" si="8"/>
        <v/>
      </c>
      <c r="AY45" s="193"/>
      <c r="AZ45" s="194"/>
      <c r="BA45" s="194"/>
      <c r="BB45" s="5" t="str">
        <f t="shared" si="9"/>
        <v/>
      </c>
      <c r="BC45" s="193"/>
      <c r="BD45" s="194"/>
      <c r="BE45" s="194"/>
      <c r="BF45" s="5" t="str">
        <f t="shared" si="10"/>
        <v/>
      </c>
      <c r="BG45" s="6"/>
      <c r="BH45" s="7"/>
      <c r="BI45" s="8"/>
      <c r="BJ45" s="195"/>
      <c r="BK45" s="196"/>
      <c r="BL45" s="197"/>
      <c r="BM45" s="198"/>
      <c r="BN45" s="8"/>
      <c r="BO45" s="8"/>
      <c r="BP45" s="9"/>
    </row>
    <row r="46" spans="1:68" s="4" customFormat="1" ht="33.75" customHeight="1" x14ac:dyDescent="0.2">
      <c r="A46" s="192">
        <v>42</v>
      </c>
      <c r="B46" s="754">
        <v>42</v>
      </c>
      <c r="C46" s="756" t="s">
        <v>710</v>
      </c>
      <c r="D46" s="755" t="s">
        <v>126</v>
      </c>
      <c r="E46" s="754">
        <v>8</v>
      </c>
      <c r="F46" s="754">
        <v>8</v>
      </c>
      <c r="G46" s="193"/>
      <c r="H46" s="194"/>
      <c r="I46" s="194"/>
      <c r="J46" s="5"/>
      <c r="K46" s="193"/>
      <c r="L46" s="194"/>
      <c r="M46" s="194"/>
      <c r="N46" s="5"/>
      <c r="O46" s="757">
        <v>8</v>
      </c>
      <c r="P46" s="758">
        <v>620</v>
      </c>
      <c r="Q46" s="194"/>
      <c r="R46" s="5">
        <f t="shared" si="1"/>
        <v>4960</v>
      </c>
      <c r="S46" s="759">
        <v>8</v>
      </c>
      <c r="T46" s="758">
        <v>490</v>
      </c>
      <c r="U46" s="194"/>
      <c r="V46" s="5">
        <f t="shared" si="2"/>
        <v>3920</v>
      </c>
      <c r="W46" s="193"/>
      <c r="X46" s="194"/>
      <c r="Y46" s="194"/>
      <c r="Z46" s="5" t="str">
        <f t="shared" si="3"/>
        <v/>
      </c>
      <c r="AA46" s="759">
        <v>8</v>
      </c>
      <c r="AB46" s="758">
        <v>9765</v>
      </c>
      <c r="AC46" s="194"/>
      <c r="AD46" s="5">
        <f t="shared" si="4"/>
        <v>78120</v>
      </c>
      <c r="AE46" s="681"/>
      <c r="AF46" s="681"/>
      <c r="AG46" s="194"/>
      <c r="AH46" s="5" t="str">
        <f t="shared" si="5"/>
        <v/>
      </c>
      <c r="AI46" s="757">
        <v>8</v>
      </c>
      <c r="AJ46" s="759">
        <v>9545</v>
      </c>
      <c r="AK46" s="194"/>
      <c r="AL46" s="5">
        <f t="shared" si="6"/>
        <v>76360</v>
      </c>
      <c r="AM46" s="193"/>
      <c r="AN46" s="194"/>
      <c r="AO46" s="194"/>
      <c r="AP46" s="5" t="str">
        <f t="shared" si="7"/>
        <v/>
      </c>
      <c r="AQ46" s="193"/>
      <c r="AR46" s="219"/>
      <c r="AS46" s="219"/>
      <c r="AT46" s="5" t="str">
        <f t="shared" si="0"/>
        <v/>
      </c>
      <c r="AU46" s="193"/>
      <c r="AV46" s="194"/>
      <c r="AW46" s="194"/>
      <c r="AX46" s="5" t="str">
        <f t="shared" si="8"/>
        <v/>
      </c>
      <c r="AY46" s="193"/>
      <c r="AZ46" s="194"/>
      <c r="BA46" s="194"/>
      <c r="BB46" s="5" t="str">
        <f t="shared" si="9"/>
        <v/>
      </c>
      <c r="BC46" s="193"/>
      <c r="BD46" s="194"/>
      <c r="BE46" s="194"/>
      <c r="BF46" s="5" t="str">
        <f t="shared" si="10"/>
        <v/>
      </c>
      <c r="BG46" s="6"/>
      <c r="BH46" s="7"/>
      <c r="BI46" s="8"/>
      <c r="BJ46" s="195"/>
      <c r="BK46" s="196"/>
      <c r="BL46" s="197"/>
      <c r="BM46" s="198"/>
      <c r="BN46" s="8"/>
      <c r="BO46" s="8"/>
      <c r="BP46" s="9"/>
    </row>
    <row r="47" spans="1:68" s="4" customFormat="1" ht="33.75" customHeight="1" x14ac:dyDescent="0.2">
      <c r="A47" s="192">
        <v>43</v>
      </c>
      <c r="B47" s="754">
        <v>43</v>
      </c>
      <c r="C47" s="755" t="s">
        <v>711</v>
      </c>
      <c r="D47" s="755" t="s">
        <v>126</v>
      </c>
      <c r="E47" s="754">
        <v>8</v>
      </c>
      <c r="F47" s="754">
        <v>8</v>
      </c>
      <c r="G47" s="193"/>
      <c r="H47" s="194"/>
      <c r="I47" s="194"/>
      <c r="J47" s="5"/>
      <c r="K47" s="193"/>
      <c r="L47" s="194"/>
      <c r="M47" s="194"/>
      <c r="N47" s="5"/>
      <c r="O47" s="757">
        <v>8</v>
      </c>
      <c r="P47" s="758">
        <v>270</v>
      </c>
      <c r="Q47" s="194"/>
      <c r="R47" s="5">
        <f t="shared" si="1"/>
        <v>2160</v>
      </c>
      <c r="S47" s="759">
        <v>8</v>
      </c>
      <c r="T47" s="758">
        <v>192</v>
      </c>
      <c r="U47" s="194"/>
      <c r="V47" s="5">
        <f t="shared" si="2"/>
        <v>1536</v>
      </c>
      <c r="W47" s="193"/>
      <c r="X47" s="194"/>
      <c r="Y47" s="194"/>
      <c r="Z47" s="5" t="str">
        <f t="shared" si="3"/>
        <v/>
      </c>
      <c r="AA47" s="759">
        <v>8</v>
      </c>
      <c r="AB47" s="758">
        <v>2865</v>
      </c>
      <c r="AC47" s="194"/>
      <c r="AD47" s="5">
        <f t="shared" si="4"/>
        <v>22920</v>
      </c>
      <c r="AE47" s="681"/>
      <c r="AF47" s="681"/>
      <c r="AG47" s="194"/>
      <c r="AH47" s="5" t="str">
        <f t="shared" si="5"/>
        <v/>
      </c>
      <c r="AI47" s="757">
        <v>8</v>
      </c>
      <c r="AJ47" s="759">
        <v>3735</v>
      </c>
      <c r="AK47" s="194"/>
      <c r="AL47" s="5">
        <f t="shared" si="6"/>
        <v>29880</v>
      </c>
      <c r="AM47" s="193"/>
      <c r="AN47" s="194"/>
      <c r="AO47" s="194"/>
      <c r="AP47" s="5" t="str">
        <f t="shared" si="7"/>
        <v/>
      </c>
      <c r="AQ47" s="193"/>
      <c r="AR47" s="219"/>
      <c r="AS47" s="219"/>
      <c r="AT47" s="5" t="str">
        <f t="shared" si="0"/>
        <v/>
      </c>
      <c r="AU47" s="193"/>
      <c r="AV47" s="194"/>
      <c r="AW47" s="194"/>
      <c r="AX47" s="5" t="str">
        <f t="shared" si="8"/>
        <v/>
      </c>
      <c r="AY47" s="193"/>
      <c r="AZ47" s="194"/>
      <c r="BA47" s="194"/>
      <c r="BB47" s="5" t="str">
        <f t="shared" si="9"/>
        <v/>
      </c>
      <c r="BC47" s="193"/>
      <c r="BD47" s="194"/>
      <c r="BE47" s="194"/>
      <c r="BF47" s="5" t="str">
        <f t="shared" si="10"/>
        <v/>
      </c>
      <c r="BG47" s="6"/>
      <c r="BH47" s="7"/>
      <c r="BI47" s="8"/>
      <c r="BJ47" s="195"/>
      <c r="BK47" s="196"/>
      <c r="BL47" s="197"/>
      <c r="BM47" s="198"/>
      <c r="BN47" s="8"/>
      <c r="BO47" s="8"/>
      <c r="BP47" s="9"/>
    </row>
    <row r="48" spans="1:68" s="4" customFormat="1" ht="33.75" customHeight="1" x14ac:dyDescent="0.2">
      <c r="A48" s="192">
        <v>44</v>
      </c>
      <c r="B48" s="754">
        <v>44</v>
      </c>
      <c r="C48" s="756" t="s">
        <v>712</v>
      </c>
      <c r="D48" s="755" t="s">
        <v>603</v>
      </c>
      <c r="E48" s="754">
        <v>5</v>
      </c>
      <c r="F48" s="754">
        <v>5</v>
      </c>
      <c r="G48" s="193"/>
      <c r="H48" s="194"/>
      <c r="I48" s="194"/>
      <c r="J48" s="5"/>
      <c r="K48" s="193"/>
      <c r="L48" s="194"/>
      <c r="M48" s="194"/>
      <c r="N48" s="5"/>
      <c r="O48" s="757">
        <v>5</v>
      </c>
      <c r="P48" s="758">
        <v>45</v>
      </c>
      <c r="Q48" s="194"/>
      <c r="R48" s="5">
        <f t="shared" si="1"/>
        <v>225</v>
      </c>
      <c r="S48" s="759">
        <v>5</v>
      </c>
      <c r="T48" s="758">
        <v>25.2</v>
      </c>
      <c r="U48" s="194"/>
      <c r="V48" s="5">
        <f t="shared" si="2"/>
        <v>126</v>
      </c>
      <c r="W48" s="193"/>
      <c r="X48" s="194"/>
      <c r="Y48" s="194"/>
      <c r="Z48" s="5" t="str">
        <f t="shared" si="3"/>
        <v/>
      </c>
      <c r="AA48" s="759">
        <v>5</v>
      </c>
      <c r="AB48" s="758">
        <v>315</v>
      </c>
      <c r="AC48" s="194"/>
      <c r="AD48" s="5">
        <f t="shared" si="4"/>
        <v>1575</v>
      </c>
      <c r="AE48" s="681"/>
      <c r="AF48" s="681"/>
      <c r="AG48" s="194"/>
      <c r="AH48" s="5" t="str">
        <f t="shared" si="5"/>
        <v/>
      </c>
      <c r="AI48" s="757"/>
      <c r="AJ48" s="759"/>
      <c r="AK48" s="194"/>
      <c r="AL48" s="5" t="str">
        <f t="shared" si="6"/>
        <v/>
      </c>
      <c r="AM48" s="193"/>
      <c r="AN48" s="194"/>
      <c r="AO48" s="194"/>
      <c r="AP48" s="5" t="str">
        <f t="shared" si="7"/>
        <v/>
      </c>
      <c r="AQ48" s="193"/>
      <c r="AR48" s="219"/>
      <c r="AS48" s="219"/>
      <c r="AT48" s="5" t="str">
        <f t="shared" si="0"/>
        <v/>
      </c>
      <c r="AU48" s="193"/>
      <c r="AV48" s="194"/>
      <c r="AW48" s="194"/>
      <c r="AX48" s="5" t="str">
        <f t="shared" si="8"/>
        <v/>
      </c>
      <c r="AY48" s="193"/>
      <c r="AZ48" s="194"/>
      <c r="BA48" s="194"/>
      <c r="BB48" s="5" t="str">
        <f t="shared" si="9"/>
        <v/>
      </c>
      <c r="BC48" s="193"/>
      <c r="BD48" s="194"/>
      <c r="BE48" s="194"/>
      <c r="BF48" s="5" t="str">
        <f t="shared" si="10"/>
        <v/>
      </c>
      <c r="BG48" s="6"/>
      <c r="BH48" s="7"/>
      <c r="BI48" s="8"/>
      <c r="BJ48" s="195"/>
      <c r="BK48" s="196"/>
      <c r="BL48" s="197"/>
      <c r="BM48" s="198"/>
      <c r="BN48" s="8"/>
      <c r="BO48" s="8"/>
      <c r="BP48" s="9"/>
    </row>
    <row r="49" spans="1:69" s="4" customFormat="1" ht="33.75" customHeight="1" x14ac:dyDescent="0.2">
      <c r="A49" s="192">
        <v>45</v>
      </c>
      <c r="B49" s="754">
        <v>45</v>
      </c>
      <c r="C49" s="755" t="s">
        <v>713</v>
      </c>
      <c r="D49" s="755" t="s">
        <v>604</v>
      </c>
      <c r="E49" s="754">
        <v>10</v>
      </c>
      <c r="F49" s="754">
        <v>10</v>
      </c>
      <c r="G49" s="193"/>
      <c r="H49" s="194"/>
      <c r="I49" s="194"/>
      <c r="J49" s="5"/>
      <c r="K49" s="193"/>
      <c r="L49" s="194"/>
      <c r="M49" s="194"/>
      <c r="N49" s="5"/>
      <c r="O49" s="757">
        <v>10</v>
      </c>
      <c r="P49" s="758">
        <v>60</v>
      </c>
      <c r="Q49" s="194"/>
      <c r="R49" s="5">
        <f t="shared" si="1"/>
        <v>600</v>
      </c>
      <c r="S49" s="759">
        <v>10</v>
      </c>
      <c r="T49" s="758">
        <v>25.3</v>
      </c>
      <c r="U49" s="194"/>
      <c r="V49" s="5">
        <f t="shared" si="2"/>
        <v>253</v>
      </c>
      <c r="W49" s="193"/>
      <c r="X49" s="194"/>
      <c r="Y49" s="194"/>
      <c r="Z49" s="5" t="str">
        <f t="shared" si="3"/>
        <v/>
      </c>
      <c r="AA49" s="759">
        <v>10</v>
      </c>
      <c r="AB49" s="758">
        <v>615</v>
      </c>
      <c r="AC49" s="194"/>
      <c r="AD49" s="5">
        <f t="shared" si="4"/>
        <v>6150</v>
      </c>
      <c r="AE49" s="681"/>
      <c r="AF49" s="681"/>
      <c r="AG49" s="194"/>
      <c r="AH49" s="5" t="str">
        <f t="shared" si="5"/>
        <v/>
      </c>
      <c r="AI49" s="757"/>
      <c r="AJ49" s="759"/>
      <c r="AK49" s="194"/>
      <c r="AL49" s="5" t="str">
        <f t="shared" si="6"/>
        <v/>
      </c>
      <c r="AM49" s="193"/>
      <c r="AN49" s="194"/>
      <c r="AO49" s="194"/>
      <c r="AP49" s="5" t="str">
        <f t="shared" si="7"/>
        <v/>
      </c>
      <c r="AQ49" s="193"/>
      <c r="AR49" s="219"/>
      <c r="AS49" s="219"/>
      <c r="AT49" s="5" t="str">
        <f t="shared" si="0"/>
        <v/>
      </c>
      <c r="AU49" s="193"/>
      <c r="AV49" s="194"/>
      <c r="AW49" s="194"/>
      <c r="AX49" s="5" t="str">
        <f t="shared" si="8"/>
        <v/>
      </c>
      <c r="AY49" s="193"/>
      <c r="AZ49" s="194"/>
      <c r="BA49" s="194"/>
      <c r="BB49" s="5" t="str">
        <f t="shared" si="9"/>
        <v/>
      </c>
      <c r="BC49" s="193"/>
      <c r="BD49" s="194"/>
      <c r="BE49" s="194"/>
      <c r="BF49" s="5" t="str">
        <f t="shared" si="10"/>
        <v/>
      </c>
      <c r="BG49" s="6"/>
      <c r="BH49" s="7"/>
      <c r="BI49" s="8"/>
      <c r="BJ49" s="195"/>
      <c r="BK49" s="196"/>
      <c r="BL49" s="197"/>
      <c r="BM49" s="198"/>
      <c r="BN49" s="8"/>
      <c r="BO49" s="8"/>
      <c r="BP49" s="9"/>
    </row>
    <row r="50" spans="1:69" s="4" customFormat="1" ht="33.75" customHeight="1" x14ac:dyDescent="0.2">
      <c r="A50" s="192">
        <v>46</v>
      </c>
      <c r="B50" s="754">
        <v>46</v>
      </c>
      <c r="C50" s="756" t="s">
        <v>714</v>
      </c>
      <c r="D50" s="755" t="s">
        <v>466</v>
      </c>
      <c r="E50" s="754">
        <v>10</v>
      </c>
      <c r="F50" s="754">
        <v>10</v>
      </c>
      <c r="G50" s="193"/>
      <c r="H50" s="194"/>
      <c r="I50" s="194"/>
      <c r="J50" s="5"/>
      <c r="K50" s="193"/>
      <c r="L50" s="194"/>
      <c r="M50" s="194"/>
      <c r="N50" s="5"/>
      <c r="O50" s="757"/>
      <c r="P50" s="758"/>
      <c r="Q50" s="194"/>
      <c r="R50" s="5" t="str">
        <f t="shared" si="1"/>
        <v/>
      </c>
      <c r="S50" s="759"/>
      <c r="T50" s="758"/>
      <c r="U50" s="194"/>
      <c r="V50" s="5" t="str">
        <f t="shared" si="2"/>
        <v/>
      </c>
      <c r="W50" s="193"/>
      <c r="X50" s="194"/>
      <c r="Y50" s="194"/>
      <c r="Z50" s="5" t="str">
        <f t="shared" si="3"/>
        <v/>
      </c>
      <c r="AA50" s="759"/>
      <c r="AB50" s="758"/>
      <c r="AC50" s="194"/>
      <c r="AD50" s="5" t="str">
        <f t="shared" si="4"/>
        <v/>
      </c>
      <c r="AE50" s="681"/>
      <c r="AF50" s="681"/>
      <c r="AG50" s="194"/>
      <c r="AH50" s="5" t="str">
        <f t="shared" si="5"/>
        <v/>
      </c>
      <c r="AI50" s="757"/>
      <c r="AJ50" s="759"/>
      <c r="AK50" s="194"/>
      <c r="AL50" s="5" t="str">
        <f t="shared" si="6"/>
        <v/>
      </c>
      <c r="AM50" s="193"/>
      <c r="AN50" s="194"/>
      <c r="AO50" s="194"/>
      <c r="AP50" s="5" t="str">
        <f t="shared" si="7"/>
        <v/>
      </c>
      <c r="AQ50" s="193"/>
      <c r="AR50" s="219"/>
      <c r="AS50" s="219"/>
      <c r="AT50" s="5" t="str">
        <f t="shared" si="0"/>
        <v/>
      </c>
      <c r="AU50" s="193"/>
      <c r="AV50" s="194"/>
      <c r="AW50" s="194"/>
      <c r="AX50" s="5" t="str">
        <f t="shared" si="8"/>
        <v/>
      </c>
      <c r="AY50" s="193"/>
      <c r="AZ50" s="194"/>
      <c r="BA50" s="194"/>
      <c r="BB50" s="5" t="str">
        <f t="shared" si="9"/>
        <v/>
      </c>
      <c r="BC50" s="193"/>
      <c r="BD50" s="194"/>
      <c r="BE50" s="194"/>
      <c r="BF50" s="5" t="str">
        <f t="shared" si="10"/>
        <v/>
      </c>
      <c r="BG50" s="6"/>
      <c r="BH50" s="7"/>
      <c r="BI50" s="8"/>
      <c r="BJ50" s="195"/>
      <c r="BK50" s="196"/>
      <c r="BL50" s="197"/>
      <c r="BM50" s="198"/>
      <c r="BN50" s="8"/>
      <c r="BO50" s="8"/>
      <c r="BP50" s="9"/>
    </row>
    <row r="51" spans="1:69" s="4" customFormat="1" ht="33.75" customHeight="1" x14ac:dyDescent="0.2">
      <c r="A51" s="192">
        <v>47</v>
      </c>
      <c r="B51" s="754">
        <v>47</v>
      </c>
      <c r="C51" s="755" t="s">
        <v>715</v>
      </c>
      <c r="D51" s="755" t="s">
        <v>466</v>
      </c>
      <c r="E51" s="754">
        <v>9</v>
      </c>
      <c r="F51" s="754">
        <v>9</v>
      </c>
      <c r="G51" s="193"/>
      <c r="H51" s="194"/>
      <c r="I51" s="194"/>
      <c r="J51" s="5"/>
      <c r="K51" s="193"/>
      <c r="L51" s="194"/>
      <c r="M51" s="194"/>
      <c r="N51" s="5"/>
      <c r="O51" s="757"/>
      <c r="P51" s="758"/>
      <c r="Q51" s="194"/>
      <c r="R51" s="5" t="str">
        <f t="shared" si="1"/>
        <v/>
      </c>
      <c r="S51" s="759"/>
      <c r="T51" s="758"/>
      <c r="U51" s="194"/>
      <c r="V51" s="5" t="str">
        <f t="shared" si="2"/>
        <v/>
      </c>
      <c r="W51" s="193"/>
      <c r="X51" s="194"/>
      <c r="Y51" s="194"/>
      <c r="Z51" s="5" t="str">
        <f t="shared" si="3"/>
        <v/>
      </c>
      <c r="AA51" s="759"/>
      <c r="AB51" s="758"/>
      <c r="AC51" s="194"/>
      <c r="AD51" s="5" t="str">
        <f t="shared" si="4"/>
        <v/>
      </c>
      <c r="AE51" s="681"/>
      <c r="AF51" s="681"/>
      <c r="AG51" s="194"/>
      <c r="AH51" s="5" t="str">
        <f t="shared" si="5"/>
        <v/>
      </c>
      <c r="AI51" s="757"/>
      <c r="AJ51" s="759"/>
      <c r="AK51" s="194"/>
      <c r="AL51" s="5" t="str">
        <f t="shared" si="6"/>
        <v/>
      </c>
      <c r="AM51" s="193"/>
      <c r="AN51" s="194"/>
      <c r="AO51" s="194"/>
      <c r="AP51" s="5" t="str">
        <f t="shared" si="7"/>
        <v/>
      </c>
      <c r="AQ51" s="193"/>
      <c r="AR51" s="219"/>
      <c r="AS51" s="219"/>
      <c r="AT51" s="5" t="str">
        <f t="shared" si="0"/>
        <v/>
      </c>
      <c r="AU51" s="193"/>
      <c r="AV51" s="194"/>
      <c r="AW51" s="194"/>
      <c r="AX51" s="5" t="str">
        <f t="shared" si="8"/>
        <v/>
      </c>
      <c r="AY51" s="193"/>
      <c r="AZ51" s="194"/>
      <c r="BA51" s="194"/>
      <c r="BB51" s="5" t="str">
        <f t="shared" si="9"/>
        <v/>
      </c>
      <c r="BC51" s="193"/>
      <c r="BD51" s="194"/>
      <c r="BE51" s="194"/>
      <c r="BF51" s="5" t="str">
        <f t="shared" si="10"/>
        <v/>
      </c>
      <c r="BG51" s="6"/>
      <c r="BH51" s="7"/>
      <c r="BI51" s="8"/>
      <c r="BJ51" s="195"/>
      <c r="BK51" s="196"/>
      <c r="BL51" s="197"/>
      <c r="BM51" s="198"/>
      <c r="BN51" s="8"/>
      <c r="BO51" s="8"/>
      <c r="BP51" s="9"/>
    </row>
    <row r="52" spans="1:69" s="4" customFormat="1" ht="33.75" customHeight="1" x14ac:dyDescent="0.2">
      <c r="A52" s="192">
        <v>48</v>
      </c>
      <c r="B52" s="754">
        <v>48</v>
      </c>
      <c r="C52" s="756" t="s">
        <v>716</v>
      </c>
      <c r="D52" s="755" t="s">
        <v>605</v>
      </c>
      <c r="E52" s="754">
        <v>14</v>
      </c>
      <c r="F52" s="754">
        <v>14</v>
      </c>
      <c r="G52" s="193"/>
      <c r="H52" s="194"/>
      <c r="I52" s="194"/>
      <c r="J52" s="5"/>
      <c r="K52" s="193"/>
      <c r="L52" s="194"/>
      <c r="M52" s="194"/>
      <c r="N52" s="5"/>
      <c r="O52" s="757">
        <v>14</v>
      </c>
      <c r="P52" s="758">
        <v>3.5</v>
      </c>
      <c r="Q52" s="194"/>
      <c r="R52" s="5">
        <f t="shared" si="1"/>
        <v>49</v>
      </c>
      <c r="S52" s="759">
        <v>14</v>
      </c>
      <c r="T52" s="758">
        <v>6.5</v>
      </c>
      <c r="U52" s="194"/>
      <c r="V52" s="5">
        <f t="shared" si="2"/>
        <v>91</v>
      </c>
      <c r="W52" s="193"/>
      <c r="X52" s="194"/>
      <c r="Y52" s="194"/>
      <c r="Z52" s="5" t="str">
        <f t="shared" si="3"/>
        <v/>
      </c>
      <c r="AA52" s="759">
        <v>14</v>
      </c>
      <c r="AB52" s="758">
        <v>165</v>
      </c>
      <c r="AC52" s="194"/>
      <c r="AD52" s="5">
        <f t="shared" si="4"/>
        <v>2310</v>
      </c>
      <c r="AE52" s="681"/>
      <c r="AF52" s="681"/>
      <c r="AG52" s="194"/>
      <c r="AH52" s="5" t="str">
        <f t="shared" si="5"/>
        <v/>
      </c>
      <c r="AI52" s="757"/>
      <c r="AJ52" s="759"/>
      <c r="AK52" s="194"/>
      <c r="AL52" s="5" t="str">
        <f t="shared" si="6"/>
        <v/>
      </c>
      <c r="AM52" s="193"/>
      <c r="AN52" s="194"/>
      <c r="AO52" s="194"/>
      <c r="AP52" s="5" t="str">
        <f t="shared" si="7"/>
        <v/>
      </c>
      <c r="AQ52" s="193"/>
      <c r="AR52" s="219"/>
      <c r="AS52" s="219"/>
      <c r="AT52" s="5" t="str">
        <f t="shared" si="0"/>
        <v/>
      </c>
      <c r="AU52" s="193"/>
      <c r="AV52" s="194"/>
      <c r="AW52" s="194"/>
      <c r="AX52" s="5" t="str">
        <f t="shared" si="8"/>
        <v/>
      </c>
      <c r="AY52" s="193"/>
      <c r="AZ52" s="194"/>
      <c r="BA52" s="194"/>
      <c r="BB52" s="5" t="str">
        <f t="shared" si="9"/>
        <v/>
      </c>
      <c r="BC52" s="193"/>
      <c r="BD52" s="194"/>
      <c r="BE52" s="194"/>
      <c r="BF52" s="5" t="str">
        <f t="shared" si="10"/>
        <v/>
      </c>
      <c r="BG52" s="6"/>
      <c r="BH52" s="7"/>
      <c r="BI52" s="8"/>
      <c r="BJ52" s="195"/>
      <c r="BK52" s="196"/>
      <c r="BL52" s="197"/>
      <c r="BM52" s="198"/>
      <c r="BN52" s="8"/>
      <c r="BO52" s="8"/>
      <c r="BP52" s="9"/>
    </row>
    <row r="53" spans="1:69" s="4" customFormat="1" ht="33.75" customHeight="1" x14ac:dyDescent="0.2">
      <c r="A53" s="192">
        <v>49</v>
      </c>
      <c r="B53" s="754">
        <v>49</v>
      </c>
      <c r="C53" s="755" t="s">
        <v>717</v>
      </c>
      <c r="D53" s="755" t="s">
        <v>128</v>
      </c>
      <c r="E53" s="754">
        <v>22</v>
      </c>
      <c r="F53" s="754">
        <v>22</v>
      </c>
      <c r="G53" s="193"/>
      <c r="H53" s="194"/>
      <c r="I53" s="194"/>
      <c r="J53" s="5"/>
      <c r="K53" s="193"/>
      <c r="L53" s="194"/>
      <c r="M53" s="194"/>
      <c r="N53" s="5"/>
      <c r="O53" s="757">
        <v>22</v>
      </c>
      <c r="P53" s="758">
        <v>2.5</v>
      </c>
      <c r="Q53" s="194"/>
      <c r="R53" s="5">
        <f t="shared" si="1"/>
        <v>55</v>
      </c>
      <c r="S53" s="759">
        <v>22</v>
      </c>
      <c r="T53" s="758">
        <v>6.5</v>
      </c>
      <c r="U53" s="194"/>
      <c r="V53" s="5">
        <f t="shared" si="2"/>
        <v>143</v>
      </c>
      <c r="W53" s="193"/>
      <c r="X53" s="194"/>
      <c r="Y53" s="194"/>
      <c r="Z53" s="5" t="str">
        <f t="shared" si="3"/>
        <v/>
      </c>
      <c r="AA53" s="759">
        <v>22</v>
      </c>
      <c r="AB53" s="758">
        <v>90</v>
      </c>
      <c r="AC53" s="194"/>
      <c r="AD53" s="5">
        <f t="shared" si="4"/>
        <v>1980</v>
      </c>
      <c r="AE53" s="681"/>
      <c r="AF53" s="681"/>
      <c r="AG53" s="194"/>
      <c r="AH53" s="5" t="str">
        <f t="shared" si="5"/>
        <v/>
      </c>
      <c r="AI53" s="757"/>
      <c r="AJ53" s="759"/>
      <c r="AK53" s="194"/>
      <c r="AL53" s="5" t="str">
        <f t="shared" si="6"/>
        <v/>
      </c>
      <c r="AM53" s="193"/>
      <c r="AN53" s="194"/>
      <c r="AO53" s="194"/>
      <c r="AP53" s="5" t="str">
        <f t="shared" si="7"/>
        <v/>
      </c>
      <c r="AQ53" s="193"/>
      <c r="AR53" s="219"/>
      <c r="AS53" s="219"/>
      <c r="AT53" s="5" t="str">
        <f t="shared" si="0"/>
        <v/>
      </c>
      <c r="AU53" s="193"/>
      <c r="AV53" s="194"/>
      <c r="AW53" s="194"/>
      <c r="AX53" s="5" t="str">
        <f t="shared" si="8"/>
        <v/>
      </c>
      <c r="AY53" s="193"/>
      <c r="AZ53" s="194"/>
      <c r="BA53" s="194"/>
      <c r="BB53" s="5" t="str">
        <f t="shared" si="9"/>
        <v/>
      </c>
      <c r="BC53" s="193"/>
      <c r="BD53" s="194"/>
      <c r="BE53" s="194"/>
      <c r="BF53" s="5" t="str">
        <f t="shared" si="10"/>
        <v/>
      </c>
      <c r="BG53" s="6"/>
      <c r="BH53" s="7"/>
      <c r="BI53" s="8"/>
      <c r="BJ53" s="195"/>
      <c r="BK53" s="196"/>
      <c r="BL53" s="197"/>
      <c r="BM53" s="198"/>
      <c r="BN53" s="8"/>
      <c r="BO53" s="8"/>
      <c r="BP53" s="9"/>
    </row>
    <row r="54" spans="1:69" s="4" customFormat="1" ht="33.75" customHeight="1" x14ac:dyDescent="0.2">
      <c r="A54" s="192">
        <v>50</v>
      </c>
      <c r="B54" s="754">
        <v>50</v>
      </c>
      <c r="C54" s="756" t="s">
        <v>718</v>
      </c>
      <c r="D54" s="755" t="s">
        <v>128</v>
      </c>
      <c r="E54" s="754">
        <v>31</v>
      </c>
      <c r="F54" s="754">
        <v>31</v>
      </c>
      <c r="G54" s="193"/>
      <c r="H54" s="194"/>
      <c r="I54" s="194"/>
      <c r="J54" s="5"/>
      <c r="K54" s="193"/>
      <c r="L54" s="194"/>
      <c r="M54" s="194"/>
      <c r="N54" s="5"/>
      <c r="O54" s="757">
        <v>31</v>
      </c>
      <c r="P54" s="758">
        <v>2.5</v>
      </c>
      <c r="Q54" s="194"/>
      <c r="R54" s="5">
        <f t="shared" si="1"/>
        <v>77.5</v>
      </c>
      <c r="S54" s="759">
        <v>31</v>
      </c>
      <c r="T54" s="758">
        <v>6.5</v>
      </c>
      <c r="U54" s="194"/>
      <c r="V54" s="5">
        <f t="shared" si="2"/>
        <v>201.5</v>
      </c>
      <c r="W54" s="193"/>
      <c r="X54" s="194"/>
      <c r="Y54" s="194"/>
      <c r="Z54" s="5" t="str">
        <f t="shared" si="3"/>
        <v/>
      </c>
      <c r="AA54" s="759">
        <v>31</v>
      </c>
      <c r="AB54" s="758">
        <v>90</v>
      </c>
      <c r="AC54" s="194"/>
      <c r="AD54" s="5">
        <f t="shared" si="4"/>
        <v>2790</v>
      </c>
      <c r="AE54" s="681"/>
      <c r="AF54" s="681"/>
      <c r="AG54" s="194"/>
      <c r="AH54" s="5" t="str">
        <f t="shared" si="5"/>
        <v/>
      </c>
      <c r="AI54" s="757"/>
      <c r="AJ54" s="759"/>
      <c r="AK54" s="194"/>
      <c r="AL54" s="5" t="str">
        <f t="shared" si="6"/>
        <v/>
      </c>
      <c r="AM54" s="193"/>
      <c r="AN54" s="194"/>
      <c r="AO54" s="194"/>
      <c r="AP54" s="5" t="str">
        <f t="shared" si="7"/>
        <v/>
      </c>
      <c r="AQ54" s="193"/>
      <c r="AR54" s="219"/>
      <c r="AS54" s="219"/>
      <c r="AT54" s="5" t="str">
        <f t="shared" si="0"/>
        <v/>
      </c>
      <c r="AU54" s="193"/>
      <c r="AV54" s="194"/>
      <c r="AW54" s="194"/>
      <c r="AX54" s="5" t="str">
        <f t="shared" si="8"/>
        <v/>
      </c>
      <c r="AY54" s="193"/>
      <c r="AZ54" s="194"/>
      <c r="BA54" s="194"/>
      <c r="BB54" s="5" t="str">
        <f t="shared" si="9"/>
        <v/>
      </c>
      <c r="BC54" s="193"/>
      <c r="BD54" s="194"/>
      <c r="BE54" s="194"/>
      <c r="BF54" s="5" t="str">
        <f t="shared" si="10"/>
        <v/>
      </c>
      <c r="BG54" s="6"/>
      <c r="BH54" s="7"/>
      <c r="BI54" s="8"/>
      <c r="BJ54" s="195"/>
      <c r="BK54" s="196"/>
      <c r="BL54" s="197"/>
      <c r="BM54" s="198"/>
      <c r="BN54" s="8"/>
      <c r="BO54" s="8"/>
      <c r="BP54" s="9"/>
    </row>
    <row r="55" spans="1:69" s="4" customFormat="1" ht="33.75" customHeight="1" x14ac:dyDescent="0.2">
      <c r="A55" s="192">
        <v>51</v>
      </c>
      <c r="B55" s="754">
        <v>51</v>
      </c>
      <c r="C55" s="755" t="s">
        <v>719</v>
      </c>
      <c r="D55" s="755" t="s">
        <v>128</v>
      </c>
      <c r="E55" s="754">
        <v>5</v>
      </c>
      <c r="F55" s="754">
        <v>5</v>
      </c>
      <c r="G55" s="193"/>
      <c r="H55" s="194"/>
      <c r="I55" s="194"/>
      <c r="J55" s="5"/>
      <c r="K55" s="193"/>
      <c r="L55" s="194"/>
      <c r="M55" s="194"/>
      <c r="N55" s="5"/>
      <c r="O55" s="757"/>
      <c r="P55" s="758"/>
      <c r="Q55" s="194"/>
      <c r="R55" s="5" t="str">
        <f t="shared" si="1"/>
        <v/>
      </c>
      <c r="S55" s="759">
        <v>5</v>
      </c>
      <c r="T55" s="758">
        <v>42</v>
      </c>
      <c r="U55" s="194"/>
      <c r="V55" s="5">
        <f t="shared" si="2"/>
        <v>210</v>
      </c>
      <c r="W55" s="193"/>
      <c r="X55" s="194"/>
      <c r="Y55" s="194"/>
      <c r="Z55" s="5" t="str">
        <f t="shared" si="3"/>
        <v/>
      </c>
      <c r="AA55" s="759">
        <v>5</v>
      </c>
      <c r="AB55" s="758">
        <v>1515</v>
      </c>
      <c r="AC55" s="194"/>
      <c r="AD55" s="5">
        <f t="shared" si="4"/>
        <v>7575</v>
      </c>
      <c r="AE55" s="681"/>
      <c r="AF55" s="681"/>
      <c r="AG55" s="194"/>
      <c r="AH55" s="5" t="str">
        <f t="shared" si="5"/>
        <v/>
      </c>
      <c r="AI55" s="757"/>
      <c r="AJ55" s="759"/>
      <c r="AK55" s="194"/>
      <c r="AL55" s="5" t="str">
        <f t="shared" si="6"/>
        <v/>
      </c>
      <c r="AM55" s="193"/>
      <c r="AN55" s="194"/>
      <c r="AO55" s="194"/>
      <c r="AP55" s="5" t="str">
        <f t="shared" si="7"/>
        <v/>
      </c>
      <c r="AQ55" s="193"/>
      <c r="AR55" s="219"/>
      <c r="AS55" s="219"/>
      <c r="AT55" s="5" t="str">
        <f t="shared" si="0"/>
        <v/>
      </c>
      <c r="AU55" s="193"/>
      <c r="AV55" s="194"/>
      <c r="AW55" s="194"/>
      <c r="AX55" s="5" t="str">
        <f t="shared" si="8"/>
        <v/>
      </c>
      <c r="AY55" s="193"/>
      <c r="AZ55" s="194"/>
      <c r="BA55" s="194"/>
      <c r="BB55" s="5" t="str">
        <f t="shared" si="9"/>
        <v/>
      </c>
      <c r="BC55" s="193"/>
      <c r="BD55" s="194"/>
      <c r="BE55" s="194"/>
      <c r="BF55" s="5" t="str">
        <f t="shared" si="10"/>
        <v/>
      </c>
      <c r="BG55" s="6"/>
      <c r="BH55" s="7"/>
      <c r="BI55" s="8"/>
      <c r="BJ55" s="195"/>
      <c r="BK55" s="196"/>
      <c r="BL55" s="197"/>
      <c r="BM55" s="198"/>
      <c r="BN55" s="8"/>
      <c r="BO55" s="8"/>
      <c r="BP55" s="9"/>
    </row>
    <row r="56" spans="1:69" s="4" customFormat="1" ht="33.75" customHeight="1" x14ac:dyDescent="0.2">
      <c r="A56" s="192">
        <v>52</v>
      </c>
      <c r="B56" s="754">
        <v>52</v>
      </c>
      <c r="C56" s="756" t="s">
        <v>720</v>
      </c>
      <c r="D56" s="755" t="s">
        <v>606</v>
      </c>
      <c r="E56" s="754">
        <v>3</v>
      </c>
      <c r="F56" s="754">
        <v>3</v>
      </c>
      <c r="G56" s="193"/>
      <c r="H56" s="194"/>
      <c r="I56" s="194"/>
      <c r="J56" s="5"/>
      <c r="K56" s="193"/>
      <c r="L56" s="194"/>
      <c r="M56" s="194"/>
      <c r="N56" s="5"/>
      <c r="O56" s="757"/>
      <c r="P56" s="758"/>
      <c r="Q56" s="194"/>
      <c r="R56" s="5" t="str">
        <f t="shared" si="1"/>
        <v/>
      </c>
      <c r="S56" s="759"/>
      <c r="T56" s="758"/>
      <c r="U56" s="194"/>
      <c r="V56" s="5" t="str">
        <f t="shared" si="2"/>
        <v/>
      </c>
      <c r="W56" s="193"/>
      <c r="X56" s="194"/>
      <c r="Y56" s="194"/>
      <c r="Z56" s="5" t="str">
        <f t="shared" si="3"/>
        <v/>
      </c>
      <c r="AA56" s="759"/>
      <c r="AB56" s="758"/>
      <c r="AC56" s="194"/>
      <c r="AD56" s="5" t="str">
        <f t="shared" si="4"/>
        <v/>
      </c>
      <c r="AE56" s="681"/>
      <c r="AF56" s="681"/>
      <c r="AG56" s="194"/>
      <c r="AH56" s="5" t="str">
        <f t="shared" si="5"/>
        <v/>
      </c>
      <c r="AI56" s="757"/>
      <c r="AJ56" s="759"/>
      <c r="AK56" s="194"/>
      <c r="AL56" s="5" t="str">
        <f t="shared" si="6"/>
        <v/>
      </c>
      <c r="AM56" s="193"/>
      <c r="AN56" s="194"/>
      <c r="AO56" s="194"/>
      <c r="AP56" s="5" t="str">
        <f t="shared" si="7"/>
        <v/>
      </c>
      <c r="AQ56" s="193"/>
      <c r="AR56" s="219"/>
      <c r="AS56" s="219"/>
      <c r="AT56" s="5" t="str">
        <f t="shared" si="0"/>
        <v/>
      </c>
      <c r="AU56" s="193"/>
      <c r="AV56" s="194"/>
      <c r="AW56" s="194"/>
      <c r="AX56" s="5" t="str">
        <f t="shared" si="8"/>
        <v/>
      </c>
      <c r="AY56" s="193"/>
      <c r="AZ56" s="194"/>
      <c r="BA56" s="194"/>
      <c r="BB56" s="5" t="str">
        <f t="shared" si="9"/>
        <v/>
      </c>
      <c r="BC56" s="193"/>
      <c r="BD56" s="194"/>
      <c r="BE56" s="194"/>
      <c r="BF56" s="5" t="str">
        <f t="shared" si="10"/>
        <v/>
      </c>
      <c r="BG56" s="6"/>
      <c r="BH56" s="7"/>
      <c r="BI56" s="8"/>
      <c r="BJ56" s="195"/>
      <c r="BK56" s="196"/>
      <c r="BL56" s="197"/>
      <c r="BM56" s="198"/>
      <c r="BN56" s="8"/>
      <c r="BO56" s="8"/>
      <c r="BP56" s="9"/>
    </row>
    <row r="57" spans="1:69" s="4" customFormat="1" ht="33.75" customHeight="1" x14ac:dyDescent="0.2">
      <c r="A57" s="192">
        <v>53</v>
      </c>
      <c r="B57" s="754">
        <v>53</v>
      </c>
      <c r="C57" s="755" t="s">
        <v>721</v>
      </c>
      <c r="D57" s="755" t="s">
        <v>120</v>
      </c>
      <c r="E57" s="754">
        <v>5</v>
      </c>
      <c r="F57" s="754">
        <v>5</v>
      </c>
      <c r="G57" s="193"/>
      <c r="H57" s="194"/>
      <c r="I57" s="194"/>
      <c r="J57" s="5"/>
      <c r="K57" s="193"/>
      <c r="L57" s="194"/>
      <c r="M57" s="194"/>
      <c r="N57" s="5"/>
      <c r="O57" s="757"/>
      <c r="P57" s="758"/>
      <c r="Q57" s="194"/>
      <c r="R57" s="5" t="str">
        <f t="shared" si="1"/>
        <v/>
      </c>
      <c r="S57" s="759"/>
      <c r="T57" s="758"/>
      <c r="U57" s="194"/>
      <c r="V57" s="5" t="str">
        <f t="shared" si="2"/>
        <v/>
      </c>
      <c r="W57" s="193"/>
      <c r="X57" s="194"/>
      <c r="Y57" s="194"/>
      <c r="Z57" s="5" t="str">
        <f t="shared" si="3"/>
        <v/>
      </c>
      <c r="AA57" s="759"/>
      <c r="AB57" s="758"/>
      <c r="AC57" s="194"/>
      <c r="AD57" s="5" t="str">
        <f t="shared" si="4"/>
        <v/>
      </c>
      <c r="AE57" s="681"/>
      <c r="AF57" s="681"/>
      <c r="AG57" s="194"/>
      <c r="AH57" s="5" t="str">
        <f t="shared" si="5"/>
        <v/>
      </c>
      <c r="AI57" s="757"/>
      <c r="AJ57" s="759"/>
      <c r="AK57" s="194"/>
      <c r="AL57" s="5" t="str">
        <f t="shared" si="6"/>
        <v/>
      </c>
      <c r="AM57" s="193"/>
      <c r="AN57" s="194"/>
      <c r="AO57" s="194"/>
      <c r="AP57" s="5" t="str">
        <f t="shared" si="7"/>
        <v/>
      </c>
      <c r="AQ57" s="193"/>
      <c r="AR57" s="219"/>
      <c r="AS57" s="219"/>
      <c r="AT57" s="5" t="str">
        <f t="shared" si="0"/>
        <v/>
      </c>
      <c r="AU57" s="193"/>
      <c r="AV57" s="194"/>
      <c r="AW57" s="194"/>
      <c r="AX57" s="5" t="str">
        <f t="shared" si="8"/>
        <v/>
      </c>
      <c r="AY57" s="193"/>
      <c r="AZ57" s="194"/>
      <c r="BA57" s="194"/>
      <c r="BB57" s="5" t="str">
        <f t="shared" si="9"/>
        <v/>
      </c>
      <c r="BC57" s="193"/>
      <c r="BD57" s="194"/>
      <c r="BE57" s="194"/>
      <c r="BF57" s="5" t="str">
        <f t="shared" si="10"/>
        <v/>
      </c>
      <c r="BG57" s="6"/>
      <c r="BH57" s="7"/>
      <c r="BI57" s="8"/>
      <c r="BJ57" s="195"/>
      <c r="BK57" s="196"/>
      <c r="BL57" s="197"/>
      <c r="BM57" s="198"/>
      <c r="BN57" s="8"/>
      <c r="BO57" s="8"/>
      <c r="BP57" s="9"/>
    </row>
    <row r="58" spans="1:69" s="4" customFormat="1" ht="33.75" customHeight="1" x14ac:dyDescent="0.2">
      <c r="A58" s="192">
        <v>54</v>
      </c>
      <c r="B58" s="754">
        <v>54</v>
      </c>
      <c r="C58" s="756" t="s">
        <v>722</v>
      </c>
      <c r="D58" s="755" t="s">
        <v>607</v>
      </c>
      <c r="E58" s="754">
        <v>16</v>
      </c>
      <c r="F58" s="754">
        <v>16</v>
      </c>
      <c r="G58" s="193"/>
      <c r="H58" s="194"/>
      <c r="I58" s="194"/>
      <c r="J58" s="5"/>
      <c r="K58" s="193"/>
      <c r="L58" s="194"/>
      <c r="M58" s="194"/>
      <c r="N58" s="5"/>
      <c r="O58" s="757"/>
      <c r="P58" s="758"/>
      <c r="Q58" s="194"/>
      <c r="R58" s="5" t="str">
        <f t="shared" si="1"/>
        <v/>
      </c>
      <c r="S58" s="759"/>
      <c r="T58" s="758"/>
      <c r="U58" s="194"/>
      <c r="V58" s="5" t="str">
        <f t="shared" si="2"/>
        <v/>
      </c>
      <c r="W58" s="193"/>
      <c r="X58" s="194"/>
      <c r="Y58" s="194"/>
      <c r="Z58" s="5" t="str">
        <f t="shared" si="3"/>
        <v/>
      </c>
      <c r="AA58" s="759"/>
      <c r="AB58" s="758"/>
      <c r="AC58" s="194"/>
      <c r="AD58" s="5" t="str">
        <f t="shared" si="4"/>
        <v/>
      </c>
      <c r="AE58" s="681"/>
      <c r="AF58" s="681"/>
      <c r="AG58" s="194"/>
      <c r="AH58" s="5" t="str">
        <f t="shared" si="5"/>
        <v/>
      </c>
      <c r="AI58" s="757"/>
      <c r="AJ58" s="759"/>
      <c r="AK58" s="194"/>
      <c r="AL58" s="5" t="str">
        <f t="shared" si="6"/>
        <v/>
      </c>
      <c r="AM58" s="193"/>
      <c r="AN58" s="194"/>
      <c r="AO58" s="194"/>
      <c r="AP58" s="5" t="str">
        <f t="shared" si="7"/>
        <v/>
      </c>
      <c r="AQ58" s="193"/>
      <c r="AR58" s="219"/>
      <c r="AS58" s="219"/>
      <c r="AT58" s="5" t="str">
        <f t="shared" si="0"/>
        <v/>
      </c>
      <c r="AU58" s="193"/>
      <c r="AV58" s="194"/>
      <c r="AW58" s="194"/>
      <c r="AX58" s="5" t="str">
        <f t="shared" si="8"/>
        <v/>
      </c>
      <c r="AY58" s="193"/>
      <c r="AZ58" s="194"/>
      <c r="BA58" s="194"/>
      <c r="BB58" s="5" t="str">
        <f t="shared" si="9"/>
        <v/>
      </c>
      <c r="BC58" s="193"/>
      <c r="BD58" s="194"/>
      <c r="BE58" s="194"/>
      <c r="BF58" s="5" t="str">
        <f t="shared" si="10"/>
        <v/>
      </c>
      <c r="BG58" s="6"/>
      <c r="BH58" s="7"/>
      <c r="BI58" s="8"/>
      <c r="BJ58" s="195"/>
      <c r="BK58" s="196"/>
      <c r="BL58" s="197"/>
      <c r="BM58" s="198"/>
      <c r="BN58" s="8"/>
      <c r="BO58" s="8"/>
      <c r="BP58" s="9"/>
    </row>
    <row r="59" spans="1:69" s="4" customFormat="1" ht="33.75" customHeight="1" x14ac:dyDescent="0.2">
      <c r="A59" s="192">
        <v>55</v>
      </c>
      <c r="B59" s="754">
        <v>55</v>
      </c>
      <c r="C59" s="755" t="s">
        <v>723</v>
      </c>
      <c r="D59" s="755" t="s">
        <v>608</v>
      </c>
      <c r="E59" s="754">
        <v>7</v>
      </c>
      <c r="F59" s="754">
        <v>7</v>
      </c>
      <c r="G59" s="193"/>
      <c r="H59" s="194"/>
      <c r="I59" s="194"/>
      <c r="J59" s="5"/>
      <c r="K59" s="193"/>
      <c r="L59" s="194"/>
      <c r="M59" s="194"/>
      <c r="N59" s="5"/>
      <c r="O59" s="757">
        <v>7</v>
      </c>
      <c r="P59" s="758">
        <v>1290</v>
      </c>
      <c r="Q59" s="194"/>
      <c r="R59" s="5">
        <f t="shared" si="1"/>
        <v>9030</v>
      </c>
      <c r="S59" s="759"/>
      <c r="T59" s="758"/>
      <c r="U59" s="194"/>
      <c r="V59" s="5" t="str">
        <f t="shared" si="2"/>
        <v/>
      </c>
      <c r="W59" s="193"/>
      <c r="X59" s="194"/>
      <c r="Y59" s="194"/>
      <c r="Z59" s="5" t="str">
        <f t="shared" si="3"/>
        <v/>
      </c>
      <c r="AA59" s="759"/>
      <c r="AB59" s="758"/>
      <c r="AC59" s="194"/>
      <c r="AD59" s="5" t="str">
        <f t="shared" si="4"/>
        <v/>
      </c>
      <c r="AE59" s="681"/>
      <c r="AF59" s="681"/>
      <c r="AG59" s="194"/>
      <c r="AH59" s="5" t="str">
        <f t="shared" si="5"/>
        <v/>
      </c>
      <c r="AI59" s="757"/>
      <c r="AJ59" s="759"/>
      <c r="AK59" s="194"/>
      <c r="AL59" s="5" t="str">
        <f t="shared" si="6"/>
        <v/>
      </c>
      <c r="AM59" s="193"/>
      <c r="AN59" s="194"/>
      <c r="AO59" s="194"/>
      <c r="AP59" s="5" t="str">
        <f t="shared" si="7"/>
        <v/>
      </c>
      <c r="AQ59" s="193"/>
      <c r="AR59" s="219"/>
      <c r="AS59" s="219"/>
      <c r="AT59" s="5" t="str">
        <f t="shared" si="0"/>
        <v/>
      </c>
      <c r="AU59" s="193"/>
      <c r="AV59" s="194"/>
      <c r="AW59" s="194"/>
      <c r="AX59" s="5" t="str">
        <f t="shared" si="8"/>
        <v/>
      </c>
      <c r="AY59" s="193"/>
      <c r="AZ59" s="194"/>
      <c r="BA59" s="194"/>
      <c r="BB59" s="5" t="str">
        <f t="shared" si="9"/>
        <v/>
      </c>
      <c r="BC59" s="193"/>
      <c r="BD59" s="194"/>
      <c r="BE59" s="194"/>
      <c r="BF59" s="5" t="str">
        <f t="shared" si="10"/>
        <v/>
      </c>
      <c r="BG59" s="6"/>
      <c r="BH59" s="7"/>
      <c r="BI59" s="8"/>
      <c r="BJ59" s="195"/>
      <c r="BK59" s="196"/>
      <c r="BL59" s="197"/>
      <c r="BM59" s="198"/>
      <c r="BN59" s="8"/>
      <c r="BO59" s="8"/>
      <c r="BP59" s="9"/>
    </row>
    <row r="60" spans="1:69" s="4" customFormat="1" ht="33.75" customHeight="1" x14ac:dyDescent="0.2">
      <c r="A60" s="192">
        <v>56</v>
      </c>
      <c r="B60" s="754">
        <v>56</v>
      </c>
      <c r="C60" s="756" t="s">
        <v>724</v>
      </c>
      <c r="D60" s="755" t="s">
        <v>467</v>
      </c>
      <c r="E60" s="754">
        <v>5</v>
      </c>
      <c r="F60" s="754">
        <v>5</v>
      </c>
      <c r="G60" s="193"/>
      <c r="H60" s="194"/>
      <c r="I60" s="194"/>
      <c r="J60" s="5"/>
      <c r="K60" s="193"/>
      <c r="L60" s="194"/>
      <c r="M60" s="194"/>
      <c r="N60" s="5"/>
      <c r="O60" s="757">
        <v>5</v>
      </c>
      <c r="P60" s="758">
        <v>125</v>
      </c>
      <c r="Q60" s="194"/>
      <c r="R60" s="5">
        <f t="shared" si="1"/>
        <v>625</v>
      </c>
      <c r="S60" s="759"/>
      <c r="T60" s="758"/>
      <c r="U60" s="194"/>
      <c r="V60" s="5" t="str">
        <f t="shared" si="2"/>
        <v/>
      </c>
      <c r="W60" s="193"/>
      <c r="X60" s="194"/>
      <c r="Y60" s="194"/>
      <c r="Z60" s="5" t="str">
        <f t="shared" si="3"/>
        <v/>
      </c>
      <c r="AA60" s="759"/>
      <c r="AB60" s="758"/>
      <c r="AC60" s="194"/>
      <c r="AD60" s="5" t="str">
        <f t="shared" si="4"/>
        <v/>
      </c>
      <c r="AE60" s="681"/>
      <c r="AF60" s="681"/>
      <c r="AG60" s="194"/>
      <c r="AH60" s="5" t="str">
        <f t="shared" si="5"/>
        <v/>
      </c>
      <c r="AI60" s="757"/>
      <c r="AJ60" s="759"/>
      <c r="AK60" s="194"/>
      <c r="AL60" s="5" t="str">
        <f t="shared" si="6"/>
        <v/>
      </c>
      <c r="AM60" s="193"/>
      <c r="AN60" s="194"/>
      <c r="AO60" s="194"/>
      <c r="AP60" s="5" t="str">
        <f t="shared" si="7"/>
        <v/>
      </c>
      <c r="AQ60" s="193"/>
      <c r="AR60" s="219"/>
      <c r="AS60" s="219"/>
      <c r="AT60" s="5" t="str">
        <f t="shared" si="0"/>
        <v/>
      </c>
      <c r="AU60" s="193"/>
      <c r="AV60" s="194"/>
      <c r="AW60" s="194"/>
      <c r="AX60" s="5" t="str">
        <f t="shared" si="8"/>
        <v/>
      </c>
      <c r="AY60" s="193"/>
      <c r="AZ60" s="194"/>
      <c r="BA60" s="194"/>
      <c r="BB60" s="5" t="str">
        <f t="shared" si="9"/>
        <v/>
      </c>
      <c r="BC60" s="193"/>
      <c r="BD60" s="194"/>
      <c r="BE60" s="194"/>
      <c r="BF60" s="5" t="str">
        <f t="shared" si="10"/>
        <v/>
      </c>
      <c r="BG60" s="6"/>
      <c r="BH60" s="7"/>
      <c r="BI60" s="8"/>
      <c r="BJ60" s="195"/>
      <c r="BK60" s="196"/>
      <c r="BL60" s="197"/>
      <c r="BM60" s="198"/>
      <c r="BN60" s="8"/>
      <c r="BO60" s="8"/>
      <c r="BP60" s="9"/>
      <c r="BQ60" s="509"/>
    </row>
    <row r="61" spans="1:69" s="4" customFormat="1" ht="33.75" customHeight="1" x14ac:dyDescent="0.2">
      <c r="A61" s="192">
        <v>57</v>
      </c>
      <c r="B61" s="754">
        <v>57</v>
      </c>
      <c r="C61" s="755" t="s">
        <v>725</v>
      </c>
      <c r="D61" s="755" t="s">
        <v>468</v>
      </c>
      <c r="E61" s="754">
        <v>5</v>
      </c>
      <c r="F61" s="754">
        <v>5</v>
      </c>
      <c r="G61" s="193"/>
      <c r="H61" s="194"/>
      <c r="I61" s="194"/>
      <c r="J61" s="5"/>
      <c r="K61" s="193"/>
      <c r="L61" s="194"/>
      <c r="M61" s="194"/>
      <c r="N61" s="5"/>
      <c r="O61" s="757">
        <v>5</v>
      </c>
      <c r="P61" s="758">
        <v>115</v>
      </c>
      <c r="Q61" s="194"/>
      <c r="R61" s="5">
        <f t="shared" si="1"/>
        <v>575</v>
      </c>
      <c r="S61" s="759"/>
      <c r="T61" s="758"/>
      <c r="U61" s="194"/>
      <c r="V61" s="5" t="str">
        <f t="shared" si="2"/>
        <v/>
      </c>
      <c r="W61" s="193"/>
      <c r="X61" s="194"/>
      <c r="Y61" s="194"/>
      <c r="Z61" s="5" t="str">
        <f t="shared" si="3"/>
        <v/>
      </c>
      <c r="AA61" s="759"/>
      <c r="AB61" s="758"/>
      <c r="AC61" s="194"/>
      <c r="AD61" s="5" t="str">
        <f t="shared" si="4"/>
        <v/>
      </c>
      <c r="AE61" s="681"/>
      <c r="AF61" s="681"/>
      <c r="AG61" s="194"/>
      <c r="AH61" s="5" t="str">
        <f t="shared" si="5"/>
        <v/>
      </c>
      <c r="AI61" s="757"/>
      <c r="AJ61" s="759"/>
      <c r="AK61" s="194"/>
      <c r="AL61" s="5" t="str">
        <f t="shared" si="6"/>
        <v/>
      </c>
      <c r="AM61" s="193"/>
      <c r="AN61" s="194"/>
      <c r="AO61" s="194"/>
      <c r="AP61" s="5" t="str">
        <f t="shared" si="7"/>
        <v/>
      </c>
      <c r="AQ61" s="193"/>
      <c r="AR61" s="219"/>
      <c r="AS61" s="219"/>
      <c r="AT61" s="5" t="str">
        <f t="shared" si="0"/>
        <v/>
      </c>
      <c r="AU61" s="193"/>
      <c r="AV61" s="194"/>
      <c r="AW61" s="194"/>
      <c r="AX61" s="5" t="str">
        <f t="shared" si="8"/>
        <v/>
      </c>
      <c r="AY61" s="193"/>
      <c r="AZ61" s="194"/>
      <c r="BA61" s="194"/>
      <c r="BB61" s="5" t="str">
        <f t="shared" si="9"/>
        <v/>
      </c>
      <c r="BC61" s="193"/>
      <c r="BD61" s="194"/>
      <c r="BE61" s="194"/>
      <c r="BF61" s="5" t="str">
        <f t="shared" si="10"/>
        <v/>
      </c>
      <c r="BG61" s="6"/>
      <c r="BH61" s="7"/>
      <c r="BI61" s="8"/>
      <c r="BJ61" s="195"/>
      <c r="BK61" s="196"/>
      <c r="BL61" s="197"/>
      <c r="BM61" s="198"/>
      <c r="BN61" s="8"/>
      <c r="BO61" s="8"/>
      <c r="BP61" s="9"/>
    </row>
    <row r="62" spans="1:69" s="4" customFormat="1" ht="33.75" customHeight="1" x14ac:dyDescent="0.2">
      <c r="A62" s="192">
        <v>58</v>
      </c>
      <c r="B62" s="754">
        <v>58</v>
      </c>
      <c r="C62" s="756" t="s">
        <v>726</v>
      </c>
      <c r="D62" s="755" t="s">
        <v>609</v>
      </c>
      <c r="E62" s="754">
        <v>5</v>
      </c>
      <c r="F62" s="754">
        <v>5</v>
      </c>
      <c r="G62" s="193"/>
      <c r="H62" s="194"/>
      <c r="I62" s="194"/>
      <c r="J62" s="5"/>
      <c r="K62" s="193"/>
      <c r="L62" s="194"/>
      <c r="M62" s="194"/>
      <c r="N62" s="5"/>
      <c r="O62" s="757">
        <v>5</v>
      </c>
      <c r="P62" s="758">
        <v>810</v>
      </c>
      <c r="Q62" s="194"/>
      <c r="R62" s="5">
        <f t="shared" si="1"/>
        <v>4050</v>
      </c>
      <c r="S62" s="759"/>
      <c r="T62" s="758"/>
      <c r="U62" s="194"/>
      <c r="V62" s="5" t="str">
        <f t="shared" si="2"/>
        <v/>
      </c>
      <c r="W62" s="193"/>
      <c r="X62" s="194"/>
      <c r="Y62" s="194"/>
      <c r="Z62" s="5" t="str">
        <f t="shared" si="3"/>
        <v/>
      </c>
      <c r="AA62" s="759"/>
      <c r="AB62" s="758"/>
      <c r="AC62" s="194"/>
      <c r="AD62" s="5" t="str">
        <f t="shared" si="4"/>
        <v/>
      </c>
      <c r="AE62" s="681"/>
      <c r="AF62" s="681"/>
      <c r="AG62" s="194"/>
      <c r="AH62" s="5" t="str">
        <f t="shared" si="5"/>
        <v/>
      </c>
      <c r="AI62" s="757"/>
      <c r="AJ62" s="759"/>
      <c r="AK62" s="194"/>
      <c r="AL62" s="5" t="str">
        <f t="shared" si="6"/>
        <v/>
      </c>
      <c r="AM62" s="193"/>
      <c r="AN62" s="194"/>
      <c r="AO62" s="194"/>
      <c r="AP62" s="5" t="str">
        <f t="shared" si="7"/>
        <v/>
      </c>
      <c r="AQ62" s="193"/>
      <c r="AR62" s="219"/>
      <c r="AS62" s="219"/>
      <c r="AT62" s="5" t="str">
        <f t="shared" si="0"/>
        <v/>
      </c>
      <c r="AU62" s="193"/>
      <c r="AV62" s="194"/>
      <c r="AW62" s="194"/>
      <c r="AX62" s="5" t="str">
        <f t="shared" si="8"/>
        <v/>
      </c>
      <c r="AY62" s="193"/>
      <c r="AZ62" s="194"/>
      <c r="BA62" s="194"/>
      <c r="BB62" s="5" t="str">
        <f t="shared" si="9"/>
        <v/>
      </c>
      <c r="BC62" s="193"/>
      <c r="BD62" s="194"/>
      <c r="BE62" s="194"/>
      <c r="BF62" s="5" t="str">
        <f t="shared" si="10"/>
        <v/>
      </c>
      <c r="BG62" s="6"/>
      <c r="BH62" s="7"/>
      <c r="BI62" s="8"/>
      <c r="BJ62" s="195"/>
      <c r="BK62" s="196"/>
      <c r="BL62" s="197"/>
      <c r="BM62" s="198"/>
      <c r="BN62" s="8"/>
      <c r="BO62" s="8"/>
      <c r="BP62" s="9"/>
    </row>
    <row r="63" spans="1:69" s="4" customFormat="1" ht="33.75" customHeight="1" x14ac:dyDescent="0.2">
      <c r="A63" s="192">
        <v>59</v>
      </c>
      <c r="B63" s="754">
        <v>59</v>
      </c>
      <c r="C63" s="755" t="s">
        <v>727</v>
      </c>
      <c r="D63" s="755" t="s">
        <v>610</v>
      </c>
      <c r="E63" s="754">
        <v>10</v>
      </c>
      <c r="F63" s="754">
        <v>10</v>
      </c>
      <c r="G63" s="193"/>
      <c r="H63" s="194"/>
      <c r="I63" s="194"/>
      <c r="J63" s="5"/>
      <c r="K63" s="193"/>
      <c r="L63" s="194"/>
      <c r="M63" s="194"/>
      <c r="N63" s="5"/>
      <c r="O63" s="757"/>
      <c r="P63" s="758"/>
      <c r="Q63" s="194"/>
      <c r="R63" s="5" t="str">
        <f t="shared" si="1"/>
        <v/>
      </c>
      <c r="S63" s="759"/>
      <c r="T63" s="758"/>
      <c r="U63" s="194"/>
      <c r="V63" s="5" t="str">
        <f t="shared" si="2"/>
        <v/>
      </c>
      <c r="W63" s="193"/>
      <c r="X63" s="194"/>
      <c r="Y63" s="194"/>
      <c r="Z63" s="5" t="str">
        <f t="shared" si="3"/>
        <v/>
      </c>
      <c r="AA63" s="759"/>
      <c r="AB63" s="758"/>
      <c r="AC63" s="194"/>
      <c r="AD63" s="5" t="str">
        <f t="shared" si="4"/>
        <v/>
      </c>
      <c r="AE63" s="681"/>
      <c r="AF63" s="681"/>
      <c r="AG63" s="194"/>
      <c r="AH63" s="5" t="str">
        <f t="shared" si="5"/>
        <v/>
      </c>
      <c r="AI63" s="757"/>
      <c r="AJ63" s="759"/>
      <c r="AK63" s="194"/>
      <c r="AL63" s="5" t="str">
        <f t="shared" si="6"/>
        <v/>
      </c>
      <c r="AM63" s="193"/>
      <c r="AN63" s="194"/>
      <c r="AO63" s="194"/>
      <c r="AP63" s="5" t="str">
        <f t="shared" si="7"/>
        <v/>
      </c>
      <c r="AQ63" s="193"/>
      <c r="AR63" s="219"/>
      <c r="AS63" s="219"/>
      <c r="AT63" s="5" t="str">
        <f t="shared" si="0"/>
        <v/>
      </c>
      <c r="AU63" s="193"/>
      <c r="AV63" s="194"/>
      <c r="AW63" s="194"/>
      <c r="AX63" s="5" t="str">
        <f t="shared" si="8"/>
        <v/>
      </c>
      <c r="AY63" s="193"/>
      <c r="AZ63" s="194"/>
      <c r="BA63" s="194"/>
      <c r="BB63" s="5" t="str">
        <f t="shared" si="9"/>
        <v/>
      </c>
      <c r="BC63" s="193"/>
      <c r="BD63" s="194"/>
      <c r="BE63" s="194"/>
      <c r="BF63" s="5" t="str">
        <f t="shared" si="10"/>
        <v/>
      </c>
      <c r="BG63" s="6"/>
      <c r="BH63" s="7"/>
      <c r="BI63" s="8"/>
      <c r="BJ63" s="195"/>
      <c r="BK63" s="196"/>
      <c r="BL63" s="197"/>
      <c r="BM63" s="198"/>
      <c r="BN63" s="8"/>
      <c r="BO63" s="8"/>
      <c r="BP63" s="9"/>
    </row>
    <row r="64" spans="1:69" s="4" customFormat="1" ht="33.75" customHeight="1" x14ac:dyDescent="0.2">
      <c r="A64" s="192">
        <v>60</v>
      </c>
      <c r="B64" s="754">
        <v>60</v>
      </c>
      <c r="C64" s="756" t="s">
        <v>728</v>
      </c>
      <c r="D64" s="755" t="s">
        <v>121</v>
      </c>
      <c r="E64" s="754">
        <v>7</v>
      </c>
      <c r="F64" s="754">
        <v>7</v>
      </c>
      <c r="G64" s="193"/>
      <c r="H64" s="194"/>
      <c r="I64" s="194"/>
      <c r="J64" s="5"/>
      <c r="K64" s="193"/>
      <c r="L64" s="194"/>
      <c r="M64" s="194"/>
      <c r="N64" s="5"/>
      <c r="O64" s="757"/>
      <c r="P64" s="758"/>
      <c r="Q64" s="194"/>
      <c r="R64" s="5" t="str">
        <f t="shared" si="1"/>
        <v/>
      </c>
      <c r="S64" s="759"/>
      <c r="T64" s="758"/>
      <c r="U64" s="194"/>
      <c r="V64" s="5" t="str">
        <f t="shared" si="2"/>
        <v/>
      </c>
      <c r="W64" s="193"/>
      <c r="X64" s="194"/>
      <c r="Y64" s="194"/>
      <c r="Z64" s="5" t="str">
        <f t="shared" si="3"/>
        <v/>
      </c>
      <c r="AA64" s="759"/>
      <c r="AB64" s="758"/>
      <c r="AC64" s="194"/>
      <c r="AD64" s="5" t="str">
        <f t="shared" si="4"/>
        <v/>
      </c>
      <c r="AE64" s="681"/>
      <c r="AF64" s="681"/>
      <c r="AG64" s="194"/>
      <c r="AH64" s="5" t="str">
        <f t="shared" si="5"/>
        <v/>
      </c>
      <c r="AI64" s="757"/>
      <c r="AJ64" s="759"/>
      <c r="AK64" s="194"/>
      <c r="AL64" s="5" t="str">
        <f t="shared" si="6"/>
        <v/>
      </c>
      <c r="AM64" s="193"/>
      <c r="AN64" s="194"/>
      <c r="AO64" s="194"/>
      <c r="AP64" s="5" t="str">
        <f t="shared" si="7"/>
        <v/>
      </c>
      <c r="AQ64" s="193"/>
      <c r="AR64" s="219"/>
      <c r="AS64" s="219"/>
      <c r="AT64" s="5" t="str">
        <f t="shared" si="0"/>
        <v/>
      </c>
      <c r="AU64" s="193"/>
      <c r="AV64" s="194"/>
      <c r="AW64" s="194"/>
      <c r="AX64" s="5" t="str">
        <f t="shared" si="8"/>
        <v/>
      </c>
      <c r="AY64" s="193"/>
      <c r="AZ64" s="194"/>
      <c r="BA64" s="194"/>
      <c r="BB64" s="5" t="str">
        <f t="shared" si="9"/>
        <v/>
      </c>
      <c r="BC64" s="193"/>
      <c r="BD64" s="194"/>
      <c r="BE64" s="194"/>
      <c r="BF64" s="5" t="str">
        <f t="shared" si="10"/>
        <v/>
      </c>
      <c r="BG64" s="6"/>
      <c r="BH64" s="7"/>
      <c r="BI64" s="8"/>
      <c r="BJ64" s="195"/>
      <c r="BK64" s="196"/>
      <c r="BL64" s="197"/>
      <c r="BM64" s="198"/>
      <c r="BN64" s="8"/>
      <c r="BO64" s="8"/>
      <c r="BP64" s="9"/>
    </row>
    <row r="65" spans="1:68" s="4" customFormat="1" ht="33.75" customHeight="1" x14ac:dyDescent="0.2">
      <c r="A65" s="192">
        <v>61</v>
      </c>
      <c r="B65" s="754">
        <v>61</v>
      </c>
      <c r="C65" s="755" t="s">
        <v>729</v>
      </c>
      <c r="D65" s="755" t="s">
        <v>611</v>
      </c>
      <c r="E65" s="754">
        <v>11</v>
      </c>
      <c r="F65" s="754">
        <v>11</v>
      </c>
      <c r="G65" s="193"/>
      <c r="H65" s="194"/>
      <c r="I65" s="194"/>
      <c r="J65" s="5"/>
      <c r="K65" s="193"/>
      <c r="L65" s="194"/>
      <c r="M65" s="194"/>
      <c r="N65" s="5"/>
      <c r="O65" s="757"/>
      <c r="P65" s="758"/>
      <c r="Q65" s="194"/>
      <c r="R65" s="5" t="str">
        <f t="shared" si="1"/>
        <v/>
      </c>
      <c r="S65" s="759"/>
      <c r="T65" s="758"/>
      <c r="U65" s="194"/>
      <c r="V65" s="5" t="str">
        <f t="shared" si="2"/>
        <v/>
      </c>
      <c r="W65" s="193"/>
      <c r="X65" s="194"/>
      <c r="Y65" s="194"/>
      <c r="Z65" s="5" t="str">
        <f t="shared" si="3"/>
        <v/>
      </c>
      <c r="AA65" s="759"/>
      <c r="AB65" s="758"/>
      <c r="AC65" s="194"/>
      <c r="AD65" s="5" t="str">
        <f t="shared" si="4"/>
        <v/>
      </c>
      <c r="AE65" s="681"/>
      <c r="AF65" s="681"/>
      <c r="AG65" s="194"/>
      <c r="AH65" s="5" t="str">
        <f t="shared" si="5"/>
        <v/>
      </c>
      <c r="AI65" s="757"/>
      <c r="AJ65" s="759"/>
      <c r="AK65" s="194"/>
      <c r="AL65" s="5" t="str">
        <f t="shared" si="6"/>
        <v/>
      </c>
      <c r="AM65" s="193"/>
      <c r="AN65" s="194"/>
      <c r="AO65" s="194"/>
      <c r="AP65" s="5" t="str">
        <f t="shared" si="7"/>
        <v/>
      </c>
      <c r="AQ65" s="193"/>
      <c r="AR65" s="219"/>
      <c r="AS65" s="219"/>
      <c r="AT65" s="5" t="str">
        <f t="shared" si="0"/>
        <v/>
      </c>
      <c r="AU65" s="193"/>
      <c r="AV65" s="194"/>
      <c r="AW65" s="194"/>
      <c r="AX65" s="5" t="str">
        <f t="shared" si="8"/>
        <v/>
      </c>
      <c r="AY65" s="193"/>
      <c r="AZ65" s="194"/>
      <c r="BA65" s="194"/>
      <c r="BB65" s="5" t="str">
        <f t="shared" si="9"/>
        <v/>
      </c>
      <c r="BC65" s="193"/>
      <c r="BD65" s="194"/>
      <c r="BE65" s="194"/>
      <c r="BF65" s="5" t="str">
        <f t="shared" si="10"/>
        <v/>
      </c>
      <c r="BG65" s="6"/>
      <c r="BH65" s="7"/>
      <c r="BI65" s="8"/>
      <c r="BJ65" s="195"/>
      <c r="BK65" s="196"/>
      <c r="BL65" s="197"/>
      <c r="BM65" s="198"/>
      <c r="BN65" s="8"/>
      <c r="BO65" s="8"/>
      <c r="BP65" s="9"/>
    </row>
    <row r="66" spans="1:68" s="4" customFormat="1" ht="33.75" customHeight="1" x14ac:dyDescent="0.2">
      <c r="A66" s="192">
        <v>62</v>
      </c>
      <c r="B66" s="754">
        <v>62</v>
      </c>
      <c r="C66" s="756" t="s">
        <v>730</v>
      </c>
      <c r="D66" s="755" t="s">
        <v>612</v>
      </c>
      <c r="E66" s="754">
        <v>5</v>
      </c>
      <c r="F66" s="754">
        <v>5</v>
      </c>
      <c r="G66" s="193"/>
      <c r="H66" s="194"/>
      <c r="I66" s="194"/>
      <c r="J66" s="5"/>
      <c r="K66" s="193"/>
      <c r="L66" s="194"/>
      <c r="M66" s="194"/>
      <c r="N66" s="5"/>
      <c r="O66" s="757">
        <v>5</v>
      </c>
      <c r="P66" s="758">
        <v>26750</v>
      </c>
      <c r="Q66" s="194"/>
      <c r="R66" s="5">
        <f t="shared" si="1"/>
        <v>133750</v>
      </c>
      <c r="S66" s="759">
        <v>5</v>
      </c>
      <c r="T66" s="758">
        <v>21000</v>
      </c>
      <c r="U66" s="194"/>
      <c r="V66" s="5">
        <f t="shared" si="2"/>
        <v>105000</v>
      </c>
      <c r="W66" s="193"/>
      <c r="X66" s="194"/>
      <c r="Y66" s="194"/>
      <c r="Z66" s="5" t="str">
        <f t="shared" si="3"/>
        <v/>
      </c>
      <c r="AA66" s="759"/>
      <c r="AB66" s="758"/>
      <c r="AC66" s="194"/>
      <c r="AD66" s="5" t="str">
        <f t="shared" si="4"/>
        <v/>
      </c>
      <c r="AE66" s="681"/>
      <c r="AF66" s="681"/>
      <c r="AG66" s="194"/>
      <c r="AH66" s="5" t="str">
        <f t="shared" si="5"/>
        <v/>
      </c>
      <c r="AI66" s="757"/>
      <c r="AJ66" s="759"/>
      <c r="AK66" s="194"/>
      <c r="AL66" s="5" t="str">
        <f t="shared" si="6"/>
        <v/>
      </c>
      <c r="AM66" s="193"/>
      <c r="AN66" s="194"/>
      <c r="AO66" s="194"/>
      <c r="AP66" s="5" t="str">
        <f t="shared" si="7"/>
        <v/>
      </c>
      <c r="AQ66" s="193"/>
      <c r="AR66" s="219"/>
      <c r="AS66" s="219"/>
      <c r="AT66" s="5" t="str">
        <f t="shared" si="0"/>
        <v/>
      </c>
      <c r="AU66" s="193"/>
      <c r="AV66" s="194"/>
      <c r="AW66" s="194"/>
      <c r="AX66" s="5" t="str">
        <f t="shared" si="8"/>
        <v/>
      </c>
      <c r="AY66" s="193"/>
      <c r="AZ66" s="194"/>
      <c r="BA66" s="194"/>
      <c r="BB66" s="5" t="str">
        <f t="shared" si="9"/>
        <v/>
      </c>
      <c r="BC66" s="193"/>
      <c r="BD66" s="194"/>
      <c r="BE66" s="194"/>
      <c r="BF66" s="5" t="str">
        <f t="shared" si="10"/>
        <v/>
      </c>
      <c r="BG66" s="6"/>
      <c r="BH66" s="7"/>
      <c r="BI66" s="8"/>
      <c r="BJ66" s="195"/>
      <c r="BK66" s="196"/>
      <c r="BL66" s="197"/>
      <c r="BM66" s="198"/>
      <c r="BN66" s="8"/>
      <c r="BO66" s="8"/>
      <c r="BP66" s="9"/>
    </row>
    <row r="67" spans="1:68" s="4" customFormat="1" ht="33.75" customHeight="1" x14ac:dyDescent="0.2">
      <c r="A67" s="192">
        <v>63</v>
      </c>
      <c r="B67" s="754">
        <v>63</v>
      </c>
      <c r="C67" s="755" t="s">
        <v>731</v>
      </c>
      <c r="D67" s="755" t="s">
        <v>130</v>
      </c>
      <c r="E67" s="754">
        <v>4</v>
      </c>
      <c r="F67" s="754">
        <v>4</v>
      </c>
      <c r="G67" s="193"/>
      <c r="H67" s="194"/>
      <c r="I67" s="194"/>
      <c r="J67" s="5"/>
      <c r="K67" s="193"/>
      <c r="L67" s="194"/>
      <c r="M67" s="194"/>
      <c r="N67" s="5"/>
      <c r="O67" s="757"/>
      <c r="P67" s="758"/>
      <c r="Q67" s="194"/>
      <c r="R67" s="5" t="str">
        <f t="shared" si="1"/>
        <v/>
      </c>
      <c r="S67" s="759"/>
      <c r="T67" s="758"/>
      <c r="U67" s="194"/>
      <c r="V67" s="5" t="str">
        <f t="shared" si="2"/>
        <v/>
      </c>
      <c r="W67" s="193"/>
      <c r="X67" s="194"/>
      <c r="Y67" s="194"/>
      <c r="Z67" s="5" t="str">
        <f t="shared" si="3"/>
        <v/>
      </c>
      <c r="AA67" s="759"/>
      <c r="AB67" s="758"/>
      <c r="AC67" s="194"/>
      <c r="AD67" s="5" t="str">
        <f t="shared" si="4"/>
        <v/>
      </c>
      <c r="AE67" s="681"/>
      <c r="AF67" s="681"/>
      <c r="AG67" s="194"/>
      <c r="AH67" s="5" t="str">
        <f t="shared" si="5"/>
        <v/>
      </c>
      <c r="AI67" s="757"/>
      <c r="AJ67" s="759"/>
      <c r="AK67" s="194"/>
      <c r="AL67" s="5" t="str">
        <f t="shared" si="6"/>
        <v/>
      </c>
      <c r="AM67" s="193"/>
      <c r="AN67" s="194"/>
      <c r="AO67" s="194"/>
      <c r="AP67" s="5" t="str">
        <f t="shared" si="7"/>
        <v/>
      </c>
      <c r="AQ67" s="193"/>
      <c r="AR67" s="219"/>
      <c r="AS67" s="219"/>
      <c r="AT67" s="5" t="str">
        <f t="shared" si="0"/>
        <v/>
      </c>
      <c r="AU67" s="193"/>
      <c r="AV67" s="194"/>
      <c r="AW67" s="194"/>
      <c r="AX67" s="5" t="str">
        <f t="shared" si="8"/>
        <v/>
      </c>
      <c r="AY67" s="193"/>
      <c r="AZ67" s="194"/>
      <c r="BA67" s="194"/>
      <c r="BB67" s="5" t="str">
        <f t="shared" si="9"/>
        <v/>
      </c>
      <c r="BC67" s="193"/>
      <c r="BD67" s="194"/>
      <c r="BE67" s="194"/>
      <c r="BF67" s="5" t="str">
        <f t="shared" si="10"/>
        <v/>
      </c>
      <c r="BG67" s="6"/>
      <c r="BH67" s="7"/>
      <c r="BI67" s="8"/>
      <c r="BJ67" s="195"/>
      <c r="BK67" s="196"/>
      <c r="BL67" s="197"/>
      <c r="BM67" s="198"/>
      <c r="BN67" s="8"/>
      <c r="BO67" s="8"/>
      <c r="BP67" s="9"/>
    </row>
    <row r="68" spans="1:68" s="4" customFormat="1" ht="33.75" customHeight="1" x14ac:dyDescent="0.2">
      <c r="A68" s="192">
        <v>64</v>
      </c>
      <c r="B68" s="754">
        <v>64</v>
      </c>
      <c r="C68" s="756" t="s">
        <v>732</v>
      </c>
      <c r="D68" s="755" t="s">
        <v>613</v>
      </c>
      <c r="E68" s="754">
        <v>4</v>
      </c>
      <c r="F68" s="754">
        <v>4</v>
      </c>
      <c r="G68" s="193"/>
      <c r="H68" s="194"/>
      <c r="I68" s="194"/>
      <c r="J68" s="5"/>
      <c r="K68" s="193"/>
      <c r="L68" s="194"/>
      <c r="M68" s="194"/>
      <c r="N68" s="5"/>
      <c r="O68" s="757"/>
      <c r="P68" s="758"/>
      <c r="Q68" s="194"/>
      <c r="R68" s="5" t="str">
        <f t="shared" si="1"/>
        <v/>
      </c>
      <c r="S68" s="759"/>
      <c r="T68" s="758"/>
      <c r="U68" s="194"/>
      <c r="V68" s="5" t="str">
        <f t="shared" si="2"/>
        <v/>
      </c>
      <c r="W68" s="193"/>
      <c r="X68" s="194"/>
      <c r="Y68" s="194"/>
      <c r="Z68" s="5" t="str">
        <f t="shared" si="3"/>
        <v/>
      </c>
      <c r="AA68" s="759"/>
      <c r="AB68" s="758"/>
      <c r="AC68" s="194"/>
      <c r="AD68" s="5" t="str">
        <f t="shared" si="4"/>
        <v/>
      </c>
      <c r="AE68" s="681"/>
      <c r="AF68" s="681"/>
      <c r="AG68" s="194"/>
      <c r="AH68" s="5" t="str">
        <f t="shared" si="5"/>
        <v/>
      </c>
      <c r="AI68" s="757"/>
      <c r="AJ68" s="759"/>
      <c r="AK68" s="194"/>
      <c r="AL68" s="5" t="str">
        <f t="shared" si="6"/>
        <v/>
      </c>
      <c r="AM68" s="193"/>
      <c r="AN68" s="194"/>
      <c r="AO68" s="194"/>
      <c r="AP68" s="5" t="str">
        <f t="shared" si="7"/>
        <v/>
      </c>
      <c r="AQ68" s="193"/>
      <c r="AR68" s="219"/>
      <c r="AS68" s="219"/>
      <c r="AT68" s="5" t="str">
        <f t="shared" si="0"/>
        <v/>
      </c>
      <c r="AU68" s="193"/>
      <c r="AV68" s="194"/>
      <c r="AW68" s="194"/>
      <c r="AX68" s="5" t="str">
        <f t="shared" si="8"/>
        <v/>
      </c>
      <c r="AY68" s="193"/>
      <c r="AZ68" s="194"/>
      <c r="BA68" s="194"/>
      <c r="BB68" s="5" t="str">
        <f t="shared" si="9"/>
        <v/>
      </c>
      <c r="BC68" s="193"/>
      <c r="BD68" s="194"/>
      <c r="BE68" s="194"/>
      <c r="BF68" s="5" t="str">
        <f t="shared" si="10"/>
        <v/>
      </c>
      <c r="BG68" s="6"/>
      <c r="BH68" s="7"/>
      <c r="BI68" s="8"/>
      <c r="BJ68" s="195"/>
      <c r="BK68" s="196"/>
      <c r="BL68" s="197"/>
      <c r="BM68" s="198"/>
      <c r="BN68" s="8"/>
      <c r="BO68" s="8"/>
      <c r="BP68" s="9"/>
    </row>
    <row r="69" spans="1:68" s="4" customFormat="1" ht="33.75" customHeight="1" x14ac:dyDescent="0.2">
      <c r="A69" s="192">
        <v>65</v>
      </c>
      <c r="B69" s="754">
        <v>65</v>
      </c>
      <c r="C69" s="755" t="s">
        <v>733</v>
      </c>
      <c r="D69" s="755" t="s">
        <v>614</v>
      </c>
      <c r="E69" s="754">
        <v>4</v>
      </c>
      <c r="F69" s="754">
        <v>4</v>
      </c>
      <c r="G69" s="193"/>
      <c r="H69" s="194"/>
      <c r="I69" s="194"/>
      <c r="J69" s="5"/>
      <c r="K69" s="193"/>
      <c r="L69" s="194"/>
      <c r="M69" s="194"/>
      <c r="N69" s="5"/>
      <c r="O69" s="757"/>
      <c r="P69" s="758"/>
      <c r="Q69" s="194"/>
      <c r="R69" s="5" t="str">
        <f t="shared" si="1"/>
        <v/>
      </c>
      <c r="S69" s="759"/>
      <c r="T69" s="758"/>
      <c r="U69" s="194"/>
      <c r="V69" s="5" t="str">
        <f t="shared" si="2"/>
        <v/>
      </c>
      <c r="W69" s="193"/>
      <c r="X69" s="194"/>
      <c r="Y69" s="194"/>
      <c r="Z69" s="5" t="str">
        <f t="shared" si="3"/>
        <v/>
      </c>
      <c r="AA69" s="759"/>
      <c r="AB69" s="758"/>
      <c r="AC69" s="194"/>
      <c r="AD69" s="5" t="str">
        <f t="shared" si="4"/>
        <v/>
      </c>
      <c r="AE69" s="681"/>
      <c r="AF69" s="681"/>
      <c r="AG69" s="194"/>
      <c r="AH69" s="5" t="str">
        <f t="shared" si="5"/>
        <v/>
      </c>
      <c r="AI69" s="757"/>
      <c r="AJ69" s="759"/>
      <c r="AK69" s="194"/>
      <c r="AL69" s="5" t="str">
        <f t="shared" si="6"/>
        <v/>
      </c>
      <c r="AM69" s="193"/>
      <c r="AN69" s="194"/>
      <c r="AO69" s="194"/>
      <c r="AP69" s="5" t="str">
        <f t="shared" si="7"/>
        <v/>
      </c>
      <c r="AQ69" s="193"/>
      <c r="AR69" s="219"/>
      <c r="AS69" s="219"/>
      <c r="AT69" s="5" t="str">
        <f t="shared" ref="AT69:AT89" si="11">IF(AR69="TEC Rejected","",IF(AR69="","",AR69*IF(AQ69="",$E69,AQ69)))</f>
        <v/>
      </c>
      <c r="AU69" s="193"/>
      <c r="AV69" s="194"/>
      <c r="AW69" s="194"/>
      <c r="AX69" s="5" t="str">
        <f t="shared" si="8"/>
        <v/>
      </c>
      <c r="AY69" s="193"/>
      <c r="AZ69" s="194"/>
      <c r="BA69" s="194"/>
      <c r="BB69" s="5" t="str">
        <f t="shared" si="9"/>
        <v/>
      </c>
      <c r="BC69" s="193"/>
      <c r="BD69" s="194"/>
      <c r="BE69" s="194"/>
      <c r="BF69" s="5" t="str">
        <f t="shared" si="10"/>
        <v/>
      </c>
      <c r="BG69" s="6"/>
      <c r="BH69" s="7"/>
      <c r="BI69" s="8"/>
      <c r="BJ69" s="195"/>
      <c r="BK69" s="196"/>
      <c r="BL69" s="197"/>
      <c r="BM69" s="198"/>
      <c r="BN69" s="8"/>
      <c r="BO69" s="8"/>
      <c r="BP69" s="9"/>
    </row>
    <row r="70" spans="1:68" s="4" customFormat="1" ht="33.75" customHeight="1" x14ac:dyDescent="0.2">
      <c r="A70" s="192">
        <v>66</v>
      </c>
      <c r="B70" s="754">
        <v>66</v>
      </c>
      <c r="C70" s="756" t="s">
        <v>734</v>
      </c>
      <c r="D70" s="755" t="s">
        <v>615</v>
      </c>
      <c r="E70" s="754">
        <v>5</v>
      </c>
      <c r="F70" s="754">
        <v>5</v>
      </c>
      <c r="G70" s="193"/>
      <c r="H70" s="194"/>
      <c r="I70" s="194"/>
      <c r="J70" s="5"/>
      <c r="K70" s="193"/>
      <c r="L70" s="194"/>
      <c r="M70" s="194"/>
      <c r="N70" s="5"/>
      <c r="O70" s="757"/>
      <c r="P70" s="758"/>
      <c r="Q70" s="194"/>
      <c r="R70" s="5" t="str">
        <f t="shared" ref="R70:R89" si="12">IF(P70="TEC Rejected","",IF(P70="","",P70*IF(O70="",$E70,O70)))</f>
        <v/>
      </c>
      <c r="S70" s="759"/>
      <c r="T70" s="758"/>
      <c r="U70" s="194"/>
      <c r="V70" s="5" t="str">
        <f t="shared" ref="V70:V89" si="13">IF(T70="TEC Rejected","",IF(T70="","",T70*IF(S70="",$E70,S70)))</f>
        <v/>
      </c>
      <c r="W70" s="193"/>
      <c r="X70" s="194"/>
      <c r="Y70" s="194"/>
      <c r="Z70" s="5" t="str">
        <f t="shared" ref="Z70:Z89" si="14">IF(X70="TEC Rejected","",IF(X70="","",X70*IF(W70="",$E70,W70)))</f>
        <v/>
      </c>
      <c r="AA70" s="759"/>
      <c r="AB70" s="758"/>
      <c r="AC70" s="194"/>
      <c r="AD70" s="5" t="str">
        <f t="shared" ref="AD70:AD89" si="15">IF(AB70="TEC Rejected","",IF(AB70="","",AB70*IF(AA70="",$E70,AA70)))</f>
        <v/>
      </c>
      <c r="AE70" s="681"/>
      <c r="AF70" s="681"/>
      <c r="AG70" s="194"/>
      <c r="AH70" s="5" t="str">
        <f t="shared" ref="AH70:AH89" si="16">IF(AF70="TEC Rejected","",IF(AF70="","",AF70*IF(AE70="",$E70,AE70)))</f>
        <v/>
      </c>
      <c r="AI70" s="757"/>
      <c r="AJ70" s="759"/>
      <c r="AK70" s="194"/>
      <c r="AL70" s="5" t="str">
        <f t="shared" ref="AL70:AL89" si="17">IF(AJ70="TEC Rejected","",IF(AJ70="","",AJ70*IF(AI70="",$E70,AI70)))</f>
        <v/>
      </c>
      <c r="AM70" s="193"/>
      <c r="AN70" s="194"/>
      <c r="AO70" s="194"/>
      <c r="AP70" s="5" t="str">
        <f t="shared" ref="AP70:AP89" si="18">IF(AN70="TEC Rejected","",IF(AN70="","",AN70*IF(AM70="",$E70,AM70)))</f>
        <v/>
      </c>
      <c r="AQ70" s="193"/>
      <c r="AR70" s="219"/>
      <c r="AS70" s="219"/>
      <c r="AT70" s="5" t="str">
        <f t="shared" si="11"/>
        <v/>
      </c>
      <c r="AU70" s="193"/>
      <c r="AV70" s="194"/>
      <c r="AW70" s="194"/>
      <c r="AX70" s="5" t="str">
        <f t="shared" ref="AX70:AX89" si="19">IF(AV70="TEC Rejected","",IF(AV70="","",AV70*IF(AU70="",$E70,AU70)))</f>
        <v/>
      </c>
      <c r="AY70" s="193"/>
      <c r="AZ70" s="194"/>
      <c r="BA70" s="194"/>
      <c r="BB70" s="5" t="str">
        <f t="shared" ref="BB70:BB89" si="20">IF(AZ70="TEC Rejected","",IF(AZ70="","",AZ70*IF(AY70="",$E70,AY70)))</f>
        <v/>
      </c>
      <c r="BC70" s="193"/>
      <c r="BD70" s="194"/>
      <c r="BE70" s="194"/>
      <c r="BF70" s="5" t="str">
        <f t="shared" ref="BF70:BF89" si="21">IF(BD70="TEC Rejected","",IF(BD70="","",BD70*IF(BC70="",$E70,BC70)))</f>
        <v/>
      </c>
      <c r="BG70" s="6"/>
      <c r="BH70" s="7"/>
      <c r="BI70" s="8"/>
      <c r="BJ70" s="195"/>
      <c r="BK70" s="196"/>
      <c r="BL70" s="197"/>
      <c r="BM70" s="198"/>
      <c r="BN70" s="8"/>
      <c r="BO70" s="8"/>
      <c r="BP70" s="9"/>
    </row>
    <row r="71" spans="1:68" s="4" customFormat="1" ht="33.75" customHeight="1" x14ac:dyDescent="0.2">
      <c r="A71" s="192">
        <v>67</v>
      </c>
      <c r="B71" s="754">
        <v>67</v>
      </c>
      <c r="C71" s="755" t="s">
        <v>735</v>
      </c>
      <c r="D71" s="755" t="s">
        <v>616</v>
      </c>
      <c r="E71" s="754">
        <v>4</v>
      </c>
      <c r="F71" s="754">
        <v>4</v>
      </c>
      <c r="G71" s="193"/>
      <c r="H71" s="194"/>
      <c r="I71" s="194"/>
      <c r="J71" s="5"/>
      <c r="K71" s="193"/>
      <c r="L71" s="194"/>
      <c r="M71" s="194"/>
      <c r="N71" s="5"/>
      <c r="O71" s="757"/>
      <c r="P71" s="758"/>
      <c r="Q71" s="194"/>
      <c r="R71" s="5" t="str">
        <f t="shared" si="12"/>
        <v/>
      </c>
      <c r="S71" s="759"/>
      <c r="T71" s="758"/>
      <c r="U71" s="194"/>
      <c r="V71" s="5" t="str">
        <f t="shared" si="13"/>
        <v/>
      </c>
      <c r="W71" s="193"/>
      <c r="X71" s="194"/>
      <c r="Y71" s="194"/>
      <c r="Z71" s="5" t="str">
        <f t="shared" si="14"/>
        <v/>
      </c>
      <c r="AA71" s="759"/>
      <c r="AB71" s="758"/>
      <c r="AC71" s="194"/>
      <c r="AD71" s="5" t="str">
        <f t="shared" si="15"/>
        <v/>
      </c>
      <c r="AE71" s="681"/>
      <c r="AF71" s="681"/>
      <c r="AG71" s="194"/>
      <c r="AH71" s="5" t="str">
        <f t="shared" si="16"/>
        <v/>
      </c>
      <c r="AI71" s="757"/>
      <c r="AJ71" s="759"/>
      <c r="AK71" s="194"/>
      <c r="AL71" s="5" t="str">
        <f t="shared" si="17"/>
        <v/>
      </c>
      <c r="AM71" s="193"/>
      <c r="AN71" s="194"/>
      <c r="AO71" s="194"/>
      <c r="AP71" s="5" t="str">
        <f t="shared" si="18"/>
        <v/>
      </c>
      <c r="AQ71" s="193"/>
      <c r="AR71" s="219"/>
      <c r="AS71" s="219"/>
      <c r="AT71" s="5" t="str">
        <f t="shared" si="11"/>
        <v/>
      </c>
      <c r="AU71" s="193"/>
      <c r="AV71" s="194"/>
      <c r="AW71" s="194"/>
      <c r="AX71" s="5" t="str">
        <f t="shared" si="19"/>
        <v/>
      </c>
      <c r="AY71" s="193"/>
      <c r="AZ71" s="194"/>
      <c r="BA71" s="194"/>
      <c r="BB71" s="5" t="str">
        <f t="shared" si="20"/>
        <v/>
      </c>
      <c r="BC71" s="193"/>
      <c r="BD71" s="194"/>
      <c r="BE71" s="194"/>
      <c r="BF71" s="5" t="str">
        <f t="shared" si="21"/>
        <v/>
      </c>
      <c r="BG71" s="6"/>
      <c r="BH71" s="7"/>
      <c r="BI71" s="8"/>
      <c r="BJ71" s="195"/>
      <c r="BK71" s="196"/>
      <c r="BL71" s="197"/>
      <c r="BM71" s="198"/>
      <c r="BN71" s="8"/>
      <c r="BO71" s="8"/>
      <c r="BP71" s="9"/>
    </row>
    <row r="72" spans="1:68" s="4" customFormat="1" ht="33.75" customHeight="1" x14ac:dyDescent="0.2">
      <c r="A72" s="192">
        <v>68</v>
      </c>
      <c r="B72" s="754">
        <v>68</v>
      </c>
      <c r="C72" s="756" t="s">
        <v>736</v>
      </c>
      <c r="D72" s="755" t="s">
        <v>617</v>
      </c>
      <c r="E72" s="754">
        <v>5</v>
      </c>
      <c r="F72" s="754">
        <v>5</v>
      </c>
      <c r="G72" s="193"/>
      <c r="H72" s="194"/>
      <c r="I72" s="194"/>
      <c r="J72" s="5"/>
      <c r="K72" s="193"/>
      <c r="L72" s="194"/>
      <c r="M72" s="194"/>
      <c r="N72" s="5"/>
      <c r="O72" s="757"/>
      <c r="P72" s="758"/>
      <c r="Q72" s="194"/>
      <c r="R72" s="5" t="str">
        <f t="shared" si="12"/>
        <v/>
      </c>
      <c r="S72" s="759"/>
      <c r="T72" s="758"/>
      <c r="U72" s="194"/>
      <c r="V72" s="5" t="str">
        <f t="shared" si="13"/>
        <v/>
      </c>
      <c r="W72" s="193"/>
      <c r="X72" s="194"/>
      <c r="Y72" s="194"/>
      <c r="Z72" s="5" t="str">
        <f t="shared" si="14"/>
        <v/>
      </c>
      <c r="AA72" s="759"/>
      <c r="AB72" s="758"/>
      <c r="AC72" s="194"/>
      <c r="AD72" s="5" t="str">
        <f t="shared" si="15"/>
        <v/>
      </c>
      <c r="AE72" s="681"/>
      <c r="AF72" s="681"/>
      <c r="AG72" s="194"/>
      <c r="AH72" s="5" t="str">
        <f t="shared" si="16"/>
        <v/>
      </c>
      <c r="AI72" s="757"/>
      <c r="AJ72" s="759"/>
      <c r="AK72" s="194"/>
      <c r="AL72" s="5" t="str">
        <f t="shared" si="17"/>
        <v/>
      </c>
      <c r="AM72" s="193"/>
      <c r="AN72" s="194"/>
      <c r="AO72" s="194"/>
      <c r="AP72" s="5" t="str">
        <f t="shared" si="18"/>
        <v/>
      </c>
      <c r="AQ72" s="193"/>
      <c r="AR72" s="219"/>
      <c r="AS72" s="219"/>
      <c r="AT72" s="5" t="str">
        <f t="shared" si="11"/>
        <v/>
      </c>
      <c r="AU72" s="193"/>
      <c r="AV72" s="194"/>
      <c r="AW72" s="194"/>
      <c r="AX72" s="5" t="str">
        <f t="shared" si="19"/>
        <v/>
      </c>
      <c r="AY72" s="193"/>
      <c r="AZ72" s="194"/>
      <c r="BA72" s="194"/>
      <c r="BB72" s="5" t="str">
        <f t="shared" si="20"/>
        <v/>
      </c>
      <c r="BC72" s="193"/>
      <c r="BD72" s="194"/>
      <c r="BE72" s="194"/>
      <c r="BF72" s="5" t="str">
        <f t="shared" si="21"/>
        <v/>
      </c>
      <c r="BG72" s="6"/>
      <c r="BH72" s="7"/>
      <c r="BI72" s="8"/>
      <c r="BJ72" s="195"/>
      <c r="BK72" s="196"/>
      <c r="BL72" s="197"/>
      <c r="BM72" s="198"/>
      <c r="BN72" s="8"/>
      <c r="BO72" s="8"/>
      <c r="BP72" s="9"/>
    </row>
    <row r="73" spans="1:68" s="4" customFormat="1" ht="33.75" customHeight="1" x14ac:dyDescent="0.2">
      <c r="A73" s="192">
        <v>69</v>
      </c>
      <c r="B73" s="754">
        <v>69</v>
      </c>
      <c r="C73" s="755" t="s">
        <v>737</v>
      </c>
      <c r="D73" s="755" t="s">
        <v>618</v>
      </c>
      <c r="E73" s="754">
        <v>4</v>
      </c>
      <c r="F73" s="754">
        <v>4</v>
      </c>
      <c r="G73" s="193"/>
      <c r="H73" s="194"/>
      <c r="I73" s="194"/>
      <c r="J73" s="5"/>
      <c r="K73" s="193"/>
      <c r="L73" s="194"/>
      <c r="M73" s="194"/>
      <c r="N73" s="5"/>
      <c r="O73" s="757"/>
      <c r="P73" s="758"/>
      <c r="Q73" s="194"/>
      <c r="R73" s="5" t="str">
        <f t="shared" si="12"/>
        <v/>
      </c>
      <c r="S73" s="759"/>
      <c r="T73" s="758"/>
      <c r="U73" s="194"/>
      <c r="V73" s="5" t="str">
        <f t="shared" si="13"/>
        <v/>
      </c>
      <c r="W73" s="193"/>
      <c r="X73" s="194"/>
      <c r="Y73" s="194"/>
      <c r="Z73" s="5" t="str">
        <f t="shared" si="14"/>
        <v/>
      </c>
      <c r="AA73" s="759"/>
      <c r="AB73" s="758"/>
      <c r="AC73" s="194"/>
      <c r="AD73" s="5" t="str">
        <f t="shared" si="15"/>
        <v/>
      </c>
      <c r="AE73" s="681"/>
      <c r="AF73" s="681"/>
      <c r="AG73" s="194"/>
      <c r="AH73" s="5" t="str">
        <f t="shared" si="16"/>
        <v/>
      </c>
      <c r="AI73" s="757"/>
      <c r="AJ73" s="759"/>
      <c r="AK73" s="194"/>
      <c r="AL73" s="5" t="str">
        <f t="shared" si="17"/>
        <v/>
      </c>
      <c r="AM73" s="193"/>
      <c r="AN73" s="194"/>
      <c r="AO73" s="194"/>
      <c r="AP73" s="5" t="str">
        <f t="shared" si="18"/>
        <v/>
      </c>
      <c r="AQ73" s="193"/>
      <c r="AR73" s="219"/>
      <c r="AS73" s="219"/>
      <c r="AT73" s="5" t="str">
        <f t="shared" si="11"/>
        <v/>
      </c>
      <c r="AU73" s="193"/>
      <c r="AV73" s="194"/>
      <c r="AW73" s="194"/>
      <c r="AX73" s="5" t="str">
        <f t="shared" si="19"/>
        <v/>
      </c>
      <c r="AY73" s="193"/>
      <c r="AZ73" s="194"/>
      <c r="BA73" s="194"/>
      <c r="BB73" s="5" t="str">
        <f t="shared" si="20"/>
        <v/>
      </c>
      <c r="BC73" s="193"/>
      <c r="BD73" s="194"/>
      <c r="BE73" s="194"/>
      <c r="BF73" s="5" t="str">
        <f t="shared" si="21"/>
        <v/>
      </c>
      <c r="BG73" s="6"/>
      <c r="BH73" s="7"/>
      <c r="BI73" s="8"/>
      <c r="BJ73" s="195"/>
      <c r="BK73" s="196"/>
      <c r="BL73" s="197"/>
      <c r="BM73" s="198"/>
      <c r="BN73" s="8"/>
      <c r="BO73" s="8"/>
      <c r="BP73" s="9"/>
    </row>
    <row r="74" spans="1:68" s="4" customFormat="1" ht="33.75" customHeight="1" x14ac:dyDescent="0.2">
      <c r="A74" s="192">
        <v>70</v>
      </c>
      <c r="B74" s="754">
        <v>70</v>
      </c>
      <c r="C74" s="756" t="s">
        <v>738</v>
      </c>
      <c r="D74" s="755" t="s">
        <v>619</v>
      </c>
      <c r="E74" s="754">
        <v>5</v>
      </c>
      <c r="F74" s="754">
        <v>5</v>
      </c>
      <c r="G74" s="193"/>
      <c r="H74" s="194"/>
      <c r="I74" s="194"/>
      <c r="J74" s="5"/>
      <c r="K74" s="193"/>
      <c r="L74" s="194"/>
      <c r="M74" s="194"/>
      <c r="N74" s="5"/>
      <c r="O74" s="757"/>
      <c r="P74" s="758"/>
      <c r="Q74" s="194"/>
      <c r="R74" s="5" t="str">
        <f t="shared" si="12"/>
        <v/>
      </c>
      <c r="S74" s="759"/>
      <c r="T74" s="758"/>
      <c r="U74" s="194"/>
      <c r="V74" s="5" t="str">
        <f t="shared" si="13"/>
        <v/>
      </c>
      <c r="W74" s="193"/>
      <c r="X74" s="194"/>
      <c r="Y74" s="194"/>
      <c r="Z74" s="5" t="str">
        <f t="shared" si="14"/>
        <v/>
      </c>
      <c r="AA74" s="759"/>
      <c r="AB74" s="758"/>
      <c r="AC74" s="194"/>
      <c r="AD74" s="5" t="str">
        <f t="shared" si="15"/>
        <v/>
      </c>
      <c r="AE74" s="681"/>
      <c r="AF74" s="681"/>
      <c r="AG74" s="194"/>
      <c r="AH74" s="5" t="str">
        <f t="shared" si="16"/>
        <v/>
      </c>
      <c r="AI74" s="757"/>
      <c r="AJ74" s="759"/>
      <c r="AK74" s="194"/>
      <c r="AL74" s="5" t="str">
        <f t="shared" si="17"/>
        <v/>
      </c>
      <c r="AM74" s="193"/>
      <c r="AN74" s="194"/>
      <c r="AO74" s="194"/>
      <c r="AP74" s="5" t="str">
        <f t="shared" si="18"/>
        <v/>
      </c>
      <c r="AQ74" s="193"/>
      <c r="AR74" s="219"/>
      <c r="AS74" s="219"/>
      <c r="AT74" s="5" t="str">
        <f t="shared" si="11"/>
        <v/>
      </c>
      <c r="AU74" s="193"/>
      <c r="AV74" s="194"/>
      <c r="AW74" s="194"/>
      <c r="AX74" s="5" t="str">
        <f t="shared" si="19"/>
        <v/>
      </c>
      <c r="AY74" s="193"/>
      <c r="AZ74" s="194"/>
      <c r="BA74" s="194"/>
      <c r="BB74" s="5" t="str">
        <f t="shared" si="20"/>
        <v/>
      </c>
      <c r="BC74" s="193"/>
      <c r="BD74" s="194"/>
      <c r="BE74" s="194"/>
      <c r="BF74" s="5" t="str">
        <f t="shared" si="21"/>
        <v/>
      </c>
      <c r="BG74" s="6"/>
      <c r="BH74" s="7"/>
      <c r="BI74" s="8"/>
      <c r="BJ74" s="195"/>
      <c r="BK74" s="196"/>
      <c r="BL74" s="197"/>
      <c r="BM74" s="198"/>
      <c r="BN74" s="8"/>
      <c r="BO74" s="8"/>
      <c r="BP74" s="9"/>
    </row>
    <row r="75" spans="1:68" s="4" customFormat="1" ht="33.75" customHeight="1" x14ac:dyDescent="0.2">
      <c r="A75" s="192">
        <v>71</v>
      </c>
      <c r="B75" s="754">
        <v>71</v>
      </c>
      <c r="C75" s="755" t="s">
        <v>739</v>
      </c>
      <c r="D75" s="755" t="s">
        <v>620</v>
      </c>
      <c r="E75" s="754">
        <v>14</v>
      </c>
      <c r="F75" s="754">
        <v>14</v>
      </c>
      <c r="G75" s="193"/>
      <c r="H75" s="194"/>
      <c r="I75" s="194"/>
      <c r="J75" s="5"/>
      <c r="K75" s="193"/>
      <c r="L75" s="194"/>
      <c r="M75" s="194"/>
      <c r="N75" s="5"/>
      <c r="O75" s="757">
        <v>14</v>
      </c>
      <c r="P75" s="758">
        <v>14400</v>
      </c>
      <c r="Q75" s="194"/>
      <c r="R75" s="5">
        <f t="shared" si="12"/>
        <v>201600</v>
      </c>
      <c r="S75" s="759"/>
      <c r="T75" s="758"/>
      <c r="U75" s="194"/>
      <c r="V75" s="5" t="str">
        <f t="shared" si="13"/>
        <v/>
      </c>
      <c r="W75" s="193"/>
      <c r="X75" s="194"/>
      <c r="Y75" s="194"/>
      <c r="Z75" s="5" t="str">
        <f t="shared" si="14"/>
        <v/>
      </c>
      <c r="AA75" s="759"/>
      <c r="AB75" s="758"/>
      <c r="AC75" s="194"/>
      <c r="AD75" s="5" t="str">
        <f t="shared" si="15"/>
        <v/>
      </c>
      <c r="AE75" s="681"/>
      <c r="AF75" s="681"/>
      <c r="AG75" s="194"/>
      <c r="AH75" s="5" t="str">
        <f t="shared" si="16"/>
        <v/>
      </c>
      <c r="AI75" s="757"/>
      <c r="AJ75" s="759"/>
      <c r="AK75" s="194"/>
      <c r="AL75" s="5" t="str">
        <f t="shared" si="17"/>
        <v/>
      </c>
      <c r="AM75" s="193"/>
      <c r="AN75" s="194"/>
      <c r="AO75" s="194"/>
      <c r="AP75" s="5" t="str">
        <f t="shared" si="18"/>
        <v/>
      </c>
      <c r="AQ75" s="193"/>
      <c r="AR75" s="219"/>
      <c r="AS75" s="219"/>
      <c r="AT75" s="5" t="str">
        <f t="shared" si="11"/>
        <v/>
      </c>
      <c r="AU75" s="193"/>
      <c r="AV75" s="194"/>
      <c r="AW75" s="194"/>
      <c r="AX75" s="5" t="str">
        <f t="shared" si="19"/>
        <v/>
      </c>
      <c r="AY75" s="193"/>
      <c r="AZ75" s="194"/>
      <c r="BA75" s="194"/>
      <c r="BB75" s="5" t="str">
        <f t="shared" si="20"/>
        <v/>
      </c>
      <c r="BC75" s="193"/>
      <c r="BD75" s="194"/>
      <c r="BE75" s="194"/>
      <c r="BF75" s="5" t="str">
        <f t="shared" si="21"/>
        <v/>
      </c>
      <c r="BG75" s="6"/>
      <c r="BH75" s="7"/>
      <c r="BI75" s="8"/>
      <c r="BJ75" s="195"/>
      <c r="BK75" s="196"/>
      <c r="BL75" s="197"/>
      <c r="BM75" s="198"/>
      <c r="BN75" s="8"/>
      <c r="BO75" s="8"/>
      <c r="BP75" s="9"/>
    </row>
    <row r="76" spans="1:68" s="4" customFormat="1" ht="33.75" customHeight="1" x14ac:dyDescent="0.2">
      <c r="A76" s="192">
        <v>72</v>
      </c>
      <c r="B76" s="754">
        <v>72</v>
      </c>
      <c r="C76" s="756" t="s">
        <v>740</v>
      </c>
      <c r="D76" s="755" t="s">
        <v>621</v>
      </c>
      <c r="E76" s="754">
        <v>18</v>
      </c>
      <c r="F76" s="754">
        <v>18</v>
      </c>
      <c r="G76" s="193"/>
      <c r="H76" s="194"/>
      <c r="I76" s="194"/>
      <c r="J76" s="5"/>
      <c r="K76" s="193"/>
      <c r="L76" s="194"/>
      <c r="M76" s="194"/>
      <c r="N76" s="5"/>
      <c r="O76" s="757">
        <v>18</v>
      </c>
      <c r="P76" s="758">
        <v>80</v>
      </c>
      <c r="Q76" s="194"/>
      <c r="R76" s="5">
        <f t="shared" si="12"/>
        <v>1440</v>
      </c>
      <c r="S76" s="759">
        <v>18</v>
      </c>
      <c r="T76" s="758">
        <v>60.2</v>
      </c>
      <c r="U76" s="194"/>
      <c r="V76" s="5">
        <f t="shared" si="13"/>
        <v>1083.6000000000001</v>
      </c>
      <c r="W76" s="193"/>
      <c r="X76" s="194"/>
      <c r="Y76" s="194"/>
      <c r="Z76" s="5" t="str">
        <f t="shared" si="14"/>
        <v/>
      </c>
      <c r="AA76" s="759"/>
      <c r="AB76" s="758"/>
      <c r="AC76" s="194"/>
      <c r="AD76" s="5" t="str">
        <f t="shared" si="15"/>
        <v/>
      </c>
      <c r="AE76" s="682"/>
      <c r="AF76" s="682"/>
      <c r="AG76" s="194"/>
      <c r="AH76" s="5" t="str">
        <f t="shared" si="16"/>
        <v/>
      </c>
      <c r="AI76" s="757"/>
      <c r="AJ76" s="759"/>
      <c r="AK76" s="194"/>
      <c r="AL76" s="5" t="str">
        <f t="shared" si="17"/>
        <v/>
      </c>
      <c r="AM76" s="193"/>
      <c r="AN76" s="194"/>
      <c r="AO76" s="194"/>
      <c r="AP76" s="5" t="str">
        <f t="shared" si="18"/>
        <v/>
      </c>
      <c r="AQ76" s="193"/>
      <c r="AR76" s="219"/>
      <c r="AS76" s="219"/>
      <c r="AT76" s="5" t="str">
        <f t="shared" si="11"/>
        <v/>
      </c>
      <c r="AU76" s="193"/>
      <c r="AV76" s="194"/>
      <c r="AW76" s="194"/>
      <c r="AX76" s="5" t="str">
        <f t="shared" si="19"/>
        <v/>
      </c>
      <c r="AY76" s="193"/>
      <c r="AZ76" s="194"/>
      <c r="BA76" s="194"/>
      <c r="BB76" s="5" t="str">
        <f t="shared" si="20"/>
        <v/>
      </c>
      <c r="BC76" s="193"/>
      <c r="BD76" s="194"/>
      <c r="BE76" s="194"/>
      <c r="BF76" s="5" t="str">
        <f t="shared" si="21"/>
        <v/>
      </c>
      <c r="BG76" s="6"/>
      <c r="BH76" s="7"/>
      <c r="BI76" s="8"/>
      <c r="BJ76" s="195"/>
      <c r="BK76" s="196"/>
      <c r="BL76" s="197"/>
      <c r="BM76" s="198"/>
      <c r="BN76" s="8"/>
      <c r="BO76" s="8"/>
      <c r="BP76" s="9"/>
    </row>
    <row r="77" spans="1:68" s="4" customFormat="1" ht="33.75" customHeight="1" x14ac:dyDescent="0.2">
      <c r="A77" s="192">
        <v>73</v>
      </c>
      <c r="B77" s="754">
        <v>73</v>
      </c>
      <c r="C77" s="755" t="s">
        <v>741</v>
      </c>
      <c r="D77" s="755" t="s">
        <v>131</v>
      </c>
      <c r="E77" s="754">
        <v>5</v>
      </c>
      <c r="F77" s="754">
        <v>5</v>
      </c>
      <c r="G77" s="193"/>
      <c r="H77" s="194"/>
      <c r="I77" s="194"/>
      <c r="J77" s="5"/>
      <c r="K77" s="193"/>
      <c r="L77" s="194"/>
      <c r="M77" s="194"/>
      <c r="N77" s="5"/>
      <c r="O77" s="757"/>
      <c r="P77" s="758"/>
      <c r="Q77" s="194"/>
      <c r="R77" s="5" t="str">
        <f t="shared" si="12"/>
        <v/>
      </c>
      <c r="S77" s="759"/>
      <c r="T77" s="758"/>
      <c r="U77" s="194"/>
      <c r="V77" s="5" t="str">
        <f t="shared" si="13"/>
        <v/>
      </c>
      <c r="W77" s="193"/>
      <c r="X77" s="194"/>
      <c r="Y77" s="194"/>
      <c r="Z77" s="5" t="str">
        <f t="shared" si="14"/>
        <v/>
      </c>
      <c r="AA77" s="759"/>
      <c r="AB77" s="758"/>
      <c r="AC77" s="194"/>
      <c r="AD77" s="5" t="str">
        <f t="shared" si="15"/>
        <v/>
      </c>
      <c r="AE77" s="680"/>
      <c r="AF77" s="681"/>
      <c r="AG77" s="194"/>
      <c r="AH77" s="5" t="str">
        <f t="shared" si="16"/>
        <v/>
      </c>
      <c r="AI77" s="757"/>
      <c r="AJ77" s="759"/>
      <c r="AK77" s="194"/>
      <c r="AL77" s="5" t="str">
        <f t="shared" si="17"/>
        <v/>
      </c>
      <c r="AM77" s="193"/>
      <c r="AN77" s="194"/>
      <c r="AO77" s="194"/>
      <c r="AP77" s="5" t="str">
        <f t="shared" si="18"/>
        <v/>
      </c>
      <c r="AQ77" s="193"/>
      <c r="AR77" s="219"/>
      <c r="AS77" s="219"/>
      <c r="AT77" s="5" t="str">
        <f t="shared" si="11"/>
        <v/>
      </c>
      <c r="AU77" s="193"/>
      <c r="AV77" s="194"/>
      <c r="AW77" s="194"/>
      <c r="AX77" s="5" t="str">
        <f t="shared" si="19"/>
        <v/>
      </c>
      <c r="AY77" s="193"/>
      <c r="AZ77" s="194"/>
      <c r="BA77" s="194"/>
      <c r="BB77" s="5" t="str">
        <f t="shared" si="20"/>
        <v/>
      </c>
      <c r="BC77" s="193"/>
      <c r="BD77" s="194"/>
      <c r="BE77" s="194"/>
      <c r="BF77" s="5" t="str">
        <f t="shared" si="21"/>
        <v/>
      </c>
      <c r="BG77" s="6"/>
      <c r="BH77" s="7"/>
      <c r="BI77" s="8"/>
      <c r="BJ77" s="195"/>
      <c r="BK77" s="196"/>
      <c r="BL77" s="197"/>
      <c r="BM77" s="198"/>
      <c r="BN77" s="8"/>
      <c r="BO77" s="8"/>
      <c r="BP77" s="9"/>
    </row>
    <row r="78" spans="1:68" s="4" customFormat="1" ht="33.75" customHeight="1" x14ac:dyDescent="0.2">
      <c r="A78" s="192">
        <v>74</v>
      </c>
      <c r="B78" s="754">
        <v>74</v>
      </c>
      <c r="C78" s="756" t="s">
        <v>742</v>
      </c>
      <c r="D78" s="755" t="s">
        <v>132</v>
      </c>
      <c r="E78" s="754">
        <v>5</v>
      </c>
      <c r="F78" s="754">
        <v>5</v>
      </c>
      <c r="G78" s="193"/>
      <c r="H78" s="194"/>
      <c r="I78" s="194"/>
      <c r="J78" s="5"/>
      <c r="K78" s="193"/>
      <c r="L78" s="194"/>
      <c r="M78" s="194"/>
      <c r="N78" s="5"/>
      <c r="O78" s="757">
        <v>5</v>
      </c>
      <c r="P78" s="758">
        <v>4440</v>
      </c>
      <c r="Q78" s="194"/>
      <c r="R78" s="5">
        <f t="shared" si="12"/>
        <v>22200</v>
      </c>
      <c r="S78" s="759">
        <v>5</v>
      </c>
      <c r="T78" s="758">
        <v>6350</v>
      </c>
      <c r="U78" s="194"/>
      <c r="V78" s="5">
        <f t="shared" si="13"/>
        <v>31750</v>
      </c>
      <c r="W78" s="193"/>
      <c r="X78" s="194"/>
      <c r="Y78" s="194"/>
      <c r="Z78" s="5" t="str">
        <f t="shared" si="14"/>
        <v/>
      </c>
      <c r="AA78" s="759"/>
      <c r="AB78" s="758"/>
      <c r="AC78" s="194"/>
      <c r="AD78" s="5" t="str">
        <f t="shared" si="15"/>
        <v/>
      </c>
      <c r="AE78" s="680"/>
      <c r="AF78" s="681"/>
      <c r="AG78" s="194"/>
      <c r="AH78" s="5" t="str">
        <f t="shared" si="16"/>
        <v/>
      </c>
      <c r="AI78" s="757"/>
      <c r="AJ78" s="759"/>
      <c r="AK78" s="194"/>
      <c r="AL78" s="5" t="str">
        <f t="shared" si="17"/>
        <v/>
      </c>
      <c r="AM78" s="193"/>
      <c r="AN78" s="194"/>
      <c r="AO78" s="194"/>
      <c r="AP78" s="5" t="str">
        <f t="shared" si="18"/>
        <v/>
      </c>
      <c r="AQ78" s="193"/>
      <c r="AR78" s="219"/>
      <c r="AS78" s="219"/>
      <c r="AT78" s="5" t="str">
        <f t="shared" si="11"/>
        <v/>
      </c>
      <c r="AU78" s="193"/>
      <c r="AV78" s="194"/>
      <c r="AW78" s="194"/>
      <c r="AX78" s="5" t="str">
        <f t="shared" si="19"/>
        <v/>
      </c>
      <c r="AY78" s="193"/>
      <c r="AZ78" s="194"/>
      <c r="BA78" s="194"/>
      <c r="BB78" s="5" t="str">
        <f t="shared" si="20"/>
        <v/>
      </c>
      <c r="BC78" s="193"/>
      <c r="BD78" s="194"/>
      <c r="BE78" s="194"/>
      <c r="BF78" s="5" t="str">
        <f t="shared" si="21"/>
        <v/>
      </c>
      <c r="BG78" s="6"/>
      <c r="BH78" s="7"/>
      <c r="BI78" s="8"/>
      <c r="BJ78" s="195"/>
      <c r="BK78" s="196"/>
      <c r="BL78" s="197"/>
      <c r="BM78" s="198"/>
      <c r="BN78" s="8"/>
      <c r="BO78" s="8"/>
      <c r="BP78" s="9"/>
    </row>
    <row r="79" spans="1:68" s="4" customFormat="1" ht="33.75" customHeight="1" x14ac:dyDescent="0.2">
      <c r="A79" s="192">
        <v>75</v>
      </c>
      <c r="B79" s="754">
        <v>75</v>
      </c>
      <c r="C79" s="755" t="s">
        <v>743</v>
      </c>
      <c r="D79" s="755" t="s">
        <v>463</v>
      </c>
      <c r="E79" s="754">
        <v>10</v>
      </c>
      <c r="F79" s="754">
        <v>10</v>
      </c>
      <c r="G79" s="193"/>
      <c r="H79" s="194"/>
      <c r="I79" s="194"/>
      <c r="J79" s="5"/>
      <c r="K79" s="193"/>
      <c r="L79" s="194"/>
      <c r="M79" s="194"/>
      <c r="N79" s="5"/>
      <c r="O79" s="757"/>
      <c r="P79" s="758"/>
      <c r="Q79" s="194"/>
      <c r="R79" s="5" t="str">
        <f t="shared" si="12"/>
        <v/>
      </c>
      <c r="S79" s="759"/>
      <c r="T79" s="758"/>
      <c r="U79" s="194"/>
      <c r="V79" s="5" t="str">
        <f t="shared" si="13"/>
        <v/>
      </c>
      <c r="W79" s="193"/>
      <c r="X79" s="194"/>
      <c r="Y79" s="194"/>
      <c r="Z79" s="5" t="str">
        <f t="shared" si="14"/>
        <v/>
      </c>
      <c r="AA79" s="759"/>
      <c r="AB79" s="758"/>
      <c r="AC79" s="194"/>
      <c r="AD79" s="5" t="str">
        <f t="shared" si="15"/>
        <v/>
      </c>
      <c r="AE79" s="680"/>
      <c r="AF79" s="681"/>
      <c r="AG79" s="194"/>
      <c r="AH79" s="5" t="str">
        <f t="shared" si="16"/>
        <v/>
      </c>
      <c r="AI79" s="757"/>
      <c r="AJ79" s="759"/>
      <c r="AK79" s="194"/>
      <c r="AL79" s="5" t="str">
        <f t="shared" si="17"/>
        <v/>
      </c>
      <c r="AM79" s="193"/>
      <c r="AN79" s="194"/>
      <c r="AO79" s="194"/>
      <c r="AP79" s="5" t="str">
        <f t="shared" si="18"/>
        <v/>
      </c>
      <c r="AQ79" s="193"/>
      <c r="AR79" s="219"/>
      <c r="AS79" s="219"/>
      <c r="AT79" s="5" t="str">
        <f t="shared" si="11"/>
        <v/>
      </c>
      <c r="AU79" s="193"/>
      <c r="AV79" s="194"/>
      <c r="AW79" s="194"/>
      <c r="AX79" s="5" t="str">
        <f t="shared" si="19"/>
        <v/>
      </c>
      <c r="AY79" s="193"/>
      <c r="AZ79" s="194"/>
      <c r="BA79" s="194"/>
      <c r="BB79" s="5" t="str">
        <f t="shared" si="20"/>
        <v/>
      </c>
      <c r="BC79" s="193"/>
      <c r="BD79" s="194"/>
      <c r="BE79" s="194"/>
      <c r="BF79" s="5" t="str">
        <f t="shared" si="21"/>
        <v/>
      </c>
      <c r="BG79" s="6"/>
      <c r="BH79" s="7"/>
      <c r="BI79" s="8"/>
      <c r="BJ79" s="195"/>
      <c r="BK79" s="196"/>
      <c r="BL79" s="197"/>
      <c r="BM79" s="198"/>
      <c r="BN79" s="8"/>
      <c r="BO79" s="8"/>
      <c r="BP79" s="9"/>
    </row>
    <row r="80" spans="1:68" s="4" customFormat="1" ht="33.75" customHeight="1" x14ac:dyDescent="0.2">
      <c r="A80" s="192">
        <v>76</v>
      </c>
      <c r="B80" s="754">
        <v>76</v>
      </c>
      <c r="C80" s="756" t="s">
        <v>744</v>
      </c>
      <c r="D80" s="755" t="s">
        <v>622</v>
      </c>
      <c r="E80" s="754">
        <v>3</v>
      </c>
      <c r="F80" s="754">
        <v>3</v>
      </c>
      <c r="G80" s="193"/>
      <c r="H80" s="194"/>
      <c r="I80" s="194"/>
      <c r="J80" s="5"/>
      <c r="K80" s="193"/>
      <c r="L80" s="194"/>
      <c r="M80" s="194"/>
      <c r="N80" s="5"/>
      <c r="O80" s="757"/>
      <c r="P80" s="758"/>
      <c r="Q80" s="194"/>
      <c r="R80" s="5" t="str">
        <f t="shared" si="12"/>
        <v/>
      </c>
      <c r="S80" s="759"/>
      <c r="T80" s="758"/>
      <c r="U80" s="194"/>
      <c r="V80" s="5" t="str">
        <f t="shared" si="13"/>
        <v/>
      </c>
      <c r="W80" s="193"/>
      <c r="X80" s="194"/>
      <c r="Y80" s="194"/>
      <c r="Z80" s="5" t="str">
        <f t="shared" si="14"/>
        <v/>
      </c>
      <c r="AA80" s="759"/>
      <c r="AB80" s="758"/>
      <c r="AC80" s="194"/>
      <c r="AD80" s="5" t="str">
        <f t="shared" si="15"/>
        <v/>
      </c>
      <c r="AE80" s="680"/>
      <c r="AF80" s="681"/>
      <c r="AG80" s="194"/>
      <c r="AH80" s="5" t="str">
        <f t="shared" si="16"/>
        <v/>
      </c>
      <c r="AI80" s="757"/>
      <c r="AJ80" s="759"/>
      <c r="AK80" s="194"/>
      <c r="AL80" s="5" t="str">
        <f t="shared" si="17"/>
        <v/>
      </c>
      <c r="AM80" s="193"/>
      <c r="AN80" s="194"/>
      <c r="AO80" s="194"/>
      <c r="AP80" s="5" t="str">
        <f t="shared" si="18"/>
        <v/>
      </c>
      <c r="AQ80" s="193"/>
      <c r="AR80" s="219"/>
      <c r="AS80" s="219"/>
      <c r="AT80" s="5" t="str">
        <f t="shared" si="11"/>
        <v/>
      </c>
      <c r="AU80" s="193"/>
      <c r="AV80" s="194"/>
      <c r="AW80" s="194"/>
      <c r="AX80" s="5" t="str">
        <f t="shared" si="19"/>
        <v/>
      </c>
      <c r="AY80" s="193"/>
      <c r="AZ80" s="194"/>
      <c r="BA80" s="194"/>
      <c r="BB80" s="5" t="str">
        <f t="shared" si="20"/>
        <v/>
      </c>
      <c r="BC80" s="193"/>
      <c r="BD80" s="194"/>
      <c r="BE80" s="194"/>
      <c r="BF80" s="5" t="str">
        <f t="shared" si="21"/>
        <v/>
      </c>
      <c r="BG80" s="6"/>
      <c r="BH80" s="7"/>
      <c r="BI80" s="8"/>
      <c r="BJ80" s="195"/>
      <c r="BK80" s="196"/>
      <c r="BL80" s="197"/>
      <c r="BM80" s="198"/>
      <c r="BN80" s="8"/>
      <c r="BO80" s="8"/>
      <c r="BP80" s="9"/>
    </row>
    <row r="81" spans="1:69" s="4" customFormat="1" ht="33.75" customHeight="1" x14ac:dyDescent="0.2">
      <c r="A81" s="192">
        <v>77</v>
      </c>
      <c r="B81" s="754">
        <v>77</v>
      </c>
      <c r="C81" s="755" t="s">
        <v>745</v>
      </c>
      <c r="D81" s="755" t="s">
        <v>623</v>
      </c>
      <c r="E81" s="754">
        <v>11</v>
      </c>
      <c r="F81" s="754">
        <v>11</v>
      </c>
      <c r="G81" s="193"/>
      <c r="H81" s="194"/>
      <c r="I81" s="194"/>
      <c r="J81" s="5"/>
      <c r="K81" s="193"/>
      <c r="L81" s="194"/>
      <c r="M81" s="194"/>
      <c r="N81" s="5"/>
      <c r="O81" s="757"/>
      <c r="P81" s="758"/>
      <c r="Q81" s="194"/>
      <c r="R81" s="5" t="str">
        <f t="shared" si="12"/>
        <v/>
      </c>
      <c r="S81" s="759"/>
      <c r="T81" s="758"/>
      <c r="U81" s="194"/>
      <c r="V81" s="5" t="str">
        <f t="shared" si="13"/>
        <v/>
      </c>
      <c r="W81" s="193"/>
      <c r="X81" s="194"/>
      <c r="Y81" s="194"/>
      <c r="Z81" s="5" t="str">
        <f t="shared" si="14"/>
        <v/>
      </c>
      <c r="AA81" s="759"/>
      <c r="AB81" s="758"/>
      <c r="AC81" s="194"/>
      <c r="AD81" s="5" t="str">
        <f t="shared" si="15"/>
        <v/>
      </c>
      <c r="AE81" s="680"/>
      <c r="AF81" s="681"/>
      <c r="AG81" s="194"/>
      <c r="AH81" s="5" t="str">
        <f t="shared" si="16"/>
        <v/>
      </c>
      <c r="AI81" s="757"/>
      <c r="AJ81" s="759"/>
      <c r="AK81" s="194"/>
      <c r="AL81" s="5" t="str">
        <f t="shared" si="17"/>
        <v/>
      </c>
      <c r="AM81" s="193"/>
      <c r="AN81" s="194"/>
      <c r="AO81" s="194"/>
      <c r="AP81" s="5" t="str">
        <f t="shared" si="18"/>
        <v/>
      </c>
      <c r="AQ81" s="193"/>
      <c r="AR81" s="219"/>
      <c r="AS81" s="219"/>
      <c r="AT81" s="5" t="str">
        <f t="shared" si="11"/>
        <v/>
      </c>
      <c r="AU81" s="193"/>
      <c r="AV81" s="194"/>
      <c r="AW81" s="194"/>
      <c r="AX81" s="5" t="str">
        <f t="shared" si="19"/>
        <v/>
      </c>
      <c r="AY81" s="193"/>
      <c r="AZ81" s="194"/>
      <c r="BA81" s="194"/>
      <c r="BB81" s="5" t="str">
        <f t="shared" si="20"/>
        <v/>
      </c>
      <c r="BC81" s="193"/>
      <c r="BD81" s="194"/>
      <c r="BE81" s="194"/>
      <c r="BF81" s="5" t="str">
        <f t="shared" si="21"/>
        <v/>
      </c>
      <c r="BG81" s="6"/>
      <c r="BH81" s="7"/>
      <c r="BI81" s="8"/>
      <c r="BJ81" s="195"/>
      <c r="BK81" s="196"/>
      <c r="BL81" s="197"/>
      <c r="BM81" s="198"/>
      <c r="BN81" s="8"/>
      <c r="BO81" s="8"/>
      <c r="BP81" s="9"/>
    </row>
    <row r="82" spans="1:69" s="4" customFormat="1" ht="33.75" customHeight="1" x14ac:dyDescent="0.2">
      <c r="A82" s="192">
        <v>78</v>
      </c>
      <c r="B82" s="754">
        <v>78</v>
      </c>
      <c r="C82" s="756" t="s">
        <v>746</v>
      </c>
      <c r="D82" s="755" t="s">
        <v>624</v>
      </c>
      <c r="E82" s="754">
        <v>20</v>
      </c>
      <c r="F82" s="754">
        <v>20</v>
      </c>
      <c r="G82" s="193"/>
      <c r="H82" s="194"/>
      <c r="I82" s="194"/>
      <c r="J82" s="5"/>
      <c r="K82" s="193"/>
      <c r="L82" s="194"/>
      <c r="M82" s="194"/>
      <c r="N82" s="5"/>
      <c r="O82" s="757">
        <v>20</v>
      </c>
      <c r="P82" s="758">
        <v>5100</v>
      </c>
      <c r="Q82" s="194"/>
      <c r="R82" s="5">
        <f t="shared" si="12"/>
        <v>102000</v>
      </c>
      <c r="S82" s="759"/>
      <c r="T82" s="758"/>
      <c r="U82" s="194"/>
      <c r="V82" s="5" t="str">
        <f t="shared" si="13"/>
        <v/>
      </c>
      <c r="W82" s="193"/>
      <c r="X82" s="194"/>
      <c r="Y82" s="194"/>
      <c r="Z82" s="5" t="str">
        <f t="shared" si="14"/>
        <v/>
      </c>
      <c r="AA82" s="759"/>
      <c r="AB82" s="758"/>
      <c r="AC82" s="194"/>
      <c r="AD82" s="5" t="str">
        <f t="shared" si="15"/>
        <v/>
      </c>
      <c r="AE82" s="680"/>
      <c r="AF82" s="681"/>
      <c r="AG82" s="194"/>
      <c r="AH82" s="5" t="str">
        <f t="shared" si="16"/>
        <v/>
      </c>
      <c r="AI82" s="757"/>
      <c r="AJ82" s="759"/>
      <c r="AK82" s="194"/>
      <c r="AL82" s="5" t="str">
        <f t="shared" si="17"/>
        <v/>
      </c>
      <c r="AM82" s="193"/>
      <c r="AN82" s="194"/>
      <c r="AO82" s="194"/>
      <c r="AP82" s="5" t="str">
        <f t="shared" si="18"/>
        <v/>
      </c>
      <c r="AQ82" s="193"/>
      <c r="AR82" s="219"/>
      <c r="AS82" s="219"/>
      <c r="AT82" s="5" t="str">
        <f t="shared" si="11"/>
        <v/>
      </c>
      <c r="AU82" s="193"/>
      <c r="AV82" s="194"/>
      <c r="AW82" s="194"/>
      <c r="AX82" s="5" t="str">
        <f t="shared" si="19"/>
        <v/>
      </c>
      <c r="AY82" s="193"/>
      <c r="AZ82" s="194"/>
      <c r="BA82" s="194"/>
      <c r="BB82" s="5" t="str">
        <f t="shared" si="20"/>
        <v/>
      </c>
      <c r="BC82" s="193"/>
      <c r="BD82" s="194"/>
      <c r="BE82" s="194"/>
      <c r="BF82" s="5" t="str">
        <f t="shared" si="21"/>
        <v/>
      </c>
      <c r="BG82" s="6"/>
      <c r="BH82" s="7"/>
      <c r="BI82" s="8"/>
      <c r="BJ82" s="195"/>
      <c r="BK82" s="196"/>
      <c r="BL82" s="197"/>
      <c r="BM82" s="198"/>
      <c r="BN82" s="8"/>
      <c r="BO82" s="8"/>
      <c r="BP82" s="9"/>
    </row>
    <row r="83" spans="1:69" s="4" customFormat="1" ht="33.75" customHeight="1" x14ac:dyDescent="0.2">
      <c r="A83" s="192">
        <v>79</v>
      </c>
      <c r="B83" s="754">
        <v>79</v>
      </c>
      <c r="C83" s="755" t="s">
        <v>747</v>
      </c>
      <c r="D83" s="755" t="s">
        <v>621</v>
      </c>
      <c r="E83" s="754">
        <v>16</v>
      </c>
      <c r="F83" s="754">
        <v>16</v>
      </c>
      <c r="G83" s="193"/>
      <c r="H83" s="194"/>
      <c r="I83" s="194"/>
      <c r="J83" s="5"/>
      <c r="K83" s="193"/>
      <c r="L83" s="194"/>
      <c r="M83" s="194"/>
      <c r="N83" s="5"/>
      <c r="O83" s="757">
        <v>16</v>
      </c>
      <c r="P83" s="758">
        <v>85</v>
      </c>
      <c r="Q83" s="194"/>
      <c r="R83" s="5">
        <f t="shared" si="12"/>
        <v>1360</v>
      </c>
      <c r="S83" s="759">
        <v>16</v>
      </c>
      <c r="T83" s="758">
        <v>95</v>
      </c>
      <c r="U83" s="194"/>
      <c r="V83" s="5">
        <f t="shared" si="13"/>
        <v>1520</v>
      </c>
      <c r="W83" s="193"/>
      <c r="X83" s="194"/>
      <c r="Y83" s="194"/>
      <c r="Z83" s="5" t="str">
        <f t="shared" si="14"/>
        <v/>
      </c>
      <c r="AA83" s="759"/>
      <c r="AB83" s="758"/>
      <c r="AC83" s="194"/>
      <c r="AD83" s="5" t="str">
        <f t="shared" si="15"/>
        <v/>
      </c>
      <c r="AE83" s="680"/>
      <c r="AF83" s="681"/>
      <c r="AG83" s="194"/>
      <c r="AH83" s="5" t="str">
        <f t="shared" si="16"/>
        <v/>
      </c>
      <c r="AI83" s="757"/>
      <c r="AJ83" s="759"/>
      <c r="AK83" s="194"/>
      <c r="AL83" s="5" t="str">
        <f t="shared" si="17"/>
        <v/>
      </c>
      <c r="AM83" s="193"/>
      <c r="AN83" s="194"/>
      <c r="AO83" s="194"/>
      <c r="AP83" s="5" t="str">
        <f t="shared" si="18"/>
        <v/>
      </c>
      <c r="AQ83" s="193"/>
      <c r="AR83" s="219"/>
      <c r="AS83" s="219"/>
      <c r="AT83" s="5" t="str">
        <f t="shared" si="11"/>
        <v/>
      </c>
      <c r="AU83" s="193"/>
      <c r="AV83" s="194"/>
      <c r="AW83" s="194"/>
      <c r="AX83" s="5" t="str">
        <f t="shared" si="19"/>
        <v/>
      </c>
      <c r="AY83" s="193"/>
      <c r="AZ83" s="194"/>
      <c r="BA83" s="194"/>
      <c r="BB83" s="5" t="str">
        <f t="shared" si="20"/>
        <v/>
      </c>
      <c r="BC83" s="193"/>
      <c r="BD83" s="194"/>
      <c r="BE83" s="194"/>
      <c r="BF83" s="5" t="str">
        <f t="shared" si="21"/>
        <v/>
      </c>
      <c r="BG83" s="6"/>
      <c r="BH83" s="7"/>
      <c r="BI83" s="8"/>
      <c r="BJ83" s="195"/>
      <c r="BK83" s="196"/>
      <c r="BL83" s="197"/>
      <c r="BM83" s="198"/>
      <c r="BN83" s="8"/>
      <c r="BO83" s="8"/>
      <c r="BP83" s="9"/>
    </row>
    <row r="84" spans="1:69" s="4" customFormat="1" ht="33.75" customHeight="1" x14ac:dyDescent="0.2">
      <c r="A84" s="192">
        <v>80</v>
      </c>
      <c r="B84" s="754">
        <v>80</v>
      </c>
      <c r="C84" s="756" t="s">
        <v>748</v>
      </c>
      <c r="D84" s="755" t="s">
        <v>625</v>
      </c>
      <c r="E84" s="754">
        <v>4</v>
      </c>
      <c r="F84" s="754">
        <v>4</v>
      </c>
      <c r="G84" s="193"/>
      <c r="H84" s="194"/>
      <c r="I84" s="194"/>
      <c r="J84" s="5"/>
      <c r="K84" s="193"/>
      <c r="L84" s="194"/>
      <c r="M84" s="194"/>
      <c r="N84" s="5"/>
      <c r="O84" s="757"/>
      <c r="P84" s="758"/>
      <c r="Q84" s="194"/>
      <c r="R84" s="5" t="str">
        <f t="shared" si="12"/>
        <v/>
      </c>
      <c r="S84" s="759"/>
      <c r="T84" s="758"/>
      <c r="U84" s="194"/>
      <c r="V84" s="5" t="str">
        <f t="shared" si="13"/>
        <v/>
      </c>
      <c r="W84" s="193"/>
      <c r="X84" s="194"/>
      <c r="Y84" s="194"/>
      <c r="Z84" s="5" t="str">
        <f t="shared" si="14"/>
        <v/>
      </c>
      <c r="AA84" s="759"/>
      <c r="AB84" s="758"/>
      <c r="AC84" s="194"/>
      <c r="AD84" s="5" t="str">
        <f t="shared" si="15"/>
        <v/>
      </c>
      <c r="AE84" s="681"/>
      <c r="AF84" s="681"/>
      <c r="AG84" s="194"/>
      <c r="AH84" s="5" t="str">
        <f t="shared" si="16"/>
        <v/>
      </c>
      <c r="AI84" s="757"/>
      <c r="AJ84" s="759"/>
      <c r="AK84" s="194"/>
      <c r="AL84" s="5" t="str">
        <f t="shared" si="17"/>
        <v/>
      </c>
      <c r="AM84" s="193"/>
      <c r="AN84" s="194"/>
      <c r="AO84" s="194"/>
      <c r="AP84" s="5" t="str">
        <f t="shared" si="18"/>
        <v/>
      </c>
      <c r="AQ84" s="193"/>
      <c r="AR84" s="219"/>
      <c r="AS84" s="219"/>
      <c r="AT84" s="5" t="str">
        <f t="shared" si="11"/>
        <v/>
      </c>
      <c r="AU84" s="193"/>
      <c r="AV84" s="194"/>
      <c r="AW84" s="194"/>
      <c r="AX84" s="5" t="str">
        <f t="shared" si="19"/>
        <v/>
      </c>
      <c r="AY84" s="193"/>
      <c r="AZ84" s="194"/>
      <c r="BA84" s="194"/>
      <c r="BB84" s="5" t="str">
        <f t="shared" si="20"/>
        <v/>
      </c>
      <c r="BC84" s="193"/>
      <c r="BD84" s="194"/>
      <c r="BE84" s="194"/>
      <c r="BF84" s="5" t="str">
        <f t="shared" si="21"/>
        <v/>
      </c>
      <c r="BG84" s="6"/>
      <c r="BH84" s="7"/>
      <c r="BI84" s="8"/>
      <c r="BJ84" s="195"/>
      <c r="BK84" s="196"/>
      <c r="BL84" s="197"/>
      <c r="BM84" s="198"/>
      <c r="BN84" s="8"/>
      <c r="BO84" s="8"/>
      <c r="BP84" s="9"/>
    </row>
    <row r="85" spans="1:69" s="4" customFormat="1" ht="33.75" customHeight="1" x14ac:dyDescent="0.2">
      <c r="A85" s="192">
        <v>81</v>
      </c>
      <c r="B85" s="754">
        <v>81</v>
      </c>
      <c r="C85" s="755" t="s">
        <v>749</v>
      </c>
      <c r="D85" s="755" t="s">
        <v>626</v>
      </c>
      <c r="E85" s="754">
        <v>5</v>
      </c>
      <c r="F85" s="754">
        <v>5</v>
      </c>
      <c r="G85" s="193"/>
      <c r="H85" s="194"/>
      <c r="I85" s="194"/>
      <c r="J85" s="5"/>
      <c r="K85" s="193"/>
      <c r="L85" s="194"/>
      <c r="M85" s="194"/>
      <c r="N85" s="5"/>
      <c r="O85" s="757">
        <v>5</v>
      </c>
      <c r="P85" s="758">
        <v>7500</v>
      </c>
      <c r="Q85" s="194"/>
      <c r="R85" s="5">
        <f t="shared" si="12"/>
        <v>37500</v>
      </c>
      <c r="S85" s="759"/>
      <c r="T85" s="758"/>
      <c r="U85" s="194"/>
      <c r="V85" s="5" t="str">
        <f t="shared" si="13"/>
        <v/>
      </c>
      <c r="W85" s="193"/>
      <c r="X85" s="194"/>
      <c r="Y85" s="194"/>
      <c r="Z85" s="5" t="str">
        <f t="shared" si="14"/>
        <v/>
      </c>
      <c r="AA85" s="759"/>
      <c r="AB85" s="758"/>
      <c r="AC85" s="194"/>
      <c r="AD85" s="5" t="str">
        <f t="shared" si="15"/>
        <v/>
      </c>
      <c r="AE85" s="681"/>
      <c r="AF85" s="681"/>
      <c r="AG85" s="194"/>
      <c r="AH85" s="5" t="str">
        <f t="shared" si="16"/>
        <v/>
      </c>
      <c r="AI85" s="757"/>
      <c r="AJ85" s="759"/>
      <c r="AK85" s="194"/>
      <c r="AL85" s="5" t="str">
        <f t="shared" si="17"/>
        <v/>
      </c>
      <c r="AM85" s="193"/>
      <c r="AN85" s="194"/>
      <c r="AO85" s="194"/>
      <c r="AP85" s="5" t="str">
        <f t="shared" si="18"/>
        <v/>
      </c>
      <c r="AQ85" s="193"/>
      <c r="AR85" s="219"/>
      <c r="AS85" s="219"/>
      <c r="AT85" s="5" t="str">
        <f t="shared" si="11"/>
        <v/>
      </c>
      <c r="AU85" s="193"/>
      <c r="AV85" s="194"/>
      <c r="AW85" s="194"/>
      <c r="AX85" s="5" t="str">
        <f t="shared" si="19"/>
        <v/>
      </c>
      <c r="AY85" s="193"/>
      <c r="AZ85" s="194"/>
      <c r="BA85" s="194"/>
      <c r="BB85" s="5" t="str">
        <f t="shared" si="20"/>
        <v/>
      </c>
      <c r="BC85" s="193"/>
      <c r="BD85" s="194"/>
      <c r="BE85" s="194"/>
      <c r="BF85" s="5" t="str">
        <f t="shared" si="21"/>
        <v/>
      </c>
      <c r="BG85" s="6"/>
      <c r="BH85" s="7"/>
      <c r="BI85" s="8"/>
      <c r="BJ85" s="195"/>
      <c r="BK85" s="196"/>
      <c r="BL85" s="197"/>
      <c r="BM85" s="198"/>
      <c r="BN85" s="8"/>
      <c r="BO85" s="8"/>
      <c r="BP85" s="9"/>
    </row>
    <row r="86" spans="1:69" s="4" customFormat="1" ht="33.75" customHeight="1" x14ac:dyDescent="0.2">
      <c r="A86" s="192">
        <v>82</v>
      </c>
      <c r="B86" s="754">
        <v>82</v>
      </c>
      <c r="C86" s="756" t="s">
        <v>750</v>
      </c>
      <c r="D86" s="755" t="s">
        <v>627</v>
      </c>
      <c r="E86" s="754">
        <v>6</v>
      </c>
      <c r="F86" s="754">
        <v>6</v>
      </c>
      <c r="G86" s="193"/>
      <c r="H86" s="194"/>
      <c r="I86" s="194"/>
      <c r="J86" s="5"/>
      <c r="K86" s="193"/>
      <c r="L86" s="194"/>
      <c r="M86" s="194"/>
      <c r="N86" s="5"/>
      <c r="O86" s="757"/>
      <c r="P86" s="758"/>
      <c r="Q86" s="194"/>
      <c r="R86" s="5" t="str">
        <f t="shared" si="12"/>
        <v/>
      </c>
      <c r="S86" s="759"/>
      <c r="T86" s="758"/>
      <c r="U86" s="194"/>
      <c r="V86" s="5" t="str">
        <f t="shared" si="13"/>
        <v/>
      </c>
      <c r="W86" s="193"/>
      <c r="X86" s="194"/>
      <c r="Y86" s="194"/>
      <c r="Z86" s="5" t="str">
        <f t="shared" si="14"/>
        <v/>
      </c>
      <c r="AA86" s="759"/>
      <c r="AB86" s="758"/>
      <c r="AC86" s="194"/>
      <c r="AD86" s="5" t="str">
        <f t="shared" si="15"/>
        <v/>
      </c>
      <c r="AE86" s="679"/>
      <c r="AF86" s="681"/>
      <c r="AG86" s="194"/>
      <c r="AH86" s="5" t="str">
        <f t="shared" si="16"/>
        <v/>
      </c>
      <c r="AI86" s="757"/>
      <c r="AJ86" s="759"/>
      <c r="AK86" s="194"/>
      <c r="AL86" s="5" t="str">
        <f t="shared" si="17"/>
        <v/>
      </c>
      <c r="AM86" s="193"/>
      <c r="AN86" s="194"/>
      <c r="AO86" s="194"/>
      <c r="AP86" s="5" t="str">
        <f t="shared" si="18"/>
        <v/>
      </c>
      <c r="AQ86" s="193"/>
      <c r="AR86" s="219"/>
      <c r="AS86" s="219"/>
      <c r="AT86" s="5" t="str">
        <f t="shared" si="11"/>
        <v/>
      </c>
      <c r="AU86" s="193"/>
      <c r="AV86" s="194"/>
      <c r="AW86" s="194"/>
      <c r="AX86" s="5" t="str">
        <f t="shared" si="19"/>
        <v/>
      </c>
      <c r="AY86" s="193"/>
      <c r="AZ86" s="194"/>
      <c r="BA86" s="194"/>
      <c r="BB86" s="5" t="str">
        <f t="shared" si="20"/>
        <v/>
      </c>
      <c r="BC86" s="193"/>
      <c r="BD86" s="194"/>
      <c r="BE86" s="194"/>
      <c r="BF86" s="5" t="str">
        <f t="shared" si="21"/>
        <v/>
      </c>
      <c r="BG86" s="6"/>
      <c r="BH86" s="7"/>
      <c r="BI86" s="8"/>
      <c r="BJ86" s="195"/>
      <c r="BK86" s="196"/>
      <c r="BL86" s="197"/>
      <c r="BM86" s="198"/>
      <c r="BN86" s="8"/>
      <c r="BO86" s="8"/>
      <c r="BP86" s="9"/>
    </row>
    <row r="87" spans="1:69" s="4" customFormat="1" ht="33.75" customHeight="1" x14ac:dyDescent="0.2">
      <c r="A87" s="192">
        <v>83</v>
      </c>
      <c r="B87" s="754">
        <v>83</v>
      </c>
      <c r="C87" s="755" t="s">
        <v>751</v>
      </c>
      <c r="D87" s="755" t="s">
        <v>628</v>
      </c>
      <c r="E87" s="754">
        <v>9</v>
      </c>
      <c r="F87" s="754">
        <v>9</v>
      </c>
      <c r="G87" s="658" t="s">
        <v>641</v>
      </c>
      <c r="H87" s="658" t="s">
        <v>641</v>
      </c>
      <c r="I87" s="658" t="s">
        <v>641</v>
      </c>
      <c r="J87" s="658" t="s">
        <v>641</v>
      </c>
      <c r="K87" s="658" t="s">
        <v>641</v>
      </c>
      <c r="L87" s="658" t="s">
        <v>641</v>
      </c>
      <c r="M87" s="658" t="s">
        <v>641</v>
      </c>
      <c r="N87" s="658" t="s">
        <v>641</v>
      </c>
      <c r="O87" s="658"/>
      <c r="P87" s="658"/>
      <c r="Q87" s="194"/>
      <c r="R87" s="5" t="str">
        <f t="shared" si="12"/>
        <v/>
      </c>
      <c r="S87" s="759"/>
      <c r="T87" s="758"/>
      <c r="U87" s="194"/>
      <c r="V87" s="5" t="str">
        <f t="shared" si="13"/>
        <v/>
      </c>
      <c r="W87" s="193"/>
      <c r="X87" s="194"/>
      <c r="Y87" s="194"/>
      <c r="Z87" s="5" t="str">
        <f t="shared" si="14"/>
        <v/>
      </c>
      <c r="AA87" s="759"/>
      <c r="AB87" s="758"/>
      <c r="AC87" s="194"/>
      <c r="AD87" s="5" t="str">
        <f t="shared" si="15"/>
        <v/>
      </c>
      <c r="AE87" s="679"/>
      <c r="AF87" s="681"/>
      <c r="AG87" s="194"/>
      <c r="AH87" s="5" t="str">
        <f t="shared" si="16"/>
        <v/>
      </c>
      <c r="AI87" s="757"/>
      <c r="AJ87" s="759"/>
      <c r="AK87" s="194"/>
      <c r="AL87" s="5" t="str">
        <f t="shared" si="17"/>
        <v/>
      </c>
      <c r="AM87" s="193"/>
      <c r="AN87" s="194"/>
      <c r="AO87" s="194"/>
      <c r="AP87" s="5" t="str">
        <f t="shared" si="18"/>
        <v/>
      </c>
      <c r="AQ87" s="193"/>
      <c r="AR87" s="219"/>
      <c r="AS87" s="219"/>
      <c r="AT87" s="5" t="str">
        <f t="shared" si="11"/>
        <v/>
      </c>
      <c r="AU87" s="193"/>
      <c r="AV87" s="194"/>
      <c r="AW87" s="194"/>
      <c r="AX87" s="5" t="str">
        <f t="shared" si="19"/>
        <v/>
      </c>
      <c r="AY87" s="193"/>
      <c r="AZ87" s="194"/>
      <c r="BA87" s="194"/>
      <c r="BB87" s="5" t="str">
        <f t="shared" si="20"/>
        <v/>
      </c>
      <c r="BC87" s="193"/>
      <c r="BD87" s="194"/>
      <c r="BE87" s="194"/>
      <c r="BF87" s="5" t="str">
        <f t="shared" si="21"/>
        <v/>
      </c>
      <c r="BG87" s="6"/>
      <c r="BH87" s="7"/>
      <c r="BI87" s="8"/>
      <c r="BJ87" s="195"/>
      <c r="BK87" s="196"/>
      <c r="BL87" s="197"/>
      <c r="BM87" s="198"/>
      <c r="BN87" s="8"/>
      <c r="BO87" s="8"/>
      <c r="BP87" s="9"/>
    </row>
    <row r="88" spans="1:69" s="4" customFormat="1" ht="33.75" customHeight="1" x14ac:dyDescent="0.2">
      <c r="A88" s="192">
        <v>84</v>
      </c>
      <c r="B88" s="754">
        <v>84</v>
      </c>
      <c r="C88" s="756" t="s">
        <v>752</v>
      </c>
      <c r="D88" s="755" t="s">
        <v>629</v>
      </c>
      <c r="E88" s="754">
        <v>9</v>
      </c>
      <c r="F88" s="754">
        <v>9</v>
      </c>
      <c r="G88" s="193"/>
      <c r="H88" s="194"/>
      <c r="I88" s="194"/>
      <c r="J88" s="5"/>
      <c r="K88" s="193"/>
      <c r="L88" s="194"/>
      <c r="M88" s="194"/>
      <c r="N88" s="5"/>
      <c r="O88" s="757"/>
      <c r="P88" s="758"/>
      <c r="Q88" s="194"/>
      <c r="R88" s="5" t="str">
        <f t="shared" si="12"/>
        <v/>
      </c>
      <c r="S88" s="759"/>
      <c r="T88" s="758"/>
      <c r="U88" s="194"/>
      <c r="V88" s="5" t="str">
        <f t="shared" si="13"/>
        <v/>
      </c>
      <c r="W88" s="193"/>
      <c r="X88" s="194"/>
      <c r="Y88" s="194"/>
      <c r="Z88" s="5" t="str">
        <f t="shared" si="14"/>
        <v/>
      </c>
      <c r="AA88" s="759"/>
      <c r="AB88" s="758"/>
      <c r="AC88" s="194"/>
      <c r="AD88" s="5" t="str">
        <f t="shared" si="15"/>
        <v/>
      </c>
      <c r="AE88" s="679"/>
      <c r="AF88" s="681"/>
      <c r="AG88" s="194"/>
      <c r="AH88" s="5" t="str">
        <f t="shared" si="16"/>
        <v/>
      </c>
      <c r="AI88" s="757"/>
      <c r="AJ88" s="759"/>
      <c r="AK88" s="194"/>
      <c r="AL88" s="5" t="str">
        <f t="shared" si="17"/>
        <v/>
      </c>
      <c r="AM88" s="193"/>
      <c r="AN88" s="194"/>
      <c r="AO88" s="194"/>
      <c r="AP88" s="5" t="str">
        <f t="shared" si="18"/>
        <v/>
      </c>
      <c r="AQ88" s="193"/>
      <c r="AR88" s="219"/>
      <c r="AS88" s="219"/>
      <c r="AT88" s="5" t="str">
        <f t="shared" si="11"/>
        <v/>
      </c>
      <c r="AU88" s="193"/>
      <c r="AV88" s="194"/>
      <c r="AW88" s="194"/>
      <c r="AX88" s="5" t="str">
        <f t="shared" si="19"/>
        <v/>
      </c>
      <c r="AY88" s="193"/>
      <c r="AZ88" s="194"/>
      <c r="BA88" s="194"/>
      <c r="BB88" s="5" t="str">
        <f t="shared" si="20"/>
        <v/>
      </c>
      <c r="BC88" s="193"/>
      <c r="BD88" s="194"/>
      <c r="BE88" s="194"/>
      <c r="BF88" s="5" t="str">
        <f t="shared" si="21"/>
        <v/>
      </c>
      <c r="BG88" s="6"/>
      <c r="BH88" s="7"/>
      <c r="BI88" s="8"/>
      <c r="BJ88" s="195"/>
      <c r="BK88" s="196"/>
      <c r="BL88" s="197"/>
      <c r="BM88" s="198"/>
      <c r="BN88" s="8"/>
      <c r="BO88" s="8"/>
      <c r="BP88" s="9"/>
    </row>
    <row r="89" spans="1:69" s="4" customFormat="1" ht="33.75" customHeight="1" x14ac:dyDescent="0.2">
      <c r="A89" s="192">
        <v>85</v>
      </c>
      <c r="B89" s="754">
        <v>85</v>
      </c>
      <c r="C89" s="755" t="s">
        <v>753</v>
      </c>
      <c r="D89" s="755" t="s">
        <v>122</v>
      </c>
      <c r="E89" s="754">
        <v>10</v>
      </c>
      <c r="F89" s="754">
        <v>10</v>
      </c>
      <c r="G89" s="193"/>
      <c r="H89" s="194"/>
      <c r="I89" s="194"/>
      <c r="J89" s="5"/>
      <c r="K89" s="193"/>
      <c r="L89" s="194"/>
      <c r="M89" s="194"/>
      <c r="N89" s="5"/>
      <c r="O89" s="757"/>
      <c r="P89" s="758"/>
      <c r="Q89" s="194"/>
      <c r="R89" s="5" t="str">
        <f t="shared" si="12"/>
        <v/>
      </c>
      <c r="S89" s="759"/>
      <c r="T89" s="758"/>
      <c r="U89" s="194"/>
      <c r="V89" s="5" t="str">
        <f t="shared" si="13"/>
        <v/>
      </c>
      <c r="W89" s="193"/>
      <c r="X89" s="194"/>
      <c r="Y89" s="194"/>
      <c r="Z89" s="5" t="str">
        <f t="shared" si="14"/>
        <v/>
      </c>
      <c r="AA89" s="759"/>
      <c r="AB89" s="758"/>
      <c r="AC89" s="194"/>
      <c r="AD89" s="5" t="str">
        <f t="shared" si="15"/>
        <v/>
      </c>
      <c r="AE89" s="681"/>
      <c r="AF89" s="681"/>
      <c r="AG89" s="194"/>
      <c r="AH89" s="5" t="str">
        <f t="shared" si="16"/>
        <v/>
      </c>
      <c r="AI89" s="757"/>
      <c r="AJ89" s="759"/>
      <c r="AK89" s="194"/>
      <c r="AL89" s="5" t="str">
        <f t="shared" si="17"/>
        <v/>
      </c>
      <c r="AM89" s="193"/>
      <c r="AN89" s="194"/>
      <c r="AO89" s="194"/>
      <c r="AP89" s="5" t="str">
        <f t="shared" si="18"/>
        <v/>
      </c>
      <c r="AQ89" s="193"/>
      <c r="AR89" s="219"/>
      <c r="AS89" s="219"/>
      <c r="AT89" s="5" t="str">
        <f t="shared" si="11"/>
        <v/>
      </c>
      <c r="AU89" s="193"/>
      <c r="AV89" s="194"/>
      <c r="AW89" s="194"/>
      <c r="AX89" s="5" t="str">
        <f t="shared" si="19"/>
        <v/>
      </c>
      <c r="AY89" s="193"/>
      <c r="AZ89" s="194"/>
      <c r="BA89" s="194"/>
      <c r="BB89" s="5" t="str">
        <f t="shared" si="20"/>
        <v/>
      </c>
      <c r="BC89" s="193"/>
      <c r="BD89" s="194"/>
      <c r="BE89" s="194"/>
      <c r="BF89" s="5" t="str">
        <f t="shared" si="21"/>
        <v/>
      </c>
      <c r="BG89" s="6"/>
      <c r="BH89" s="7"/>
      <c r="BI89" s="8"/>
      <c r="BJ89" s="195"/>
      <c r="BK89" s="196"/>
      <c r="BL89" s="197"/>
      <c r="BM89" s="198"/>
      <c r="BN89" s="8"/>
      <c r="BO89" s="8"/>
      <c r="BP89" s="9"/>
    </row>
    <row r="90" spans="1:69" s="4" customFormat="1" ht="33.75" customHeight="1" x14ac:dyDescent="0.25">
      <c r="A90" s="10"/>
      <c r="B90" s="10"/>
      <c r="C90" s="212"/>
      <c r="D90" s="11"/>
      <c r="E90" s="12"/>
      <c r="F90" s="12"/>
      <c r="G90" s="75"/>
      <c r="H90" s="13"/>
      <c r="I90" s="13"/>
      <c r="J90" s="13">
        <f>SUM(J5:J89)</f>
        <v>0</v>
      </c>
      <c r="K90" s="15"/>
      <c r="L90" s="16"/>
      <c r="M90" s="16"/>
      <c r="N90" s="14">
        <f>SUM(N5:N89)</f>
        <v>0</v>
      </c>
      <c r="O90" s="76"/>
      <c r="P90" s="13"/>
      <c r="Q90" s="17"/>
      <c r="R90" s="14">
        <f>SUM(R5:R89)</f>
        <v>960155.3</v>
      </c>
      <c r="S90" s="91"/>
      <c r="T90" s="13"/>
      <c r="U90" s="18"/>
      <c r="V90" s="14">
        <f>SUM(V5:V89)</f>
        <v>877882.79999999993</v>
      </c>
      <c r="W90" s="91"/>
      <c r="X90" s="13"/>
      <c r="Y90" s="18"/>
      <c r="Z90" s="14">
        <f>SUM(Z5:Z89)</f>
        <v>0</v>
      </c>
      <c r="AA90" s="19"/>
      <c r="AB90" s="13"/>
      <c r="AC90" s="19"/>
      <c r="AD90" s="14">
        <f>SUM(AD5:AD89)</f>
        <v>1280145</v>
      </c>
      <c r="AE90" s="20"/>
      <c r="AF90" s="13"/>
      <c r="AG90" s="20"/>
      <c r="AH90" s="14">
        <f>SUM(AH5:AH89)</f>
        <v>0</v>
      </c>
      <c r="AI90" s="20"/>
      <c r="AJ90" s="13"/>
      <c r="AK90" s="20"/>
      <c r="AL90" s="13">
        <f>SUM(AL5:AL89)</f>
        <v>1146811</v>
      </c>
      <c r="AM90" s="20"/>
      <c r="AN90" s="13"/>
      <c r="AO90" s="20"/>
      <c r="AP90" s="14">
        <f>SUM(AP5:AP89)</f>
        <v>0</v>
      </c>
      <c r="AQ90" s="20"/>
      <c r="AR90" s="13"/>
      <c r="AS90" s="20"/>
      <c r="AT90" s="13">
        <f>SUM(AT5:AT89)</f>
        <v>0</v>
      </c>
      <c r="AU90" s="20"/>
      <c r="AV90" s="13"/>
      <c r="AW90" s="20"/>
      <c r="AX90" s="14">
        <f>SUM(AX5:AX89)</f>
        <v>0</v>
      </c>
      <c r="AY90" s="20"/>
      <c r="AZ90" s="13"/>
      <c r="BA90" s="20"/>
      <c r="BB90" s="14">
        <f>SUM(BB5:BB89)</f>
        <v>0</v>
      </c>
      <c r="BC90" s="20"/>
      <c r="BD90" s="13"/>
      <c r="BE90" s="20"/>
      <c r="BF90" s="14">
        <f>SUM(BF5:BF89)</f>
        <v>0</v>
      </c>
      <c r="BG90" s="808" t="s">
        <v>17</v>
      </c>
      <c r="BH90" s="807"/>
      <c r="BI90" s="807"/>
      <c r="BJ90" s="807"/>
      <c r="BK90" s="807"/>
      <c r="BL90" s="807"/>
      <c r="BM90" s="807"/>
      <c r="BN90" s="73" t="e">
        <f>SUM(#REF!)</f>
        <v>#REF!</v>
      </c>
      <c r="BO90" s="73" t="e">
        <f>SUM(#REF!)</f>
        <v>#REF!</v>
      </c>
      <c r="BP90" s="9" t="e">
        <f>(BN90-BO90)/BO90</f>
        <v>#REF!</v>
      </c>
    </row>
    <row r="91" spans="1:69" s="4" customFormat="1" ht="33.75" customHeight="1" x14ac:dyDescent="0.25">
      <c r="A91" s="10"/>
      <c r="B91" s="10"/>
      <c r="C91" s="212"/>
      <c r="D91" s="11"/>
      <c r="E91" s="12"/>
      <c r="F91" s="12"/>
      <c r="G91" s="75"/>
      <c r="H91" s="13"/>
      <c r="I91" s="13"/>
      <c r="J91" s="92"/>
      <c r="K91" s="93"/>
      <c r="L91" s="94"/>
      <c r="M91" s="94"/>
      <c r="N91" s="92"/>
      <c r="O91" s="95"/>
      <c r="P91" s="96"/>
      <c r="Q91" s="96"/>
      <c r="R91" s="97"/>
      <c r="S91" s="98"/>
      <c r="T91" s="99"/>
      <c r="U91" s="99"/>
      <c r="V91" s="97"/>
      <c r="W91" s="97"/>
      <c r="X91" s="97"/>
      <c r="Y91" s="97"/>
      <c r="Z91" s="97"/>
      <c r="AA91" s="100"/>
      <c r="AB91" s="100"/>
      <c r="AC91" s="100"/>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806" t="s">
        <v>103</v>
      </c>
      <c r="BH91" s="807"/>
      <c r="BI91" s="807"/>
      <c r="BJ91" s="807"/>
      <c r="BK91" s="807"/>
      <c r="BL91" s="807"/>
      <c r="BM91" s="807"/>
      <c r="BN91" s="102" t="e">
        <f>ROUND(BN90*75.644399,2)</f>
        <v>#REF!</v>
      </c>
      <c r="BO91" s="102" t="e">
        <f>ROUND(BO90*75.644399,2)</f>
        <v>#REF!</v>
      </c>
      <c r="BP91" s="103"/>
    </row>
    <row r="92" spans="1:69" s="2" customFormat="1" ht="33.75" customHeight="1" x14ac:dyDescent="0.25">
      <c r="A92" s="104"/>
      <c r="B92" s="104"/>
      <c r="C92" s="213"/>
      <c r="D92" s="105"/>
      <c r="E92" s="105"/>
      <c r="F92" s="105"/>
      <c r="G92" s="106"/>
      <c r="H92" s="107"/>
      <c r="I92" s="107"/>
      <c r="J92" s="108"/>
      <c r="K92" s="109"/>
      <c r="L92" s="105"/>
      <c r="M92" s="105"/>
      <c r="N92" s="108"/>
      <c r="O92" s="110"/>
      <c r="P92" s="111"/>
      <c r="Q92" s="111"/>
      <c r="R92" s="112"/>
      <c r="S92" s="113"/>
      <c r="T92" s="114"/>
      <c r="U92" s="114"/>
      <c r="V92" s="811" t="s">
        <v>82</v>
      </c>
      <c r="W92" s="812"/>
      <c r="X92" s="812"/>
      <c r="Y92" s="812"/>
      <c r="Z92" s="812"/>
      <c r="AA92" s="812"/>
      <c r="AB92" s="812"/>
      <c r="AC92" s="812"/>
      <c r="AD92" s="813"/>
      <c r="AE92" s="206"/>
      <c r="AF92" s="206"/>
      <c r="AG92" s="222"/>
      <c r="AH92" s="206"/>
      <c r="AI92" s="206"/>
      <c r="AJ92" s="206"/>
      <c r="AK92" s="222"/>
      <c r="AL92" s="206"/>
      <c r="AM92" s="206"/>
      <c r="AN92" s="206"/>
      <c r="AO92" s="222"/>
      <c r="AP92" s="206"/>
      <c r="AQ92" s="206"/>
      <c r="AR92" s="216"/>
      <c r="AS92" s="222"/>
      <c r="AT92" s="206"/>
      <c r="AU92" s="206"/>
      <c r="AV92" s="206"/>
      <c r="AW92" s="222"/>
      <c r="AX92" s="206"/>
      <c r="AY92" s="781"/>
      <c r="AZ92" s="781"/>
      <c r="BA92" s="781"/>
      <c r="BB92" s="781"/>
      <c r="BC92" s="781"/>
      <c r="BD92" s="781"/>
      <c r="BE92" s="781"/>
      <c r="BF92" s="781"/>
      <c r="BG92" s="806" t="s">
        <v>83</v>
      </c>
      <c r="BH92" s="807"/>
      <c r="BI92" s="807"/>
      <c r="BJ92" s="807"/>
      <c r="BK92" s="807"/>
      <c r="BL92" s="807"/>
      <c r="BM92" s="807"/>
      <c r="BN92" s="102" t="e">
        <f>ROUND(BN91*100%,2)</f>
        <v>#REF!</v>
      </c>
      <c r="BO92" s="102" t="e">
        <f>ROUND(BO91*100%,2)</f>
        <v>#REF!</v>
      </c>
      <c r="BP92" s="115"/>
    </row>
    <row r="93" spans="1:69" s="2" customFormat="1" ht="33.75" customHeight="1" x14ac:dyDescent="0.25">
      <c r="A93" s="104"/>
      <c r="B93" s="104"/>
      <c r="C93" s="213"/>
      <c r="D93" s="105"/>
      <c r="E93" s="105"/>
      <c r="F93" s="105"/>
      <c r="G93" s="106"/>
      <c r="H93" s="107"/>
      <c r="I93" s="107"/>
      <c r="J93" s="108"/>
      <c r="K93" s="109"/>
      <c r="L93" s="105"/>
      <c r="M93" s="105"/>
      <c r="N93" s="108"/>
      <c r="O93" s="110"/>
      <c r="P93" s="111"/>
      <c r="Q93" s="111"/>
      <c r="R93" s="112"/>
      <c r="S93" s="113"/>
      <c r="T93" s="114"/>
      <c r="U93" s="114"/>
      <c r="V93" s="814"/>
      <c r="W93" s="815"/>
      <c r="X93" s="815"/>
      <c r="Y93" s="815"/>
      <c r="Z93" s="815"/>
      <c r="AA93" s="815"/>
      <c r="AB93" s="815"/>
      <c r="AC93" s="815"/>
      <c r="AD93" s="816"/>
      <c r="AE93" s="207"/>
      <c r="AF93" s="207"/>
      <c r="AG93" s="223"/>
      <c r="AH93" s="207"/>
      <c r="AI93" s="207"/>
      <c r="AJ93" s="207"/>
      <c r="AK93" s="223"/>
      <c r="AL93" s="207"/>
      <c r="AM93" s="207"/>
      <c r="AN93" s="207"/>
      <c r="AO93" s="223"/>
      <c r="AP93" s="207"/>
      <c r="AQ93" s="207"/>
      <c r="AR93" s="217"/>
      <c r="AS93" s="223"/>
      <c r="AT93" s="207"/>
      <c r="AU93" s="207"/>
      <c r="AV93" s="207"/>
      <c r="AW93" s="223"/>
      <c r="AX93" s="207"/>
      <c r="AY93" s="782"/>
      <c r="AZ93" s="782"/>
      <c r="BA93" s="782"/>
      <c r="BB93" s="782"/>
      <c r="BC93" s="782"/>
      <c r="BD93" s="782"/>
      <c r="BE93" s="782"/>
      <c r="BF93" s="782"/>
      <c r="BG93" s="806" t="s">
        <v>84</v>
      </c>
      <c r="BH93" s="807"/>
      <c r="BI93" s="807"/>
      <c r="BJ93" s="807"/>
      <c r="BK93" s="807"/>
      <c r="BL93" s="807"/>
      <c r="BM93" s="807"/>
      <c r="BN93" s="116" t="e">
        <f>ROUND(BN92*10%,2)</f>
        <v>#REF!</v>
      </c>
      <c r="BO93" s="116" t="e">
        <f>ROUND(BO92*10%,2)</f>
        <v>#REF!</v>
      </c>
      <c r="BP93" s="117"/>
    </row>
    <row r="94" spans="1:69" s="2" customFormat="1" ht="33.75" customHeight="1" x14ac:dyDescent="0.25">
      <c r="A94" s="104"/>
      <c r="B94" s="104"/>
      <c r="C94" s="213"/>
      <c r="D94" s="105"/>
      <c r="E94" s="105"/>
      <c r="F94" s="105"/>
      <c r="G94" s="106"/>
      <c r="H94" s="107"/>
      <c r="I94" s="107"/>
      <c r="J94" s="108"/>
      <c r="K94" s="109"/>
      <c r="L94" s="105"/>
      <c r="M94" s="105"/>
      <c r="N94" s="108"/>
      <c r="O94" s="110"/>
      <c r="P94" s="111"/>
      <c r="Q94" s="111"/>
      <c r="R94" s="112"/>
      <c r="S94" s="113"/>
      <c r="T94" s="114"/>
      <c r="U94" s="114"/>
      <c r="V94" s="814"/>
      <c r="W94" s="815"/>
      <c r="X94" s="815"/>
      <c r="Y94" s="815"/>
      <c r="Z94" s="815"/>
      <c r="AA94" s="815"/>
      <c r="AB94" s="815"/>
      <c r="AC94" s="815"/>
      <c r="AD94" s="816"/>
      <c r="AE94" s="207"/>
      <c r="AF94" s="207"/>
      <c r="AG94" s="223"/>
      <c r="AH94" s="207"/>
      <c r="AI94" s="207"/>
      <c r="AJ94" s="207"/>
      <c r="AK94" s="223"/>
      <c r="AL94" s="207"/>
      <c r="AM94" s="207"/>
      <c r="AN94" s="207"/>
      <c r="AO94" s="223"/>
      <c r="AP94" s="207"/>
      <c r="AQ94" s="207"/>
      <c r="AR94" s="217"/>
      <c r="AS94" s="223"/>
      <c r="AT94" s="207"/>
      <c r="AU94" s="207"/>
      <c r="AV94" s="207"/>
      <c r="AW94" s="223"/>
      <c r="AX94" s="207"/>
      <c r="AY94" s="782"/>
      <c r="AZ94" s="782"/>
      <c r="BA94" s="782"/>
      <c r="BB94" s="782"/>
      <c r="BC94" s="782"/>
      <c r="BD94" s="782"/>
      <c r="BE94" s="782"/>
      <c r="BF94" s="782"/>
      <c r="BG94" s="806" t="s">
        <v>85</v>
      </c>
      <c r="BH94" s="806"/>
      <c r="BI94" s="806"/>
      <c r="BJ94" s="806"/>
      <c r="BK94" s="806"/>
      <c r="BL94" s="806"/>
      <c r="BM94" s="806"/>
      <c r="BN94" s="116" t="e">
        <f>ROUND(BN93*10%,2)</f>
        <v>#REF!</v>
      </c>
      <c r="BO94" s="116" t="e">
        <f>ROUND(BO93*10%,2)</f>
        <v>#REF!</v>
      </c>
      <c r="BP94" s="117"/>
    </row>
    <row r="95" spans="1:69" s="2" customFormat="1" ht="33.75" customHeight="1" x14ac:dyDescent="0.25">
      <c r="A95" s="104"/>
      <c r="B95" s="104"/>
      <c r="C95" s="213"/>
      <c r="D95" s="105"/>
      <c r="E95" s="105"/>
      <c r="F95" s="105"/>
      <c r="G95" s="106"/>
      <c r="H95" s="107"/>
      <c r="I95" s="107"/>
      <c r="J95" s="108"/>
      <c r="K95" s="109"/>
      <c r="L95" s="105"/>
      <c r="M95" s="105"/>
      <c r="N95" s="108"/>
      <c r="O95" s="110"/>
      <c r="P95" s="111"/>
      <c r="Q95" s="111"/>
      <c r="R95" s="112"/>
      <c r="S95" s="113"/>
      <c r="T95" s="114"/>
      <c r="U95" s="114"/>
      <c r="V95" s="817"/>
      <c r="W95" s="818"/>
      <c r="X95" s="818"/>
      <c r="Y95" s="818"/>
      <c r="Z95" s="818"/>
      <c r="AA95" s="818"/>
      <c r="AB95" s="818"/>
      <c r="AC95" s="818"/>
      <c r="AD95" s="819"/>
      <c r="AE95" s="208"/>
      <c r="AF95" s="208"/>
      <c r="AG95" s="224"/>
      <c r="AH95" s="208"/>
      <c r="AI95" s="208"/>
      <c r="AJ95" s="208"/>
      <c r="AK95" s="224"/>
      <c r="AL95" s="208"/>
      <c r="AM95" s="208"/>
      <c r="AN95" s="208"/>
      <c r="AO95" s="224"/>
      <c r="AP95" s="208"/>
      <c r="AQ95" s="208"/>
      <c r="AR95" s="218"/>
      <c r="AS95" s="224"/>
      <c r="AT95" s="208"/>
      <c r="AU95" s="208"/>
      <c r="AV95" s="208"/>
      <c r="AW95" s="224"/>
      <c r="AX95" s="208"/>
      <c r="AY95" s="783"/>
      <c r="AZ95" s="783"/>
      <c r="BA95" s="783"/>
      <c r="BB95" s="783"/>
      <c r="BC95" s="783"/>
      <c r="BD95" s="783"/>
      <c r="BE95" s="783"/>
      <c r="BF95" s="783"/>
      <c r="BG95" s="806" t="s">
        <v>86</v>
      </c>
      <c r="BH95" s="807"/>
      <c r="BI95" s="807"/>
      <c r="BJ95" s="807"/>
      <c r="BK95" s="807"/>
      <c r="BL95" s="807"/>
      <c r="BM95" s="807"/>
      <c r="BN95" s="116" t="e">
        <f>ROUND((BN92+BN93+BN94)*5%,2)</f>
        <v>#REF!</v>
      </c>
      <c r="BO95" s="116" t="e">
        <f>ROUND((BO92+BO93+BO94)*5%,2)</f>
        <v>#REF!</v>
      </c>
      <c r="BP95" s="117"/>
      <c r="BQ95" s="118"/>
    </row>
    <row r="96" spans="1:69" s="2" customFormat="1" ht="33.75" customHeight="1" x14ac:dyDescent="0.25">
      <c r="A96" s="104"/>
      <c r="B96" s="104"/>
      <c r="C96" s="213"/>
      <c r="D96" s="105"/>
      <c r="E96" s="105"/>
      <c r="F96" s="105"/>
      <c r="G96" s="106"/>
      <c r="H96" s="107"/>
      <c r="I96" s="107"/>
      <c r="J96" s="108"/>
      <c r="K96" s="109"/>
      <c r="L96" s="105"/>
      <c r="M96" s="105"/>
      <c r="N96" s="108"/>
      <c r="O96" s="110"/>
      <c r="P96" s="111"/>
      <c r="Q96" s="111"/>
      <c r="R96" s="112"/>
      <c r="S96" s="113"/>
      <c r="T96" s="114"/>
      <c r="U96" s="114"/>
      <c r="V96" s="112"/>
      <c r="W96" s="112"/>
      <c r="X96" s="112"/>
      <c r="Y96" s="112"/>
      <c r="Z96" s="112"/>
      <c r="AA96" s="119"/>
      <c r="AB96" s="119"/>
      <c r="AC96" s="119"/>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806" t="s">
        <v>87</v>
      </c>
      <c r="BH96" s="807"/>
      <c r="BI96" s="807"/>
      <c r="BJ96" s="807"/>
      <c r="BK96" s="807"/>
      <c r="BL96" s="807"/>
      <c r="BM96" s="807"/>
      <c r="BN96" s="116" t="e">
        <f>BN93+BN94+BN95</f>
        <v>#REF!</v>
      </c>
      <c r="BO96" s="116" t="e">
        <f>BO93+BO94+BO95</f>
        <v>#REF!</v>
      </c>
      <c r="BP96" s="117"/>
      <c r="BQ96" s="118"/>
    </row>
    <row r="97" spans="1:69" ht="33.75" customHeight="1" x14ac:dyDescent="0.25">
      <c r="A97" s="121"/>
      <c r="B97" s="121"/>
      <c r="C97" s="214"/>
      <c r="D97" s="122"/>
      <c r="E97" s="122"/>
      <c r="F97" s="122"/>
      <c r="G97" s="123"/>
      <c r="H97" s="124"/>
      <c r="I97" s="124"/>
      <c r="J97" s="125"/>
      <c r="K97" s="126"/>
      <c r="L97" s="122"/>
      <c r="M97" s="122"/>
      <c r="N97" s="125"/>
      <c r="O97" s="127"/>
      <c r="P97" s="128"/>
      <c r="Q97" s="128"/>
      <c r="R97" s="129"/>
      <c r="S97" s="130"/>
      <c r="T97" s="131"/>
      <c r="U97" s="131"/>
      <c r="V97" s="129"/>
      <c r="W97" s="129"/>
      <c r="X97" s="129"/>
      <c r="Y97" s="129"/>
      <c r="Z97" s="129"/>
      <c r="AA97" s="132"/>
      <c r="AB97" s="132"/>
      <c r="AC97" s="132"/>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808" t="s">
        <v>88</v>
      </c>
      <c r="BH97" s="807"/>
      <c r="BI97" s="807"/>
      <c r="BJ97" s="807"/>
      <c r="BK97" s="807"/>
      <c r="BL97" s="807"/>
      <c r="BM97" s="807"/>
      <c r="BN97" s="134" t="e">
        <f>ROUND(BN91*1.26%,2)</f>
        <v>#REF!</v>
      </c>
      <c r="BO97" s="134" t="e">
        <f>ROUND(BO91*1.26%,2)</f>
        <v>#REF!</v>
      </c>
      <c r="BP97" s="135"/>
      <c r="BQ97" s="136"/>
    </row>
    <row r="98" spans="1:69" ht="33.75" customHeight="1" x14ac:dyDescent="0.25">
      <c r="A98" s="121"/>
      <c r="B98" s="121"/>
      <c r="C98" s="214"/>
      <c r="D98" s="122"/>
      <c r="E98" s="122"/>
      <c r="F98" s="122"/>
      <c r="G98" s="123"/>
      <c r="H98" s="124"/>
      <c r="I98" s="124"/>
      <c r="J98" s="125"/>
      <c r="K98" s="126"/>
      <c r="L98" s="122"/>
      <c r="M98" s="122"/>
      <c r="N98" s="125"/>
      <c r="O98" s="127"/>
      <c r="P98" s="128"/>
      <c r="Q98" s="128"/>
      <c r="R98" s="129"/>
      <c r="S98" s="130"/>
      <c r="T98" s="131"/>
      <c r="U98" s="131"/>
      <c r="V98" s="129"/>
      <c r="W98" s="129"/>
      <c r="X98" s="129"/>
      <c r="Y98" s="129"/>
      <c r="Z98" s="129"/>
      <c r="AA98" s="132"/>
      <c r="AB98" s="132"/>
      <c r="AC98" s="132"/>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809" t="s">
        <v>89</v>
      </c>
      <c r="BH98" s="807"/>
      <c r="BI98" s="807"/>
      <c r="BJ98" s="807"/>
      <c r="BK98" s="807"/>
      <c r="BL98" s="807"/>
      <c r="BM98" s="807"/>
      <c r="BN98" s="134" t="e">
        <f>BN91+BN96+BN97</f>
        <v>#REF!</v>
      </c>
      <c r="BO98" s="134" t="e">
        <f>BO91+BO96+BO97</f>
        <v>#REF!</v>
      </c>
      <c r="BP98" s="135"/>
    </row>
    <row r="99" spans="1:69" ht="33.75" customHeight="1" x14ac:dyDescent="0.25">
      <c r="A99" s="121"/>
      <c r="B99" s="121"/>
      <c r="C99" s="214"/>
      <c r="D99" s="122"/>
      <c r="E99" s="122"/>
      <c r="F99" s="122"/>
      <c r="G99" s="123"/>
      <c r="H99" s="124"/>
      <c r="I99" s="124"/>
      <c r="J99" s="125"/>
      <c r="K99" s="126"/>
      <c r="L99" s="122"/>
      <c r="M99" s="122"/>
      <c r="N99" s="125"/>
      <c r="O99" s="127"/>
      <c r="P99" s="128"/>
      <c r="Q99" s="128"/>
      <c r="R99" s="129"/>
      <c r="S99" s="130"/>
      <c r="T99" s="131"/>
      <c r="U99" s="131"/>
      <c r="V99" s="129"/>
      <c r="W99" s="129"/>
      <c r="X99" s="129"/>
      <c r="Y99" s="129"/>
      <c r="Z99" s="129"/>
      <c r="AA99" s="132"/>
      <c r="AB99" s="132"/>
      <c r="AC99" s="132"/>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809" t="s">
        <v>90</v>
      </c>
      <c r="BH99" s="807"/>
      <c r="BI99" s="807"/>
      <c r="BJ99" s="807"/>
      <c r="BK99" s="807"/>
      <c r="BL99" s="807"/>
      <c r="BM99" s="807"/>
      <c r="BN99" s="134" t="e">
        <f>ROUND(BN98/100000,2)</f>
        <v>#REF!</v>
      </c>
      <c r="BO99" s="134" t="e">
        <f>ROUND(BO98/100000,2)</f>
        <v>#REF!</v>
      </c>
      <c r="BP99" s="135"/>
    </row>
    <row r="100" spans="1:69" ht="33.75" customHeight="1" x14ac:dyDescent="0.25">
      <c r="A100" s="121"/>
      <c r="B100" s="121"/>
      <c r="C100" s="491"/>
      <c r="D100" s="488"/>
      <c r="E100" s="122"/>
      <c r="F100" s="122"/>
      <c r="G100" s="123"/>
      <c r="H100" s="124"/>
      <c r="I100" s="124"/>
      <c r="J100" s="14"/>
      <c r="K100" s="126"/>
      <c r="L100" s="122"/>
      <c r="M100" s="122"/>
      <c r="N100" s="125"/>
      <c r="O100" s="127"/>
      <c r="P100" s="128"/>
      <c r="Q100" s="128"/>
      <c r="R100" s="129"/>
      <c r="S100" s="130"/>
      <c r="T100" s="131"/>
      <c r="U100" s="131"/>
      <c r="V100" s="129"/>
      <c r="W100" s="129"/>
      <c r="X100" s="129"/>
      <c r="Y100" s="129"/>
      <c r="Z100" s="129"/>
      <c r="AA100" s="132"/>
      <c r="AB100" s="132"/>
      <c r="AC100" s="132"/>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7"/>
      <c r="BH100" s="126"/>
      <c r="BI100" s="138"/>
      <c r="BJ100" s="138"/>
      <c r="BK100" s="139"/>
      <c r="BL100" s="140"/>
      <c r="BM100" s="138"/>
      <c r="BN100" s="141"/>
      <c r="BO100" s="141"/>
      <c r="BP100" s="135"/>
    </row>
    <row r="101" spans="1:69" ht="33.75" customHeight="1" x14ac:dyDescent="0.25">
      <c r="A101" s="121"/>
      <c r="B101" s="121"/>
      <c r="C101" s="491"/>
      <c r="D101" s="488"/>
      <c r="E101" s="122"/>
      <c r="F101" s="122"/>
      <c r="G101" s="123"/>
      <c r="H101" s="124"/>
      <c r="I101" s="124"/>
      <c r="J101" s="125"/>
      <c r="K101" s="126"/>
      <c r="L101" s="122"/>
      <c r="M101" s="122"/>
      <c r="N101" s="125"/>
      <c r="O101" s="127"/>
      <c r="P101" s="128"/>
      <c r="Q101" s="128"/>
      <c r="R101" s="129"/>
      <c r="S101" s="130"/>
      <c r="T101" s="131"/>
      <c r="U101" s="131"/>
      <c r="V101" s="129"/>
      <c r="W101" s="129"/>
      <c r="X101" s="129"/>
      <c r="Y101" s="129"/>
      <c r="Z101" s="129"/>
      <c r="AA101" s="132"/>
      <c r="AB101" s="132"/>
      <c r="AC101" s="132"/>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7"/>
      <c r="BH101" s="126"/>
      <c r="BI101" s="138"/>
      <c r="BJ101" s="138"/>
      <c r="BK101" s="139"/>
      <c r="BL101" s="140"/>
      <c r="BM101" s="138"/>
      <c r="BN101" s="141"/>
      <c r="BO101" s="141"/>
      <c r="BP101" s="135"/>
    </row>
    <row r="102" spans="1:69" ht="33.75" customHeight="1" x14ac:dyDescent="0.25">
      <c r="A102" s="121"/>
      <c r="B102" s="121"/>
      <c r="C102" s="491"/>
      <c r="D102" s="488"/>
      <c r="E102" s="122"/>
      <c r="F102" s="122"/>
      <c r="G102" s="123"/>
      <c r="H102" s="124"/>
      <c r="I102" s="124"/>
      <c r="J102" s="125"/>
      <c r="K102" s="126"/>
      <c r="L102" s="122"/>
      <c r="M102" s="122"/>
      <c r="N102" s="125"/>
      <c r="O102" s="127"/>
      <c r="P102" s="128"/>
      <c r="Q102" s="128"/>
      <c r="R102" s="129"/>
      <c r="S102" s="130"/>
      <c r="T102" s="131"/>
      <c r="U102" s="131"/>
      <c r="V102" s="129"/>
      <c r="W102" s="129"/>
      <c r="X102" s="129"/>
      <c r="Y102" s="129"/>
      <c r="Z102" s="129"/>
      <c r="AA102" s="132"/>
      <c r="AB102" s="132"/>
      <c r="AC102" s="132"/>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7"/>
      <c r="BH102" s="126"/>
      <c r="BI102" s="138"/>
      <c r="BJ102" s="138"/>
      <c r="BK102" s="139"/>
      <c r="BL102" s="140"/>
      <c r="BM102" s="138"/>
      <c r="BN102" s="141"/>
      <c r="BO102" s="141"/>
      <c r="BP102" s="135"/>
    </row>
    <row r="103" spans="1:69" ht="33.75" customHeight="1" x14ac:dyDescent="0.25">
      <c r="C103" s="491"/>
      <c r="D103" s="489"/>
      <c r="E103" s="122"/>
      <c r="F103" s="126"/>
      <c r="G103" s="123"/>
      <c r="H103" s="124"/>
      <c r="I103" s="124"/>
      <c r="J103" s="125"/>
      <c r="K103" s="126"/>
      <c r="L103" s="126"/>
      <c r="M103" s="126"/>
      <c r="N103" s="125"/>
      <c r="O103" s="127"/>
      <c r="P103" s="128"/>
      <c r="Q103" s="128"/>
      <c r="R103" s="129"/>
      <c r="S103" s="130"/>
      <c r="T103" s="131"/>
      <c r="U103" s="131"/>
      <c r="V103" s="129"/>
      <c r="W103" s="129"/>
      <c r="X103" s="129"/>
      <c r="Y103" s="129"/>
      <c r="Z103" s="129"/>
      <c r="AA103" s="126"/>
      <c r="AB103" s="126"/>
      <c r="AC103" s="126"/>
      <c r="AD103" s="125"/>
      <c r="AE103" s="125"/>
      <c r="AF103" s="125"/>
      <c r="AG103" s="125"/>
      <c r="AH103" s="125"/>
      <c r="AI103" s="125"/>
      <c r="AJ103" s="125"/>
      <c r="AK103" s="125"/>
      <c r="AL103" s="125"/>
      <c r="AM103" s="125"/>
      <c r="AN103" s="125"/>
      <c r="AO103" s="125"/>
      <c r="AP103" s="125"/>
      <c r="AQ103" s="125"/>
      <c r="AR103" s="220"/>
      <c r="AS103" s="220"/>
      <c r="AT103" s="125"/>
      <c r="AU103" s="125"/>
      <c r="AV103" s="125"/>
      <c r="AW103" s="125"/>
      <c r="AX103" s="125"/>
      <c r="AY103" s="125"/>
      <c r="AZ103" s="125"/>
      <c r="BA103" s="125"/>
      <c r="BB103" s="125"/>
      <c r="BC103" s="125"/>
      <c r="BD103" s="125"/>
      <c r="BE103" s="125"/>
      <c r="BF103" s="125"/>
      <c r="BG103" s="142"/>
      <c r="BH103" s="142"/>
      <c r="BI103" s="143"/>
      <c r="BJ103" s="144"/>
      <c r="BK103" s="145"/>
      <c r="BL103" s="146"/>
      <c r="BM103" s="144"/>
      <c r="BN103" s="147"/>
      <c r="BO103" s="143"/>
      <c r="BP103" s="143"/>
    </row>
    <row r="104" spans="1:69" ht="33.75" customHeight="1" x14ac:dyDescent="0.25">
      <c r="C104" s="491"/>
      <c r="D104" s="489"/>
      <c r="E104" s="122"/>
      <c r="F104" s="126"/>
      <c r="G104" s="123"/>
      <c r="H104" s="124"/>
      <c r="I104" s="124"/>
      <c r="J104" s="125"/>
      <c r="K104" s="126"/>
      <c r="L104" s="126"/>
      <c r="M104" s="126"/>
      <c r="N104" s="125"/>
      <c r="O104" s="127"/>
      <c r="P104" s="128"/>
      <c r="Q104" s="128"/>
      <c r="R104" s="129"/>
      <c r="S104" s="130"/>
      <c r="T104" s="131"/>
      <c r="U104" s="131"/>
      <c r="V104" s="129"/>
      <c r="W104" s="129"/>
      <c r="X104" s="129"/>
      <c r="Y104" s="129"/>
      <c r="Z104" s="129"/>
      <c r="AA104" s="126"/>
      <c r="AB104" s="126"/>
      <c r="AC104" s="126"/>
      <c r="AD104" s="125"/>
      <c r="AE104" s="125"/>
      <c r="AF104" s="125"/>
      <c r="AG104" s="125"/>
      <c r="AH104" s="125"/>
      <c r="AI104" s="125"/>
      <c r="AJ104" s="125"/>
      <c r="AK104" s="125"/>
      <c r="AL104" s="125"/>
      <c r="AM104" s="125"/>
      <c r="AN104" s="125"/>
      <c r="AO104" s="125"/>
      <c r="AP104" s="125"/>
      <c r="AQ104" s="125"/>
      <c r="AR104" s="220"/>
      <c r="AS104" s="220"/>
      <c r="AT104" s="125"/>
      <c r="AU104" s="125"/>
      <c r="AV104" s="125"/>
      <c r="AW104" s="125"/>
      <c r="AX104" s="125"/>
      <c r="AY104" s="125"/>
      <c r="AZ104" s="125"/>
      <c r="BA104" s="125"/>
      <c r="BB104" s="125"/>
      <c r="BC104" s="125"/>
      <c r="BD104" s="125"/>
      <c r="BE104" s="125"/>
      <c r="BF104" s="125"/>
      <c r="BG104" s="142"/>
      <c r="BH104" s="142"/>
      <c r="BI104" s="143"/>
      <c r="BJ104" s="144"/>
      <c r="BK104" s="145"/>
      <c r="BL104" s="146"/>
      <c r="BM104" s="144"/>
      <c r="BN104" s="147"/>
      <c r="BO104" s="144"/>
      <c r="BP104" s="144"/>
    </row>
    <row r="105" spans="1:69" ht="33.75" customHeight="1" x14ac:dyDescent="0.25">
      <c r="C105" s="491"/>
      <c r="D105" s="489"/>
      <c r="E105" s="122"/>
      <c r="F105" s="126"/>
      <c r="G105" s="123"/>
      <c r="H105" s="124"/>
      <c r="I105" s="124"/>
      <c r="J105" s="125"/>
      <c r="K105" s="126"/>
      <c r="L105" s="126"/>
      <c r="M105" s="126"/>
      <c r="N105" s="125"/>
      <c r="O105" s="127"/>
      <c r="P105" s="128"/>
      <c r="Q105" s="128"/>
      <c r="R105" s="129"/>
      <c r="S105" s="130"/>
      <c r="T105" s="131"/>
      <c r="U105" s="131"/>
      <c r="V105" s="129"/>
      <c r="W105" s="129"/>
      <c r="X105" s="129"/>
      <c r="Y105" s="129"/>
      <c r="Z105" s="129"/>
      <c r="AA105" s="126"/>
      <c r="AB105" s="126"/>
      <c r="AC105" s="126"/>
      <c r="AD105" s="125"/>
      <c r="AE105" s="125"/>
      <c r="AF105" s="125"/>
      <c r="AG105" s="125"/>
      <c r="AH105" s="125"/>
      <c r="AI105" s="125"/>
      <c r="AJ105" s="125"/>
      <c r="AK105" s="125"/>
      <c r="AL105" s="125"/>
      <c r="AM105" s="125"/>
      <c r="AN105" s="125"/>
      <c r="AO105" s="125"/>
      <c r="AP105" s="125"/>
      <c r="AQ105" s="125"/>
      <c r="AR105" s="220"/>
      <c r="AS105" s="220"/>
      <c r="AT105" s="125"/>
      <c r="AU105" s="125"/>
      <c r="AV105" s="125"/>
      <c r="AW105" s="125"/>
      <c r="AX105" s="125"/>
      <c r="AY105" s="125"/>
      <c r="AZ105" s="125"/>
      <c r="BA105" s="125"/>
      <c r="BB105" s="125"/>
      <c r="BC105" s="125"/>
      <c r="BD105" s="125"/>
      <c r="BE105" s="125"/>
      <c r="BF105" s="125"/>
      <c r="BG105" s="142"/>
      <c r="BH105" s="142"/>
      <c r="BI105" s="143"/>
      <c r="BJ105" s="144"/>
      <c r="BK105" s="145"/>
      <c r="BL105" s="146"/>
      <c r="BM105" s="144"/>
      <c r="BN105" s="147"/>
      <c r="BO105" s="144"/>
      <c r="BP105" s="144"/>
    </row>
    <row r="106" spans="1:69" ht="33.75" customHeight="1" x14ac:dyDescent="0.25">
      <c r="C106" s="810"/>
      <c r="D106" s="810"/>
      <c r="E106" s="810"/>
      <c r="F106" s="810"/>
      <c r="G106" s="810"/>
      <c r="H106" s="810"/>
      <c r="I106" s="810"/>
      <c r="J106" s="810"/>
      <c r="K106" s="810"/>
      <c r="L106" s="810"/>
      <c r="M106" s="810"/>
      <c r="N106" s="810"/>
      <c r="O106" s="810"/>
      <c r="P106" s="810"/>
      <c r="Q106" s="810"/>
      <c r="R106" s="810"/>
      <c r="S106" s="810"/>
      <c r="T106" s="148"/>
      <c r="U106" s="225"/>
      <c r="V106" s="149"/>
      <c r="W106" s="149"/>
      <c r="X106" s="149"/>
      <c r="Y106" s="149"/>
      <c r="Z106" s="149"/>
      <c r="BI106" s="810" t="s">
        <v>91</v>
      </c>
      <c r="BJ106" s="810"/>
      <c r="BK106" s="810"/>
      <c r="BM106" s="810" t="s">
        <v>92</v>
      </c>
      <c r="BN106" s="810"/>
      <c r="BO106" s="810"/>
      <c r="BP106" s="150"/>
    </row>
    <row r="107" spans="1:69" ht="33.75" customHeight="1" x14ac:dyDescent="0.25">
      <c r="C107" s="810"/>
      <c r="D107" s="810"/>
      <c r="E107" s="810"/>
      <c r="F107" s="810"/>
      <c r="G107" s="810"/>
      <c r="H107" s="810"/>
      <c r="I107" s="810"/>
      <c r="J107" s="810"/>
      <c r="K107" s="810"/>
      <c r="L107" s="810"/>
      <c r="M107" s="810"/>
      <c r="N107" s="810"/>
      <c r="O107" s="810"/>
      <c r="P107" s="810"/>
      <c r="Q107" s="810"/>
      <c r="R107" s="810"/>
      <c r="S107" s="810"/>
      <c r="T107" s="148"/>
      <c r="U107" s="225"/>
      <c r="V107" s="149"/>
      <c r="W107" s="149"/>
      <c r="X107" s="149"/>
      <c r="Y107" s="149"/>
      <c r="Z107" s="149"/>
      <c r="BI107" s="810"/>
      <c r="BJ107" s="810"/>
      <c r="BK107" s="810"/>
      <c r="BM107" s="810"/>
      <c r="BN107" s="810"/>
      <c r="BO107" s="810"/>
      <c r="BP107" s="150"/>
    </row>
    <row r="108" spans="1:69" ht="33.75" customHeight="1" x14ac:dyDescent="0.25">
      <c r="C108" s="810"/>
      <c r="D108" s="810"/>
      <c r="E108" s="810"/>
      <c r="F108" s="810"/>
      <c r="G108" s="810"/>
      <c r="H108" s="810"/>
      <c r="I108" s="810"/>
      <c r="J108" s="810"/>
      <c r="K108" s="810"/>
      <c r="L108" s="810"/>
      <c r="M108" s="810"/>
      <c r="N108" s="810"/>
      <c r="O108" s="810"/>
      <c r="P108" s="810"/>
      <c r="Q108" s="810"/>
      <c r="R108" s="810"/>
      <c r="S108" s="810"/>
      <c r="T108" s="148"/>
      <c r="U108" s="225"/>
      <c r="V108" s="149"/>
      <c r="W108" s="149"/>
      <c r="X108" s="149"/>
      <c r="Y108" s="149"/>
      <c r="Z108" s="149"/>
      <c r="BI108" s="810"/>
      <c r="BJ108" s="810"/>
      <c r="BK108" s="810"/>
      <c r="BM108" s="810"/>
      <c r="BN108" s="810"/>
      <c r="BO108" s="810"/>
      <c r="BP108" s="150"/>
    </row>
    <row r="109" spans="1:69" ht="33.75" customHeight="1" x14ac:dyDescent="0.25">
      <c r="C109" s="810"/>
      <c r="D109" s="810"/>
      <c r="E109" s="810"/>
      <c r="F109" s="810"/>
      <c r="G109" s="810"/>
      <c r="H109" s="810"/>
      <c r="I109" s="810"/>
      <c r="J109" s="810"/>
      <c r="K109" s="810"/>
      <c r="L109" s="810"/>
      <c r="M109" s="810"/>
      <c r="N109" s="810"/>
      <c r="O109" s="810"/>
      <c r="P109" s="810"/>
      <c r="Q109" s="810"/>
      <c r="R109" s="810"/>
      <c r="S109" s="810"/>
      <c r="T109" s="148"/>
      <c r="U109" s="225"/>
      <c r="V109" s="149"/>
      <c r="W109" s="149"/>
      <c r="X109" s="149"/>
      <c r="Y109" s="149"/>
      <c r="Z109" s="149"/>
      <c r="BI109" s="810"/>
      <c r="BJ109" s="810"/>
      <c r="BK109" s="810"/>
      <c r="BM109" s="810"/>
      <c r="BN109" s="810"/>
      <c r="BO109" s="810"/>
      <c r="BP109" s="150"/>
    </row>
    <row r="110" spans="1:69" ht="33.75" customHeight="1" x14ac:dyDescent="0.25">
      <c r="C110" s="491"/>
      <c r="D110" s="489"/>
      <c r="E110" s="122"/>
      <c r="F110" s="126"/>
      <c r="G110" s="123"/>
      <c r="H110" s="124"/>
      <c r="I110" s="124"/>
      <c r="J110" s="125"/>
      <c r="K110" s="126"/>
      <c r="L110" s="126"/>
      <c r="M110" s="126"/>
      <c r="N110" s="125"/>
      <c r="O110" s="127"/>
      <c r="P110" s="128"/>
      <c r="Q110" s="128"/>
      <c r="R110" s="129"/>
      <c r="S110" s="130"/>
      <c r="T110" s="131"/>
      <c r="U110" s="131"/>
      <c r="V110" s="129"/>
      <c r="W110" s="129"/>
      <c r="X110" s="129"/>
      <c r="Y110" s="129"/>
      <c r="Z110" s="129"/>
      <c r="AA110" s="126"/>
      <c r="AB110" s="126"/>
      <c r="AC110" s="126"/>
      <c r="AD110" s="125"/>
      <c r="AE110" s="125"/>
      <c r="AF110" s="125"/>
      <c r="AG110" s="125"/>
      <c r="AH110" s="125"/>
      <c r="AI110" s="125"/>
      <c r="AJ110" s="125"/>
      <c r="AK110" s="125"/>
      <c r="AL110" s="125"/>
      <c r="AM110" s="125"/>
      <c r="AN110" s="125"/>
      <c r="AO110" s="125"/>
      <c r="AP110" s="125"/>
      <c r="AQ110" s="125"/>
      <c r="AR110" s="220"/>
      <c r="AS110" s="220"/>
      <c r="AT110" s="125"/>
      <c r="AU110" s="125"/>
      <c r="AV110" s="125"/>
      <c r="AW110" s="125"/>
      <c r="AX110" s="125"/>
      <c r="AY110" s="125"/>
      <c r="AZ110" s="125"/>
      <c r="BA110" s="125"/>
      <c r="BB110" s="125"/>
      <c r="BC110" s="125"/>
      <c r="BD110" s="125"/>
      <c r="BE110" s="125"/>
      <c r="BF110" s="125"/>
      <c r="BG110" s="142"/>
      <c r="BH110" s="142"/>
      <c r="BI110" s="143"/>
      <c r="BJ110" s="144"/>
      <c r="BK110" s="145"/>
      <c r="BL110" s="146"/>
      <c r="BM110" s="144"/>
      <c r="BN110" s="147"/>
      <c r="BO110" s="144"/>
      <c r="BP110" s="144"/>
    </row>
    <row r="111" spans="1:69" ht="33.75" customHeight="1" x14ac:dyDescent="0.25">
      <c r="C111" s="491"/>
      <c r="D111" s="489"/>
      <c r="E111" s="122"/>
      <c r="F111" s="126"/>
      <c r="G111" s="123"/>
      <c r="H111" s="124"/>
      <c r="I111" s="124"/>
      <c r="J111" s="125"/>
      <c r="K111" s="126"/>
      <c r="L111" s="126"/>
      <c r="M111" s="126"/>
      <c r="N111" s="125"/>
      <c r="O111" s="127"/>
      <c r="P111" s="128"/>
      <c r="Q111" s="128"/>
      <c r="R111" s="129"/>
      <c r="S111" s="130"/>
      <c r="T111" s="131"/>
      <c r="U111" s="131"/>
      <c r="V111" s="129"/>
      <c r="W111" s="129"/>
      <c r="X111" s="129"/>
      <c r="Y111" s="129"/>
      <c r="Z111" s="129"/>
      <c r="AA111" s="126"/>
      <c r="AB111" s="126"/>
      <c r="AC111" s="126"/>
      <c r="AD111" s="125"/>
      <c r="AE111" s="125"/>
      <c r="AF111" s="125"/>
      <c r="AG111" s="125"/>
      <c r="AH111" s="125"/>
      <c r="AI111" s="125"/>
      <c r="AJ111" s="125"/>
      <c r="AK111" s="125"/>
      <c r="AL111" s="125"/>
      <c r="AM111" s="125"/>
      <c r="AN111" s="125"/>
      <c r="AO111" s="125"/>
      <c r="AP111" s="125"/>
      <c r="AQ111" s="125"/>
      <c r="AR111" s="220"/>
      <c r="AS111" s="220"/>
      <c r="AT111" s="125"/>
      <c r="AU111" s="125"/>
      <c r="AV111" s="125"/>
      <c r="AW111" s="125"/>
      <c r="AX111" s="125"/>
      <c r="AY111" s="125"/>
      <c r="AZ111" s="125"/>
      <c r="BA111" s="125"/>
      <c r="BB111" s="125"/>
      <c r="BC111" s="125"/>
      <c r="BD111" s="125"/>
      <c r="BE111" s="125"/>
      <c r="BF111" s="125"/>
      <c r="BG111" s="142"/>
      <c r="BH111" s="142"/>
      <c r="BI111" s="143"/>
      <c r="BJ111" s="144"/>
      <c r="BK111" s="145"/>
      <c r="BL111" s="146"/>
      <c r="BM111" s="144"/>
      <c r="BN111" s="147"/>
      <c r="BO111" s="144"/>
      <c r="BP111" s="144"/>
    </row>
    <row r="112" spans="1:69" ht="33.75" customHeight="1" x14ac:dyDescent="0.25">
      <c r="C112" s="491"/>
      <c r="D112" s="489"/>
      <c r="E112" s="122"/>
      <c r="F112" s="126"/>
      <c r="G112" s="123"/>
      <c r="H112" s="124"/>
      <c r="I112" s="124"/>
      <c r="J112" s="125"/>
      <c r="K112" s="126"/>
      <c r="L112" s="126"/>
      <c r="M112" s="126"/>
      <c r="N112" s="125"/>
      <c r="O112" s="127"/>
      <c r="P112" s="128"/>
      <c r="Q112" s="128"/>
      <c r="R112" s="129"/>
      <c r="S112" s="130"/>
      <c r="T112" s="131"/>
      <c r="U112" s="131"/>
      <c r="V112" s="129"/>
      <c r="W112" s="129"/>
      <c r="X112" s="129"/>
      <c r="Y112" s="129"/>
      <c r="Z112" s="129"/>
      <c r="AA112" s="126"/>
      <c r="AB112" s="126"/>
      <c r="AC112" s="126"/>
      <c r="AD112" s="125"/>
      <c r="AE112" s="125"/>
      <c r="AF112" s="125"/>
      <c r="AG112" s="125"/>
      <c r="AH112" s="125"/>
      <c r="AI112" s="125"/>
      <c r="AJ112" s="125"/>
      <c r="AK112" s="125"/>
      <c r="AL112" s="125"/>
      <c r="AM112" s="125"/>
      <c r="AN112" s="125"/>
      <c r="AO112" s="125"/>
      <c r="AP112" s="125"/>
      <c r="AQ112" s="125"/>
      <c r="AR112" s="220"/>
      <c r="AS112" s="220"/>
      <c r="AT112" s="125"/>
      <c r="AU112" s="125"/>
      <c r="AV112" s="125"/>
      <c r="AW112" s="125"/>
      <c r="AX112" s="125"/>
      <c r="AY112" s="125"/>
      <c r="AZ112" s="125"/>
      <c r="BA112" s="125"/>
      <c r="BB112" s="125"/>
      <c r="BC112" s="125"/>
      <c r="BD112" s="125"/>
      <c r="BE112" s="125"/>
      <c r="BF112" s="125"/>
      <c r="BG112" s="142"/>
      <c r="BH112" s="142"/>
      <c r="BI112" s="143"/>
      <c r="BJ112" s="144"/>
      <c r="BK112" s="145"/>
      <c r="BL112" s="146"/>
      <c r="BM112" s="144"/>
      <c r="BN112" s="147"/>
      <c r="BO112" s="144"/>
      <c r="BP112" s="144"/>
    </row>
    <row r="113" spans="1:68" ht="33.75" customHeight="1" x14ac:dyDescent="0.25">
      <c r="C113" s="491"/>
      <c r="D113" s="489"/>
      <c r="E113" s="122"/>
      <c r="F113" s="126"/>
      <c r="G113" s="123"/>
      <c r="H113" s="124"/>
      <c r="I113" s="124"/>
      <c r="J113" s="125"/>
      <c r="K113" s="126"/>
      <c r="L113" s="126"/>
      <c r="M113" s="126"/>
      <c r="N113" s="125"/>
      <c r="O113" s="127"/>
      <c r="P113" s="128"/>
      <c r="Q113" s="128"/>
      <c r="R113" s="129"/>
      <c r="S113" s="130"/>
      <c r="T113" s="131"/>
      <c r="U113" s="131"/>
      <c r="V113" s="129"/>
      <c r="W113" s="129"/>
      <c r="X113" s="129"/>
      <c r="Y113" s="129"/>
      <c r="Z113" s="129"/>
      <c r="AA113" s="126"/>
      <c r="AB113" s="126"/>
      <c r="AC113" s="126"/>
      <c r="AD113" s="125"/>
      <c r="AE113" s="125"/>
      <c r="AF113" s="125"/>
      <c r="AG113" s="125"/>
      <c r="AH113" s="125"/>
      <c r="AI113" s="125"/>
      <c r="AJ113" s="125"/>
      <c r="AK113" s="125"/>
      <c r="AL113" s="125"/>
      <c r="AM113" s="125"/>
      <c r="AN113" s="125"/>
      <c r="AO113" s="125"/>
      <c r="AP113" s="125"/>
      <c r="AQ113" s="125"/>
      <c r="AR113" s="220"/>
      <c r="AS113" s="220"/>
      <c r="AT113" s="125"/>
      <c r="AU113" s="125"/>
      <c r="AV113" s="125"/>
      <c r="AW113" s="125"/>
      <c r="AX113" s="125"/>
      <c r="AY113" s="125"/>
      <c r="AZ113" s="125"/>
      <c r="BA113" s="125"/>
      <c r="BB113" s="125"/>
      <c r="BC113" s="125"/>
      <c r="BD113" s="125"/>
      <c r="BE113" s="125"/>
      <c r="BF113" s="125"/>
      <c r="BG113" s="142"/>
      <c r="BH113" s="142"/>
      <c r="BI113" s="143"/>
      <c r="BJ113" s="144"/>
      <c r="BK113" s="145"/>
      <c r="BL113" s="146"/>
      <c r="BM113" s="144"/>
      <c r="BN113" s="147"/>
      <c r="BO113" s="144"/>
      <c r="BP113" s="144"/>
    </row>
    <row r="114" spans="1:68" ht="33.75" customHeight="1" x14ac:dyDescent="0.25">
      <c r="C114" s="491"/>
      <c r="D114" s="489"/>
      <c r="E114" s="122"/>
      <c r="F114" s="126"/>
      <c r="G114" s="123"/>
      <c r="H114" s="124"/>
      <c r="I114" s="124"/>
      <c r="J114" s="125"/>
      <c r="K114" s="126"/>
      <c r="L114" s="126"/>
      <c r="M114" s="126"/>
      <c r="N114" s="125"/>
      <c r="O114" s="127"/>
      <c r="P114" s="128"/>
      <c r="Q114" s="128"/>
      <c r="R114" s="129"/>
      <c r="S114" s="130"/>
      <c r="T114" s="131"/>
      <c r="U114" s="131"/>
      <c r="V114" s="129"/>
      <c r="W114" s="129"/>
      <c r="X114" s="129"/>
      <c r="Y114" s="129"/>
      <c r="Z114" s="129"/>
      <c r="AA114" s="126"/>
      <c r="AB114" s="126"/>
      <c r="AC114" s="126"/>
      <c r="AD114" s="125"/>
      <c r="AE114" s="125"/>
      <c r="AF114" s="125"/>
      <c r="AG114" s="125"/>
      <c r="AH114" s="125"/>
      <c r="AI114" s="125"/>
      <c r="AJ114" s="125"/>
      <c r="AK114" s="125"/>
      <c r="AL114" s="125"/>
      <c r="AM114" s="125"/>
      <c r="AN114" s="125"/>
      <c r="AO114" s="125"/>
      <c r="AP114" s="125"/>
      <c r="AQ114" s="125"/>
      <c r="AR114" s="220"/>
      <c r="AS114" s="220"/>
      <c r="AT114" s="125"/>
      <c r="AU114" s="125"/>
      <c r="AV114" s="125"/>
      <c r="AW114" s="125"/>
      <c r="AX114" s="125"/>
      <c r="AY114" s="125"/>
      <c r="AZ114" s="125"/>
      <c r="BA114" s="125"/>
      <c r="BB114" s="125"/>
      <c r="BC114" s="125"/>
      <c r="BD114" s="125"/>
      <c r="BE114" s="125"/>
      <c r="BF114" s="125"/>
      <c r="BG114" s="142"/>
      <c r="BH114" s="142"/>
      <c r="BI114" s="143"/>
      <c r="BJ114" s="144"/>
      <c r="BK114" s="145"/>
      <c r="BL114" s="146"/>
      <c r="BM114" s="144"/>
      <c r="BN114" s="147"/>
      <c r="BO114" s="144"/>
      <c r="BP114" s="144"/>
    </row>
    <row r="115" spans="1:68" ht="33.75" customHeight="1" x14ac:dyDescent="0.25">
      <c r="C115" s="491"/>
      <c r="D115" s="489"/>
      <c r="E115" s="122"/>
      <c r="F115" s="126"/>
      <c r="G115" s="123"/>
      <c r="H115" s="124"/>
      <c r="I115" s="124"/>
      <c r="J115" s="125"/>
      <c r="K115" s="126"/>
      <c r="L115" s="126"/>
      <c r="M115" s="126"/>
      <c r="N115" s="125"/>
      <c r="O115" s="127"/>
      <c r="P115" s="128"/>
      <c r="Q115" s="128"/>
      <c r="R115" s="129"/>
      <c r="S115" s="130"/>
      <c r="T115" s="131"/>
      <c r="U115" s="131"/>
      <c r="V115" s="129"/>
      <c r="W115" s="129"/>
      <c r="X115" s="129"/>
      <c r="Y115" s="129"/>
      <c r="Z115" s="129"/>
      <c r="AA115" s="126"/>
      <c r="AB115" s="126"/>
      <c r="AC115" s="126"/>
      <c r="AD115" s="125"/>
      <c r="AE115" s="125"/>
      <c r="AF115" s="125"/>
      <c r="AG115" s="125"/>
      <c r="AH115" s="125"/>
      <c r="AI115" s="125"/>
      <c r="AJ115" s="125"/>
      <c r="AK115" s="125"/>
      <c r="AL115" s="125"/>
      <c r="AM115" s="125"/>
      <c r="AN115" s="125"/>
      <c r="AO115" s="125"/>
      <c r="AP115" s="125"/>
      <c r="AQ115" s="125"/>
      <c r="AR115" s="220"/>
      <c r="AS115" s="220"/>
      <c r="AT115" s="125"/>
      <c r="AU115" s="125"/>
      <c r="AV115" s="125"/>
      <c r="AW115" s="125"/>
      <c r="AX115" s="125"/>
      <c r="AY115" s="125"/>
      <c r="AZ115" s="125"/>
      <c r="BA115" s="125"/>
      <c r="BB115" s="125"/>
      <c r="BC115" s="125"/>
      <c r="BD115" s="125"/>
      <c r="BE115" s="125"/>
      <c r="BF115" s="125"/>
      <c r="BG115" s="142"/>
      <c r="BI115" s="143"/>
      <c r="BJ115" s="144"/>
      <c r="BK115" s="145"/>
      <c r="BL115" s="146"/>
      <c r="BM115" s="144"/>
      <c r="BN115" s="147"/>
      <c r="BO115" s="144"/>
      <c r="BP115" s="144"/>
    </row>
    <row r="116" spans="1:68" ht="33.75" customHeight="1" x14ac:dyDescent="0.25">
      <c r="C116" s="491"/>
      <c r="D116" s="489"/>
      <c r="E116" s="122"/>
      <c r="F116" s="126"/>
      <c r="G116" s="123"/>
      <c r="H116" s="124"/>
      <c r="I116" s="124"/>
      <c r="J116" s="125"/>
      <c r="K116" s="126"/>
      <c r="L116" s="126"/>
      <c r="M116" s="126"/>
      <c r="N116" s="125"/>
      <c r="O116" s="127"/>
      <c r="P116" s="128"/>
      <c r="Q116" s="128"/>
      <c r="R116" s="129"/>
      <c r="S116" s="130"/>
      <c r="T116" s="131"/>
      <c r="U116" s="131"/>
      <c r="V116" s="129"/>
      <c r="W116" s="129"/>
      <c r="X116" s="129"/>
      <c r="Y116" s="129"/>
      <c r="Z116" s="129"/>
      <c r="AA116" s="126"/>
      <c r="AB116" s="126"/>
      <c r="AC116" s="126"/>
      <c r="AD116" s="125"/>
      <c r="AE116" s="125"/>
      <c r="AF116" s="125"/>
      <c r="AG116" s="125"/>
      <c r="AH116" s="125"/>
      <c r="AI116" s="125"/>
      <c r="AJ116" s="125"/>
      <c r="AK116" s="125"/>
      <c r="AL116" s="125"/>
      <c r="AM116" s="125"/>
      <c r="AN116" s="125"/>
      <c r="AO116" s="125"/>
      <c r="AP116" s="125"/>
      <c r="AQ116" s="125"/>
      <c r="AR116" s="220"/>
      <c r="AS116" s="220"/>
      <c r="AT116" s="125"/>
      <c r="AU116" s="125"/>
      <c r="AV116" s="125"/>
      <c r="AW116" s="125"/>
      <c r="AX116" s="125"/>
      <c r="AY116" s="125"/>
      <c r="AZ116" s="125"/>
      <c r="BA116" s="125"/>
      <c r="BB116" s="125"/>
      <c r="BC116" s="125"/>
      <c r="BD116" s="125"/>
      <c r="BE116" s="125"/>
      <c r="BF116" s="125"/>
      <c r="BG116" s="142"/>
      <c r="BH116" s="151"/>
      <c r="BI116" s="143"/>
      <c r="BJ116" s="144"/>
      <c r="BK116" s="145"/>
      <c r="BL116" s="146"/>
      <c r="BM116" s="144"/>
      <c r="BN116" s="147"/>
      <c r="BO116" s="144"/>
      <c r="BP116" s="144"/>
    </row>
    <row r="117" spans="1:68" ht="33.75" customHeight="1" x14ac:dyDescent="0.25">
      <c r="C117" s="491"/>
      <c r="D117" s="489"/>
      <c r="E117" s="122"/>
      <c r="F117" s="126"/>
      <c r="G117" s="123"/>
      <c r="H117" s="124"/>
      <c r="I117" s="124"/>
      <c r="J117" s="125"/>
      <c r="K117" s="126"/>
      <c r="L117" s="126"/>
      <c r="M117" s="126"/>
      <c r="N117" s="125"/>
      <c r="O117" s="127"/>
      <c r="P117" s="128"/>
      <c r="Q117" s="128"/>
      <c r="R117" s="129"/>
      <c r="S117" s="130"/>
      <c r="T117" s="131"/>
      <c r="U117" s="131"/>
      <c r="V117" s="129"/>
      <c r="W117" s="129"/>
      <c r="X117" s="129"/>
      <c r="Y117" s="129"/>
      <c r="Z117" s="129"/>
      <c r="AA117" s="126"/>
      <c r="AB117" s="126"/>
      <c r="AC117" s="126"/>
      <c r="AD117" s="125"/>
      <c r="AE117" s="125"/>
      <c r="AF117" s="125"/>
      <c r="AG117" s="125"/>
      <c r="AH117" s="125"/>
      <c r="AI117" s="125"/>
      <c r="AJ117" s="125"/>
      <c r="AK117" s="125"/>
      <c r="AL117" s="125"/>
      <c r="AM117" s="125"/>
      <c r="AN117" s="125"/>
      <c r="AO117" s="125"/>
      <c r="AP117" s="125"/>
      <c r="AQ117" s="125"/>
      <c r="AR117" s="220"/>
      <c r="AS117" s="220"/>
      <c r="AT117" s="125"/>
      <c r="AU117" s="125"/>
      <c r="AV117" s="125"/>
      <c r="AW117" s="125"/>
      <c r="AX117" s="125"/>
      <c r="AY117" s="125"/>
      <c r="AZ117" s="125"/>
      <c r="BA117" s="125"/>
      <c r="BB117" s="125"/>
      <c r="BC117" s="125"/>
      <c r="BD117" s="125"/>
      <c r="BE117" s="125"/>
      <c r="BF117" s="125"/>
      <c r="BG117" s="142"/>
      <c r="BH117" s="152"/>
      <c r="BI117" s="143"/>
      <c r="BJ117" s="144"/>
      <c r="BK117" s="145"/>
      <c r="BL117" s="146"/>
      <c r="BM117" s="144"/>
      <c r="BN117" s="147"/>
      <c r="BO117" s="144"/>
      <c r="BP117" s="144"/>
    </row>
    <row r="118" spans="1:68" ht="33.75" customHeight="1" x14ac:dyDescent="0.25">
      <c r="C118" s="491"/>
      <c r="D118" s="489"/>
      <c r="E118" s="122"/>
      <c r="F118" s="126"/>
      <c r="G118" s="123"/>
      <c r="H118" s="124"/>
      <c r="I118" s="124"/>
      <c r="J118" s="125"/>
      <c r="K118" s="126"/>
      <c r="L118" s="126"/>
      <c r="M118" s="126"/>
      <c r="N118" s="125"/>
      <c r="O118" s="127"/>
      <c r="P118" s="128"/>
      <c r="Q118" s="128"/>
      <c r="R118" s="129"/>
      <c r="S118" s="130"/>
      <c r="T118" s="131"/>
      <c r="U118" s="131"/>
      <c r="V118" s="129"/>
      <c r="W118" s="129"/>
      <c r="X118" s="129"/>
      <c r="Y118" s="129"/>
      <c r="Z118" s="129"/>
      <c r="AA118" s="126"/>
      <c r="AB118" s="126"/>
      <c r="AC118" s="126"/>
      <c r="AD118" s="125"/>
      <c r="AE118" s="125"/>
      <c r="AF118" s="125"/>
      <c r="AG118" s="125"/>
      <c r="AH118" s="125"/>
      <c r="AI118" s="125"/>
      <c r="AJ118" s="125"/>
      <c r="AK118" s="125"/>
      <c r="AL118" s="125"/>
      <c r="AM118" s="125"/>
      <c r="AN118" s="125"/>
      <c r="AO118" s="125"/>
      <c r="AP118" s="125"/>
      <c r="AQ118" s="125"/>
      <c r="AR118" s="220"/>
      <c r="AS118" s="220"/>
      <c r="AT118" s="125"/>
      <c r="AU118" s="125"/>
      <c r="AV118" s="125"/>
      <c r="AW118" s="125"/>
      <c r="AX118" s="125"/>
      <c r="AY118" s="125"/>
      <c r="AZ118" s="125"/>
      <c r="BA118" s="125"/>
      <c r="BB118" s="125"/>
      <c r="BC118" s="125"/>
      <c r="BD118" s="125"/>
      <c r="BE118" s="125"/>
      <c r="BF118" s="125"/>
      <c r="BG118" s="142"/>
      <c r="BH118" s="152"/>
      <c r="BI118" s="143"/>
      <c r="BJ118" s="144"/>
      <c r="BK118" s="145"/>
      <c r="BL118" s="146"/>
      <c r="BM118" s="144"/>
      <c r="BN118" s="147"/>
      <c r="BO118" s="144"/>
      <c r="BP118" s="144"/>
    </row>
    <row r="119" spans="1:68" ht="33.75" customHeight="1" x14ac:dyDescent="0.25">
      <c r="C119" s="491"/>
      <c r="D119" s="489"/>
      <c r="E119" s="122"/>
      <c r="F119" s="126"/>
      <c r="G119" s="123"/>
      <c r="H119" s="124"/>
      <c r="I119" s="124"/>
      <c r="J119" s="125"/>
      <c r="K119" s="126"/>
      <c r="L119" s="126"/>
      <c r="M119" s="126"/>
      <c r="N119" s="125"/>
      <c r="O119" s="127"/>
      <c r="P119" s="128"/>
      <c r="Q119" s="128"/>
      <c r="R119" s="129"/>
      <c r="S119" s="130"/>
      <c r="T119" s="131"/>
      <c r="U119" s="131"/>
      <c r="V119" s="129"/>
      <c r="W119" s="129"/>
      <c r="X119" s="129"/>
      <c r="Y119" s="129"/>
      <c r="Z119" s="129"/>
      <c r="AA119" s="126"/>
      <c r="AB119" s="126"/>
      <c r="AC119" s="126"/>
      <c r="AD119" s="125"/>
      <c r="AE119" s="125"/>
      <c r="AF119" s="125"/>
      <c r="AG119" s="125"/>
      <c r="AH119" s="125"/>
      <c r="AI119" s="125"/>
      <c r="AJ119" s="125"/>
      <c r="AK119" s="125"/>
      <c r="AL119" s="125"/>
      <c r="AM119" s="125"/>
      <c r="AN119" s="125"/>
      <c r="AO119" s="125"/>
      <c r="AP119" s="125"/>
      <c r="AQ119" s="125"/>
      <c r="AR119" s="220"/>
      <c r="AS119" s="220"/>
      <c r="AT119" s="125"/>
      <c r="AU119" s="125"/>
      <c r="AV119" s="125"/>
      <c r="AW119" s="125"/>
      <c r="AX119" s="125"/>
      <c r="AY119" s="125"/>
      <c r="AZ119" s="125"/>
      <c r="BA119" s="125"/>
      <c r="BB119" s="125"/>
      <c r="BC119" s="125"/>
      <c r="BD119" s="125"/>
      <c r="BE119" s="125"/>
      <c r="BF119" s="125"/>
      <c r="BG119" s="142"/>
      <c r="BH119" s="152"/>
      <c r="BI119" s="143"/>
      <c r="BJ119" s="144"/>
      <c r="BK119" s="145"/>
      <c r="BL119" s="146"/>
      <c r="BM119" s="144"/>
      <c r="BN119" s="147"/>
      <c r="BO119" s="144"/>
      <c r="BP119" s="144"/>
    </row>
    <row r="120" spans="1:68" ht="33.75" customHeight="1" x14ac:dyDescent="0.25">
      <c r="C120" s="491"/>
      <c r="D120" s="489"/>
      <c r="E120" s="122"/>
      <c r="F120" s="126"/>
      <c r="G120" s="123"/>
      <c r="H120" s="124"/>
      <c r="I120" s="124"/>
      <c r="J120" s="125"/>
      <c r="K120" s="126"/>
      <c r="L120" s="126"/>
      <c r="M120" s="126"/>
      <c r="N120" s="125"/>
      <c r="O120" s="127"/>
      <c r="P120" s="128"/>
      <c r="Q120" s="128"/>
      <c r="R120" s="129"/>
      <c r="S120" s="130"/>
      <c r="T120" s="131"/>
      <c r="U120" s="131"/>
      <c r="V120" s="129"/>
      <c r="W120" s="129"/>
      <c r="X120" s="129"/>
      <c r="Y120" s="129"/>
      <c r="Z120" s="129"/>
      <c r="AA120" s="126"/>
      <c r="AB120" s="126"/>
      <c r="AC120" s="126"/>
      <c r="AD120" s="125"/>
      <c r="AE120" s="125"/>
      <c r="AF120" s="125"/>
      <c r="AG120" s="125"/>
      <c r="AH120" s="125"/>
      <c r="AI120" s="125"/>
      <c r="AJ120" s="125"/>
      <c r="AK120" s="125"/>
      <c r="AL120" s="125"/>
      <c r="AM120" s="125"/>
      <c r="AN120" s="125"/>
      <c r="AO120" s="125"/>
      <c r="AP120" s="125"/>
      <c r="AQ120" s="125"/>
      <c r="AR120" s="220"/>
      <c r="AS120" s="220"/>
      <c r="AT120" s="125"/>
      <c r="AU120" s="125"/>
      <c r="AV120" s="125"/>
      <c r="AW120" s="125"/>
      <c r="AX120" s="125"/>
      <c r="AY120" s="125"/>
      <c r="AZ120" s="125"/>
      <c r="BA120" s="125"/>
      <c r="BB120" s="125"/>
      <c r="BC120" s="125"/>
      <c r="BD120" s="125"/>
      <c r="BE120" s="125"/>
      <c r="BF120" s="125"/>
      <c r="BG120" s="142"/>
      <c r="BH120" s="152"/>
      <c r="BI120" s="143"/>
      <c r="BJ120" s="144"/>
      <c r="BK120" s="145"/>
      <c r="BL120" s="146"/>
      <c r="BM120" s="144"/>
      <c r="BN120" s="147"/>
      <c r="BO120" s="144"/>
      <c r="BP120" s="144"/>
    </row>
    <row r="121" spans="1:68" ht="33.75" customHeight="1" x14ac:dyDescent="0.25">
      <c r="C121" s="491"/>
      <c r="D121" s="489"/>
      <c r="E121" s="122"/>
      <c r="F121" s="126"/>
      <c r="G121" s="123"/>
      <c r="H121" s="124"/>
      <c r="I121" s="124"/>
      <c r="J121" s="125"/>
      <c r="K121" s="126"/>
      <c r="L121" s="126"/>
      <c r="M121" s="126"/>
      <c r="N121" s="125"/>
      <c r="O121" s="127"/>
      <c r="P121" s="128"/>
      <c r="Q121" s="128"/>
      <c r="R121" s="129"/>
      <c r="S121" s="130"/>
      <c r="T121" s="131"/>
      <c r="U121" s="131"/>
      <c r="V121" s="129"/>
      <c r="W121" s="129"/>
      <c r="X121" s="129"/>
      <c r="Y121" s="129"/>
      <c r="Z121" s="129"/>
      <c r="AA121" s="126"/>
      <c r="AB121" s="126"/>
      <c r="AC121" s="126"/>
      <c r="AD121" s="125"/>
      <c r="AE121" s="125"/>
      <c r="AF121" s="125"/>
      <c r="AG121" s="125"/>
      <c r="AH121" s="125"/>
      <c r="AI121" s="125"/>
      <c r="AJ121" s="125"/>
      <c r="AK121" s="125"/>
      <c r="AL121" s="125"/>
      <c r="AM121" s="125"/>
      <c r="AN121" s="125"/>
      <c r="AO121" s="125"/>
      <c r="AP121" s="125"/>
      <c r="AQ121" s="125"/>
      <c r="AR121" s="220"/>
      <c r="AS121" s="220"/>
      <c r="AT121" s="125"/>
      <c r="AU121" s="125"/>
      <c r="AV121" s="125"/>
      <c r="AW121" s="125"/>
      <c r="AX121" s="125"/>
      <c r="AY121" s="125"/>
      <c r="AZ121" s="125"/>
      <c r="BA121" s="125"/>
      <c r="BB121" s="125"/>
      <c r="BC121" s="125"/>
      <c r="BD121" s="125"/>
      <c r="BE121" s="125"/>
      <c r="BF121" s="125"/>
      <c r="BG121" s="142"/>
      <c r="BH121" s="152"/>
      <c r="BI121" s="143"/>
      <c r="BJ121" s="144"/>
      <c r="BK121" s="145"/>
      <c r="BL121" s="146"/>
      <c r="BM121" s="144"/>
      <c r="BN121" s="147"/>
      <c r="BO121" s="144"/>
      <c r="BP121" s="144"/>
    </row>
    <row r="122" spans="1:68" ht="33.75" customHeight="1" x14ac:dyDescent="0.25">
      <c r="C122" s="491"/>
      <c r="D122" s="489"/>
      <c r="E122" s="122"/>
      <c r="F122" s="126"/>
      <c r="G122" s="123"/>
      <c r="H122" s="124"/>
      <c r="I122" s="124"/>
      <c r="J122" s="125"/>
      <c r="K122" s="126"/>
      <c r="L122" s="126"/>
      <c r="M122" s="126"/>
      <c r="N122" s="125"/>
      <c r="O122" s="127"/>
      <c r="P122" s="128"/>
      <c r="Q122" s="128"/>
      <c r="R122" s="129"/>
      <c r="S122" s="130"/>
      <c r="T122" s="131"/>
      <c r="U122" s="131"/>
      <c r="V122" s="129"/>
      <c r="W122" s="129"/>
      <c r="X122" s="129"/>
      <c r="Y122" s="129"/>
      <c r="Z122" s="129"/>
      <c r="AA122" s="126"/>
      <c r="AB122" s="126"/>
      <c r="AC122" s="126"/>
      <c r="AD122" s="125"/>
      <c r="AE122" s="125"/>
      <c r="AF122" s="125"/>
      <c r="AG122" s="125"/>
      <c r="AH122" s="125"/>
      <c r="AI122" s="125"/>
      <c r="AJ122" s="125"/>
      <c r="AK122" s="125"/>
      <c r="AL122" s="125"/>
      <c r="AM122" s="125"/>
      <c r="AN122" s="125"/>
      <c r="AO122" s="125"/>
      <c r="AP122" s="125"/>
      <c r="AQ122" s="125"/>
      <c r="AR122" s="220"/>
      <c r="AS122" s="220"/>
      <c r="AT122" s="125"/>
      <c r="AU122" s="125"/>
      <c r="AV122" s="125"/>
      <c r="AW122" s="125"/>
      <c r="AX122" s="125"/>
      <c r="AY122" s="125"/>
      <c r="AZ122" s="125"/>
      <c r="BA122" s="125"/>
      <c r="BB122" s="125"/>
      <c r="BC122" s="125"/>
      <c r="BD122" s="125"/>
      <c r="BE122" s="125"/>
      <c r="BF122" s="125"/>
      <c r="BG122" s="142"/>
      <c r="BH122" s="151"/>
      <c r="BI122" s="143"/>
      <c r="BJ122" s="144"/>
      <c r="BK122" s="145"/>
      <c r="BL122" s="146"/>
      <c r="BM122" s="144"/>
      <c r="BN122" s="147"/>
      <c r="BO122" s="144"/>
      <c r="BP122" s="144"/>
    </row>
    <row r="123" spans="1:68" ht="33.75" customHeight="1" x14ac:dyDescent="0.25">
      <c r="C123" s="491"/>
      <c r="D123" s="489"/>
      <c r="E123" s="122"/>
      <c r="F123" s="126"/>
      <c r="G123" s="123"/>
      <c r="H123" s="124"/>
      <c r="I123" s="124"/>
      <c r="J123" s="125"/>
      <c r="K123" s="126"/>
      <c r="L123" s="126"/>
      <c r="M123" s="126"/>
      <c r="N123" s="125"/>
      <c r="O123" s="127"/>
      <c r="P123" s="128"/>
      <c r="Q123" s="128"/>
      <c r="R123" s="129"/>
      <c r="S123" s="130"/>
      <c r="T123" s="131"/>
      <c r="U123" s="131"/>
      <c r="V123" s="129"/>
      <c r="W123" s="129"/>
      <c r="X123" s="129"/>
      <c r="Y123" s="129"/>
      <c r="Z123" s="129"/>
      <c r="AA123" s="126"/>
      <c r="AB123" s="126"/>
      <c r="AC123" s="126"/>
      <c r="AD123" s="125"/>
      <c r="AE123" s="125"/>
      <c r="AF123" s="125"/>
      <c r="AG123" s="125"/>
      <c r="AH123" s="125"/>
      <c r="AI123" s="125"/>
      <c r="AJ123" s="125"/>
      <c r="AK123" s="125"/>
      <c r="AL123" s="125"/>
      <c r="AM123" s="125"/>
      <c r="AN123" s="125"/>
      <c r="AO123" s="125"/>
      <c r="AP123" s="125"/>
      <c r="AQ123" s="125"/>
      <c r="AR123" s="220"/>
      <c r="AS123" s="220"/>
      <c r="AT123" s="125"/>
      <c r="AU123" s="125"/>
      <c r="AV123" s="125"/>
      <c r="AW123" s="125"/>
      <c r="AX123" s="125"/>
      <c r="AY123" s="125"/>
      <c r="AZ123" s="125"/>
      <c r="BA123" s="125"/>
      <c r="BB123" s="125"/>
      <c r="BC123" s="125"/>
      <c r="BD123" s="125"/>
      <c r="BE123" s="125"/>
      <c r="BF123" s="125"/>
      <c r="BG123" s="142"/>
      <c r="BH123" s="151"/>
      <c r="BI123" s="143"/>
      <c r="BJ123" s="144"/>
      <c r="BK123" s="145"/>
      <c r="BL123" s="146"/>
      <c r="BM123" s="144"/>
      <c r="BN123" s="147"/>
      <c r="BO123" s="144"/>
      <c r="BP123" s="144"/>
    </row>
    <row r="124" spans="1:68" ht="33.75" customHeight="1" x14ac:dyDescent="0.25">
      <c r="C124" s="491"/>
      <c r="D124" s="489"/>
      <c r="E124" s="122"/>
      <c r="F124" s="126"/>
      <c r="G124" s="123"/>
      <c r="H124" s="124"/>
      <c r="I124" s="124"/>
      <c r="J124" s="125"/>
      <c r="K124" s="126"/>
      <c r="L124" s="126"/>
      <c r="M124" s="126"/>
      <c r="N124" s="125"/>
      <c r="O124" s="127"/>
      <c r="P124" s="128"/>
      <c r="Q124" s="128"/>
      <c r="R124" s="129"/>
      <c r="S124" s="130"/>
      <c r="T124" s="131"/>
      <c r="U124" s="131"/>
      <c r="V124" s="129"/>
      <c r="W124" s="129"/>
      <c r="X124" s="129"/>
      <c r="Y124" s="129"/>
      <c r="Z124" s="129"/>
      <c r="AA124" s="126"/>
      <c r="AB124" s="126"/>
      <c r="AC124" s="126"/>
      <c r="AD124" s="125"/>
      <c r="AE124" s="125"/>
      <c r="AF124" s="125"/>
      <c r="AG124" s="125"/>
      <c r="AH124" s="125"/>
      <c r="AI124" s="125"/>
      <c r="AJ124" s="125"/>
      <c r="AK124" s="125"/>
      <c r="AL124" s="125"/>
      <c r="AM124" s="125"/>
      <c r="AN124" s="125"/>
      <c r="AO124" s="125"/>
      <c r="AP124" s="125"/>
      <c r="AQ124" s="125"/>
      <c r="AR124" s="220"/>
      <c r="AS124" s="220"/>
      <c r="AT124" s="125"/>
      <c r="AU124" s="125"/>
      <c r="AV124" s="125"/>
      <c r="AW124" s="125"/>
      <c r="AX124" s="125"/>
      <c r="AY124" s="125"/>
      <c r="AZ124" s="125"/>
      <c r="BA124" s="125"/>
      <c r="BB124" s="125"/>
      <c r="BC124" s="125"/>
      <c r="BD124" s="125"/>
      <c r="BE124" s="125"/>
      <c r="BF124" s="125"/>
      <c r="BG124" s="142"/>
      <c r="BI124" s="143"/>
      <c r="BJ124" s="144"/>
      <c r="BK124" s="145"/>
      <c r="BL124" s="146"/>
      <c r="BM124" s="144"/>
      <c r="BN124" s="147"/>
      <c r="BO124" s="144"/>
      <c r="BP124" s="144"/>
    </row>
    <row r="125" spans="1:68" ht="33.75" customHeight="1" x14ac:dyDescent="0.25">
      <c r="C125" s="491"/>
      <c r="D125" s="489"/>
      <c r="E125" s="122"/>
      <c r="F125" s="126"/>
      <c r="G125" s="123"/>
      <c r="H125" s="124"/>
      <c r="I125" s="124"/>
      <c r="J125" s="125"/>
      <c r="K125" s="126"/>
      <c r="L125" s="126"/>
      <c r="M125" s="126"/>
      <c r="N125" s="125"/>
      <c r="O125" s="127"/>
      <c r="P125" s="128"/>
      <c r="Q125" s="128"/>
      <c r="R125" s="129"/>
      <c r="S125" s="130"/>
      <c r="T125" s="131"/>
      <c r="U125" s="131"/>
      <c r="V125" s="129"/>
      <c r="W125" s="129"/>
      <c r="X125" s="129"/>
      <c r="Y125" s="129"/>
      <c r="Z125" s="129"/>
      <c r="AA125" s="126"/>
      <c r="AB125" s="126"/>
      <c r="AC125" s="126"/>
      <c r="AD125" s="125"/>
      <c r="AE125" s="125"/>
      <c r="AF125" s="125"/>
      <c r="AG125" s="125"/>
      <c r="AH125" s="125"/>
      <c r="AI125" s="125"/>
      <c r="AJ125" s="125"/>
      <c r="AK125" s="125"/>
      <c r="AL125" s="125"/>
      <c r="AM125" s="125"/>
      <c r="AN125" s="125"/>
      <c r="AO125" s="125"/>
      <c r="AP125" s="125"/>
      <c r="AQ125" s="125"/>
      <c r="AR125" s="220"/>
      <c r="AS125" s="220"/>
      <c r="AT125" s="125"/>
      <c r="AU125" s="125"/>
      <c r="AV125" s="125"/>
      <c r="AW125" s="125"/>
      <c r="AX125" s="125"/>
      <c r="AY125" s="125"/>
      <c r="AZ125" s="125"/>
      <c r="BA125" s="125"/>
      <c r="BB125" s="125"/>
      <c r="BC125" s="125"/>
      <c r="BD125" s="125"/>
      <c r="BE125" s="125"/>
      <c r="BF125" s="125"/>
      <c r="BG125" s="142"/>
      <c r="BI125" s="143"/>
      <c r="BJ125" s="144"/>
      <c r="BK125" s="145"/>
      <c r="BL125" s="146"/>
      <c r="BM125" s="144"/>
      <c r="BN125" s="147"/>
      <c r="BO125" s="144"/>
      <c r="BP125" s="144"/>
    </row>
    <row r="126" spans="1:68" s="153" customFormat="1" ht="33.75" customHeight="1" x14ac:dyDescent="0.25">
      <c r="A126" s="211"/>
      <c r="B126" s="211"/>
      <c r="C126" s="491"/>
      <c r="D126" s="489"/>
      <c r="E126" s="122"/>
      <c r="F126" s="154"/>
      <c r="G126" s="155"/>
      <c r="H126" s="156"/>
      <c r="I126" s="156"/>
      <c r="J126" s="157"/>
      <c r="K126" s="154"/>
      <c r="L126" s="154"/>
      <c r="M126" s="154"/>
      <c r="N126" s="157"/>
      <c r="O126" s="158"/>
      <c r="P126" s="159"/>
      <c r="Q126" s="159"/>
      <c r="R126" s="160"/>
      <c r="S126" s="161"/>
      <c r="T126" s="162"/>
      <c r="U126" s="162"/>
      <c r="V126" s="160"/>
      <c r="W126" s="160"/>
      <c r="X126" s="160"/>
      <c r="Y126" s="160"/>
      <c r="Z126" s="160"/>
      <c r="AA126" s="152"/>
      <c r="AB126" s="163"/>
      <c r="AC126" s="163"/>
      <c r="AD126" s="164"/>
      <c r="AE126" s="164"/>
      <c r="AF126" s="164"/>
      <c r="AG126" s="164"/>
      <c r="AH126" s="164"/>
      <c r="AI126" s="164"/>
      <c r="AJ126" s="164"/>
      <c r="AK126" s="164"/>
      <c r="AL126" s="164"/>
      <c r="AM126" s="164"/>
      <c r="AN126" s="164"/>
      <c r="AO126" s="164"/>
      <c r="AP126" s="164"/>
      <c r="AQ126" s="164"/>
      <c r="AR126" s="164"/>
      <c r="AS126" s="164"/>
      <c r="AT126" s="164"/>
      <c r="AU126" s="164"/>
      <c r="AV126" s="164"/>
      <c r="AW126" s="164"/>
      <c r="AX126" s="164"/>
      <c r="AY126" s="164"/>
      <c r="AZ126" s="164"/>
      <c r="BA126" s="164"/>
      <c r="BB126" s="164"/>
      <c r="BC126" s="164"/>
      <c r="BD126" s="164"/>
      <c r="BE126" s="164"/>
      <c r="BF126" s="164"/>
      <c r="BG126" s="151"/>
      <c r="BH126" s="21"/>
      <c r="BK126" s="165"/>
      <c r="BL126" s="166"/>
      <c r="BM126" s="167"/>
      <c r="BN126" s="167"/>
      <c r="BO126" s="167"/>
      <c r="BP126" s="167"/>
    </row>
    <row r="127" spans="1:68" s="153" customFormat="1" ht="33.75" customHeight="1" x14ac:dyDescent="0.25">
      <c r="A127" s="211"/>
      <c r="B127" s="211"/>
      <c r="C127" s="491"/>
      <c r="D127" s="489"/>
      <c r="E127" s="122"/>
      <c r="F127" s="154"/>
      <c r="G127" s="155"/>
      <c r="H127" s="156"/>
      <c r="I127" s="156"/>
      <c r="J127" s="157"/>
      <c r="K127" s="154"/>
      <c r="L127" s="154"/>
      <c r="M127" s="154"/>
      <c r="N127" s="157"/>
      <c r="O127" s="158"/>
      <c r="P127" s="159"/>
      <c r="Q127" s="159"/>
      <c r="R127" s="160"/>
      <c r="S127" s="161"/>
      <c r="T127" s="162"/>
      <c r="U127" s="162"/>
      <c r="V127" s="160"/>
      <c r="W127" s="160"/>
      <c r="X127" s="160"/>
      <c r="Y127" s="160"/>
      <c r="Z127" s="160"/>
      <c r="AA127" s="151"/>
      <c r="AB127" s="168"/>
      <c r="AC127" s="168"/>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21"/>
      <c r="BH127" s="21"/>
      <c r="BK127" s="165"/>
      <c r="BL127" s="166"/>
      <c r="BM127" s="167"/>
      <c r="BN127" s="167"/>
      <c r="BO127" s="167"/>
      <c r="BP127" s="167"/>
    </row>
    <row r="128" spans="1:68" ht="33.75" customHeight="1" x14ac:dyDescent="0.25">
      <c r="C128" s="491"/>
      <c r="D128" s="489"/>
      <c r="E128" s="122"/>
      <c r="F128" s="154"/>
      <c r="G128" s="155"/>
      <c r="H128" s="156"/>
      <c r="I128" s="156"/>
      <c r="J128" s="157"/>
      <c r="K128" s="154"/>
      <c r="L128" s="154"/>
      <c r="M128" s="154"/>
      <c r="N128" s="157"/>
      <c r="O128" s="158"/>
      <c r="P128" s="159"/>
      <c r="Q128" s="159"/>
      <c r="R128" s="160"/>
      <c r="S128" s="161"/>
      <c r="T128" s="162"/>
      <c r="U128" s="162"/>
      <c r="V128" s="160"/>
      <c r="W128" s="160"/>
      <c r="X128" s="160"/>
      <c r="Y128" s="160"/>
      <c r="Z128" s="160"/>
      <c r="AA128" s="151"/>
      <c r="AB128" s="168"/>
      <c r="AC128" s="168"/>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row>
    <row r="129" spans="1:68" s="30" customFormat="1" ht="33.75" customHeight="1" x14ac:dyDescent="0.25">
      <c r="A129" s="210"/>
      <c r="B129" s="210"/>
      <c r="C129" s="491"/>
      <c r="D129" s="489"/>
      <c r="E129" s="122"/>
      <c r="F129" s="154"/>
      <c r="G129" s="155"/>
      <c r="H129" s="156"/>
      <c r="I129" s="156"/>
      <c r="J129" s="157"/>
      <c r="K129" s="154"/>
      <c r="L129" s="154"/>
      <c r="M129" s="154"/>
      <c r="N129" s="157"/>
      <c r="O129" s="78"/>
      <c r="P129" s="28"/>
      <c r="Q129" s="28"/>
      <c r="R129" s="29"/>
      <c r="S129" s="170"/>
      <c r="V129" s="29"/>
      <c r="W129" s="29"/>
      <c r="X129" s="29"/>
      <c r="Y129" s="29"/>
      <c r="Z129" s="29"/>
      <c r="AA129" s="21"/>
      <c r="AB129" s="21"/>
      <c r="AC129" s="21"/>
      <c r="AD129" s="22"/>
      <c r="AE129" s="22"/>
      <c r="AF129" s="22"/>
      <c r="AG129" s="22"/>
      <c r="AH129" s="22"/>
      <c r="AI129" s="22"/>
      <c r="AJ129" s="22"/>
      <c r="AK129" s="22"/>
      <c r="AL129" s="22"/>
      <c r="AM129" s="22"/>
      <c r="AN129" s="22"/>
      <c r="AO129" s="22"/>
      <c r="AP129" s="22"/>
      <c r="AQ129" s="22"/>
      <c r="AR129" s="221"/>
      <c r="AS129" s="221"/>
      <c r="AT129" s="22"/>
      <c r="AU129" s="22"/>
      <c r="AV129" s="22"/>
      <c r="AW129" s="22"/>
      <c r="AX129" s="22"/>
      <c r="AY129" s="22"/>
      <c r="AZ129" s="22"/>
      <c r="BA129" s="22"/>
      <c r="BB129" s="22"/>
      <c r="BC129" s="22"/>
      <c r="BD129" s="22"/>
      <c r="BE129" s="22"/>
      <c r="BF129" s="22"/>
      <c r="BG129" s="21"/>
      <c r="BH129" s="21"/>
      <c r="BI129" s="24"/>
      <c r="BJ129" s="24"/>
      <c r="BK129" s="25"/>
      <c r="BL129" s="23"/>
      <c r="BM129" s="26"/>
      <c r="BN129" s="27"/>
      <c r="BO129" s="24"/>
      <c r="BP129" s="24"/>
    </row>
    <row r="130" spans="1:68" s="30" customFormat="1" ht="33.75" customHeight="1" x14ac:dyDescent="0.25">
      <c r="A130" s="210"/>
      <c r="B130" s="210"/>
      <c r="C130" s="491"/>
      <c r="D130" s="489"/>
      <c r="E130" s="122"/>
      <c r="F130" s="154"/>
      <c r="G130" s="155"/>
      <c r="H130" s="156"/>
      <c r="I130" s="156"/>
      <c r="J130" s="157"/>
      <c r="K130" s="154"/>
      <c r="L130" s="154"/>
      <c r="M130" s="154"/>
      <c r="N130" s="157"/>
      <c r="O130" s="78"/>
      <c r="P130" s="28"/>
      <c r="Q130" s="28"/>
      <c r="R130" s="29"/>
      <c r="S130" s="170"/>
      <c r="V130" s="29"/>
      <c r="W130" s="29"/>
      <c r="X130" s="29"/>
      <c r="Y130" s="29"/>
      <c r="Z130" s="29"/>
      <c r="AA130" s="21"/>
      <c r="AB130" s="21"/>
      <c r="AC130" s="21"/>
      <c r="AD130" s="22"/>
      <c r="AE130" s="22"/>
      <c r="AF130" s="22"/>
      <c r="AG130" s="22"/>
      <c r="AH130" s="22"/>
      <c r="AI130" s="22"/>
      <c r="AJ130" s="22"/>
      <c r="AK130" s="22"/>
      <c r="AL130" s="22"/>
      <c r="AM130" s="22"/>
      <c r="AN130" s="22"/>
      <c r="AO130" s="22"/>
      <c r="AP130" s="22"/>
      <c r="AQ130" s="22"/>
      <c r="AR130" s="221"/>
      <c r="AS130" s="221"/>
      <c r="AT130" s="22"/>
      <c r="AU130" s="22"/>
      <c r="AV130" s="22"/>
      <c r="AW130" s="22"/>
      <c r="AX130" s="22"/>
      <c r="AY130" s="22"/>
      <c r="AZ130" s="22"/>
      <c r="BA130" s="22"/>
      <c r="BB130" s="22"/>
      <c r="BC130" s="22"/>
      <c r="BD130" s="22"/>
      <c r="BE130" s="22"/>
      <c r="BF130" s="22"/>
      <c r="BG130" s="21"/>
      <c r="BH130" s="21"/>
      <c r="BI130" s="24"/>
      <c r="BJ130" s="24"/>
      <c r="BK130" s="25"/>
      <c r="BL130" s="23"/>
      <c r="BM130" s="26"/>
      <c r="BN130" s="27"/>
      <c r="BO130" s="24"/>
      <c r="BP130" s="24"/>
    </row>
    <row r="131" spans="1:68" s="30" customFormat="1" ht="33.75" customHeight="1" x14ac:dyDescent="0.25">
      <c r="A131" s="210"/>
      <c r="B131" s="210"/>
      <c r="C131" s="491"/>
      <c r="D131" s="489"/>
      <c r="E131" s="122"/>
      <c r="F131" s="154"/>
      <c r="G131" s="155"/>
      <c r="H131" s="156"/>
      <c r="I131" s="156"/>
      <c r="J131" s="157"/>
      <c r="K131" s="154"/>
      <c r="L131" s="154"/>
      <c r="M131" s="154"/>
      <c r="N131" s="157"/>
      <c r="O131" s="78"/>
      <c r="P131" s="28"/>
      <c r="Q131" s="28"/>
      <c r="R131" s="29"/>
      <c r="S131" s="170"/>
      <c r="V131" s="29"/>
      <c r="W131" s="29"/>
      <c r="X131" s="29"/>
      <c r="Y131" s="29"/>
      <c r="Z131" s="29"/>
      <c r="AA131" s="21"/>
      <c r="AB131" s="21"/>
      <c r="AC131" s="21"/>
      <c r="AD131" s="22"/>
      <c r="AE131" s="22"/>
      <c r="AF131" s="22"/>
      <c r="AG131" s="22"/>
      <c r="AH131" s="22"/>
      <c r="AI131" s="22"/>
      <c r="AJ131" s="22"/>
      <c r="AK131" s="22"/>
      <c r="AL131" s="22"/>
      <c r="AM131" s="22"/>
      <c r="AN131" s="22"/>
      <c r="AO131" s="22"/>
      <c r="AP131" s="22"/>
      <c r="AQ131" s="22"/>
      <c r="AR131" s="221"/>
      <c r="AS131" s="221"/>
      <c r="AT131" s="22"/>
      <c r="AU131" s="22"/>
      <c r="AV131" s="22"/>
      <c r="AW131" s="22"/>
      <c r="AX131" s="22"/>
      <c r="AY131" s="22"/>
      <c r="AZ131" s="22"/>
      <c r="BA131" s="22"/>
      <c r="BB131" s="22"/>
      <c r="BC131" s="22"/>
      <c r="BD131" s="22"/>
      <c r="BE131" s="22"/>
      <c r="BF131" s="22"/>
      <c r="BG131" s="21"/>
      <c r="BH131" s="21"/>
      <c r="BI131" s="24"/>
      <c r="BJ131" s="24"/>
      <c r="BK131" s="25"/>
      <c r="BL131" s="23"/>
      <c r="BM131" s="26"/>
      <c r="BN131" s="27"/>
      <c r="BO131" s="24"/>
      <c r="BP131" s="24"/>
    </row>
    <row r="132" spans="1:68" s="30" customFormat="1" ht="33.75" customHeight="1" x14ac:dyDescent="0.25">
      <c r="A132" s="210"/>
      <c r="B132" s="210"/>
      <c r="C132" s="491"/>
      <c r="D132" s="489"/>
      <c r="E132" s="122"/>
      <c r="F132" s="154"/>
      <c r="G132" s="155"/>
      <c r="H132" s="156"/>
      <c r="I132" s="156"/>
      <c r="J132" s="157"/>
      <c r="K132" s="154"/>
      <c r="L132" s="154"/>
      <c r="M132" s="154"/>
      <c r="N132" s="157"/>
      <c r="O132" s="78"/>
      <c r="P132" s="28"/>
      <c r="Q132" s="28"/>
      <c r="R132" s="29"/>
      <c r="S132" s="170"/>
      <c r="V132" s="29"/>
      <c r="W132" s="29"/>
      <c r="X132" s="29"/>
      <c r="Y132" s="29"/>
      <c r="Z132" s="29"/>
      <c r="AA132" s="21"/>
      <c r="AB132" s="21"/>
      <c r="AC132" s="21"/>
      <c r="AD132" s="22"/>
      <c r="AE132" s="22"/>
      <c r="AF132" s="22"/>
      <c r="AG132" s="22"/>
      <c r="AH132" s="22"/>
      <c r="AI132" s="22"/>
      <c r="AJ132" s="22"/>
      <c r="AK132" s="22"/>
      <c r="AL132" s="22"/>
      <c r="AM132" s="22"/>
      <c r="AN132" s="22"/>
      <c r="AO132" s="22"/>
      <c r="AP132" s="22"/>
      <c r="AQ132" s="22"/>
      <c r="AR132" s="221"/>
      <c r="AS132" s="221"/>
      <c r="AT132" s="22"/>
      <c r="AU132" s="22"/>
      <c r="AV132" s="22"/>
      <c r="AW132" s="22"/>
      <c r="AX132" s="22"/>
      <c r="AY132" s="22"/>
      <c r="AZ132" s="22"/>
      <c r="BA132" s="22"/>
      <c r="BB132" s="22"/>
      <c r="BC132" s="22"/>
      <c r="BD132" s="22"/>
      <c r="BE132" s="22"/>
      <c r="BF132" s="22"/>
      <c r="BG132" s="21"/>
      <c r="BH132" s="21"/>
      <c r="BI132" s="24"/>
      <c r="BJ132" s="24"/>
      <c r="BK132" s="25"/>
      <c r="BL132" s="23"/>
      <c r="BM132" s="26"/>
      <c r="BN132" s="27"/>
      <c r="BO132" s="24"/>
      <c r="BP132" s="24"/>
    </row>
    <row r="133" spans="1:68" s="30" customFormat="1" ht="33.75" customHeight="1" x14ac:dyDescent="0.25">
      <c r="A133" s="210"/>
      <c r="B133" s="210"/>
      <c r="C133" s="491"/>
      <c r="D133" s="489"/>
      <c r="E133" s="122"/>
      <c r="F133" s="154"/>
      <c r="G133" s="155"/>
      <c r="H133" s="156"/>
      <c r="I133" s="156"/>
      <c r="J133" s="157"/>
      <c r="K133" s="154"/>
      <c r="L133" s="154"/>
      <c r="M133" s="154"/>
      <c r="N133" s="157"/>
      <c r="O133" s="78"/>
      <c r="P133" s="28"/>
      <c r="Q133" s="28"/>
      <c r="R133" s="29"/>
      <c r="S133" s="170"/>
      <c r="V133" s="29"/>
      <c r="W133" s="29"/>
      <c r="X133" s="29"/>
      <c r="Y133" s="29"/>
      <c r="Z133" s="29"/>
      <c r="AA133" s="21"/>
      <c r="AB133" s="21"/>
      <c r="AC133" s="21"/>
      <c r="AD133" s="22"/>
      <c r="AE133" s="22"/>
      <c r="AF133" s="22"/>
      <c r="AG133" s="22"/>
      <c r="AH133" s="22"/>
      <c r="AI133" s="22"/>
      <c r="AJ133" s="22"/>
      <c r="AK133" s="22"/>
      <c r="AL133" s="22"/>
      <c r="AM133" s="22"/>
      <c r="AN133" s="22"/>
      <c r="AO133" s="22"/>
      <c r="AP133" s="22"/>
      <c r="AQ133" s="22"/>
      <c r="AR133" s="221"/>
      <c r="AS133" s="221"/>
      <c r="AT133" s="22"/>
      <c r="AU133" s="22"/>
      <c r="AV133" s="22"/>
      <c r="AW133" s="22"/>
      <c r="AX133" s="22"/>
      <c r="AY133" s="22"/>
      <c r="AZ133" s="22"/>
      <c r="BA133" s="22"/>
      <c r="BB133" s="22"/>
      <c r="BC133" s="22"/>
      <c r="BD133" s="22"/>
      <c r="BE133" s="22"/>
      <c r="BF133" s="22"/>
      <c r="BG133" s="21"/>
      <c r="BH133" s="21"/>
      <c r="BI133" s="24"/>
      <c r="BJ133" s="24"/>
      <c r="BK133" s="25"/>
      <c r="BL133" s="23"/>
      <c r="BM133" s="26"/>
      <c r="BN133" s="27"/>
      <c r="BO133" s="24"/>
      <c r="BP133" s="24"/>
    </row>
    <row r="134" spans="1:68" s="30" customFormat="1" ht="33.75" customHeight="1" x14ac:dyDescent="0.25">
      <c r="A134" s="210"/>
      <c r="B134" s="210"/>
      <c r="C134" s="491"/>
      <c r="D134" s="489"/>
      <c r="E134" s="122"/>
      <c r="F134" s="154"/>
      <c r="G134" s="155"/>
      <c r="H134" s="156"/>
      <c r="I134" s="156"/>
      <c r="J134" s="157"/>
      <c r="K134" s="154"/>
      <c r="L134" s="154"/>
      <c r="M134" s="154"/>
      <c r="N134" s="157"/>
      <c r="O134" s="78"/>
      <c r="P134" s="28"/>
      <c r="Q134" s="28"/>
      <c r="R134" s="29"/>
      <c r="S134" s="170"/>
      <c r="V134" s="29"/>
      <c r="W134" s="29"/>
      <c r="X134" s="29"/>
      <c r="Y134" s="29"/>
      <c r="Z134" s="29"/>
      <c r="AA134" s="21"/>
      <c r="AB134" s="21"/>
      <c r="AC134" s="21"/>
      <c r="AD134" s="22"/>
      <c r="AE134" s="22"/>
      <c r="AF134" s="22"/>
      <c r="AG134" s="22"/>
      <c r="AH134" s="22"/>
      <c r="AI134" s="22"/>
      <c r="AJ134" s="22"/>
      <c r="AK134" s="22"/>
      <c r="AL134" s="22"/>
      <c r="AM134" s="22"/>
      <c r="AN134" s="22"/>
      <c r="AO134" s="22"/>
      <c r="AP134" s="22"/>
      <c r="AQ134" s="22"/>
      <c r="AR134" s="221"/>
      <c r="AS134" s="221"/>
      <c r="AT134" s="22"/>
      <c r="AU134" s="22"/>
      <c r="AV134" s="22"/>
      <c r="AW134" s="22"/>
      <c r="AX134" s="22"/>
      <c r="AY134" s="22"/>
      <c r="AZ134" s="22"/>
      <c r="BA134" s="22"/>
      <c r="BB134" s="22"/>
      <c r="BC134" s="22"/>
      <c r="BD134" s="22"/>
      <c r="BE134" s="22"/>
      <c r="BF134" s="22"/>
      <c r="BG134" s="21"/>
      <c r="BH134" s="21"/>
      <c r="BI134" s="24"/>
      <c r="BJ134" s="24"/>
      <c r="BK134" s="25"/>
      <c r="BL134" s="23"/>
      <c r="BM134" s="26"/>
      <c r="BN134" s="27"/>
      <c r="BO134" s="24"/>
      <c r="BP134" s="24"/>
    </row>
    <row r="135" spans="1:68" s="30" customFormat="1" ht="33.75" customHeight="1" x14ac:dyDescent="0.25">
      <c r="A135" s="210"/>
      <c r="B135" s="210"/>
      <c r="C135" s="491"/>
      <c r="D135" s="489"/>
      <c r="E135" s="122"/>
      <c r="F135" s="154"/>
      <c r="G135" s="155"/>
      <c r="H135" s="156"/>
      <c r="I135" s="156"/>
      <c r="J135" s="157"/>
      <c r="K135" s="154"/>
      <c r="L135" s="154"/>
      <c r="M135" s="154"/>
      <c r="N135" s="157"/>
      <c r="O135" s="78"/>
      <c r="P135" s="28"/>
      <c r="Q135" s="28"/>
      <c r="R135" s="29"/>
      <c r="S135" s="170"/>
      <c r="V135" s="29"/>
      <c r="W135" s="29"/>
      <c r="X135" s="29"/>
      <c r="Y135" s="29"/>
      <c r="Z135" s="29"/>
      <c r="AA135" s="21"/>
      <c r="AB135" s="21"/>
      <c r="AC135" s="21"/>
      <c r="AD135" s="22"/>
      <c r="AE135" s="22"/>
      <c r="AF135" s="22"/>
      <c r="AG135" s="22"/>
      <c r="AH135" s="22"/>
      <c r="AI135" s="22"/>
      <c r="AJ135" s="22"/>
      <c r="AK135" s="22"/>
      <c r="AL135" s="22"/>
      <c r="AM135" s="22"/>
      <c r="AN135" s="22"/>
      <c r="AO135" s="22"/>
      <c r="AP135" s="22"/>
      <c r="AQ135" s="22"/>
      <c r="AR135" s="221"/>
      <c r="AS135" s="221"/>
      <c r="AT135" s="22"/>
      <c r="AU135" s="22"/>
      <c r="AV135" s="22"/>
      <c r="AW135" s="22"/>
      <c r="AX135" s="22"/>
      <c r="AY135" s="22"/>
      <c r="AZ135" s="22"/>
      <c r="BA135" s="22"/>
      <c r="BB135" s="22"/>
      <c r="BC135" s="22"/>
      <c r="BD135" s="22"/>
      <c r="BE135" s="22"/>
      <c r="BF135" s="22"/>
      <c r="BG135" s="21"/>
      <c r="BH135" s="21"/>
      <c r="BI135" s="24"/>
      <c r="BJ135" s="24"/>
      <c r="BK135" s="25"/>
      <c r="BL135" s="23"/>
      <c r="BM135" s="26"/>
      <c r="BN135" s="27"/>
      <c r="BO135" s="24"/>
      <c r="BP135" s="24"/>
    </row>
    <row r="136" spans="1:68" s="30" customFormat="1" ht="33.75" customHeight="1" x14ac:dyDescent="0.25">
      <c r="A136" s="210"/>
      <c r="B136" s="210"/>
      <c r="C136" s="491"/>
      <c r="D136" s="489"/>
      <c r="E136" s="122"/>
      <c r="F136" s="154"/>
      <c r="G136" s="155"/>
      <c r="H136" s="156"/>
      <c r="I136" s="156"/>
      <c r="J136" s="157"/>
      <c r="K136" s="154"/>
      <c r="L136" s="154"/>
      <c r="M136" s="154"/>
      <c r="N136" s="157"/>
      <c r="O136" s="78"/>
      <c r="P136" s="28"/>
      <c r="Q136" s="28"/>
      <c r="R136" s="29"/>
      <c r="S136" s="170"/>
      <c r="V136" s="29"/>
      <c r="W136" s="29"/>
      <c r="X136" s="29"/>
      <c r="Y136" s="29"/>
      <c r="Z136" s="29"/>
      <c r="AA136" s="21"/>
      <c r="AB136" s="21"/>
      <c r="AC136" s="21"/>
      <c r="AD136" s="22"/>
      <c r="AE136" s="22"/>
      <c r="AF136" s="22"/>
      <c r="AG136" s="22"/>
      <c r="AH136" s="22"/>
      <c r="AI136" s="22"/>
      <c r="AJ136" s="22"/>
      <c r="AK136" s="22"/>
      <c r="AL136" s="22"/>
      <c r="AM136" s="22"/>
      <c r="AN136" s="22"/>
      <c r="AO136" s="22"/>
      <c r="AP136" s="22"/>
      <c r="AQ136" s="22"/>
      <c r="AR136" s="221"/>
      <c r="AS136" s="221"/>
      <c r="AT136" s="22"/>
      <c r="AU136" s="22"/>
      <c r="AV136" s="22"/>
      <c r="AW136" s="22"/>
      <c r="AX136" s="22"/>
      <c r="AY136" s="22"/>
      <c r="AZ136" s="22"/>
      <c r="BA136" s="22"/>
      <c r="BB136" s="22"/>
      <c r="BC136" s="22"/>
      <c r="BD136" s="22"/>
      <c r="BE136" s="22"/>
      <c r="BF136" s="22"/>
      <c r="BG136" s="21"/>
      <c r="BH136" s="21"/>
      <c r="BI136" s="24"/>
      <c r="BJ136" s="24"/>
      <c r="BK136" s="25"/>
      <c r="BL136" s="23"/>
      <c r="BM136" s="26"/>
      <c r="BN136" s="27"/>
      <c r="BO136" s="24"/>
      <c r="BP136" s="24"/>
    </row>
    <row r="137" spans="1:68" s="30" customFormat="1" ht="33.75" customHeight="1" x14ac:dyDescent="0.25">
      <c r="A137" s="210"/>
      <c r="B137" s="210"/>
      <c r="C137" s="491"/>
      <c r="D137" s="489"/>
      <c r="E137" s="122"/>
      <c r="F137" s="154"/>
      <c r="G137" s="155"/>
      <c r="H137" s="156"/>
      <c r="I137" s="156"/>
      <c r="J137" s="157"/>
      <c r="K137" s="154"/>
      <c r="L137" s="154"/>
      <c r="M137" s="154"/>
      <c r="N137" s="157"/>
      <c r="O137" s="78"/>
      <c r="P137" s="28"/>
      <c r="Q137" s="28"/>
      <c r="R137" s="29"/>
      <c r="S137" s="170"/>
      <c r="V137" s="29"/>
      <c r="W137" s="29"/>
      <c r="X137" s="29"/>
      <c r="Y137" s="29"/>
      <c r="Z137" s="29"/>
      <c r="AA137" s="21"/>
      <c r="AB137" s="21"/>
      <c r="AC137" s="21"/>
      <c r="AD137" s="22"/>
      <c r="AE137" s="22"/>
      <c r="AF137" s="22"/>
      <c r="AG137" s="22"/>
      <c r="AH137" s="22"/>
      <c r="AI137" s="22"/>
      <c r="AJ137" s="22"/>
      <c r="AK137" s="22"/>
      <c r="AL137" s="22"/>
      <c r="AM137" s="22"/>
      <c r="AN137" s="22"/>
      <c r="AO137" s="22"/>
      <c r="AP137" s="22"/>
      <c r="AQ137" s="22"/>
      <c r="AR137" s="221"/>
      <c r="AS137" s="221"/>
      <c r="AT137" s="22"/>
      <c r="AU137" s="22"/>
      <c r="AV137" s="22"/>
      <c r="AW137" s="22"/>
      <c r="AX137" s="22"/>
      <c r="AY137" s="22"/>
      <c r="AZ137" s="22"/>
      <c r="BA137" s="22"/>
      <c r="BB137" s="22"/>
      <c r="BC137" s="22"/>
      <c r="BD137" s="22"/>
      <c r="BE137" s="22"/>
      <c r="BF137" s="22"/>
      <c r="BG137" s="21"/>
      <c r="BH137" s="21"/>
      <c r="BI137" s="24"/>
      <c r="BJ137" s="24"/>
      <c r="BK137" s="25"/>
      <c r="BL137" s="23"/>
      <c r="BM137" s="26"/>
      <c r="BN137" s="27"/>
      <c r="BO137" s="24"/>
      <c r="BP137" s="24"/>
    </row>
    <row r="138" spans="1:68" s="30" customFormat="1" ht="33.75" customHeight="1" x14ac:dyDescent="0.25">
      <c r="A138" s="210"/>
      <c r="B138" s="210"/>
      <c r="C138" s="491"/>
      <c r="D138" s="489"/>
      <c r="E138" s="122"/>
      <c r="F138" s="154"/>
      <c r="G138" s="155"/>
      <c r="H138" s="156"/>
      <c r="I138" s="156"/>
      <c r="J138" s="157"/>
      <c r="K138" s="154"/>
      <c r="L138" s="154"/>
      <c r="M138" s="154"/>
      <c r="N138" s="157"/>
      <c r="O138" s="78"/>
      <c r="P138" s="28"/>
      <c r="Q138" s="28"/>
      <c r="R138" s="29"/>
      <c r="S138" s="170"/>
      <c r="V138" s="29"/>
      <c r="W138" s="29"/>
      <c r="X138" s="29"/>
      <c r="Y138" s="29"/>
      <c r="Z138" s="29"/>
      <c r="AA138" s="21"/>
      <c r="AB138" s="21"/>
      <c r="AC138" s="21"/>
      <c r="AD138" s="22"/>
      <c r="AE138" s="22"/>
      <c r="AF138" s="22"/>
      <c r="AG138" s="22"/>
      <c r="AH138" s="22"/>
      <c r="AI138" s="22"/>
      <c r="AJ138" s="22"/>
      <c r="AK138" s="22"/>
      <c r="AL138" s="22"/>
      <c r="AM138" s="22"/>
      <c r="AN138" s="22"/>
      <c r="AO138" s="22"/>
      <c r="AP138" s="22"/>
      <c r="AQ138" s="22"/>
      <c r="AR138" s="221"/>
      <c r="AS138" s="221"/>
      <c r="AT138" s="22"/>
      <c r="AU138" s="22"/>
      <c r="AV138" s="22"/>
      <c r="AW138" s="22"/>
      <c r="AX138" s="22"/>
      <c r="AY138" s="22"/>
      <c r="AZ138" s="22"/>
      <c r="BA138" s="22"/>
      <c r="BB138" s="22"/>
      <c r="BC138" s="22"/>
      <c r="BD138" s="22"/>
      <c r="BE138" s="22"/>
      <c r="BF138" s="22"/>
      <c r="BG138" s="21"/>
      <c r="BH138" s="21"/>
      <c r="BI138" s="24"/>
      <c r="BJ138" s="24"/>
      <c r="BK138" s="25"/>
      <c r="BL138" s="23"/>
      <c r="BM138" s="26"/>
      <c r="BN138" s="27"/>
      <c r="BO138" s="24"/>
      <c r="BP138" s="24"/>
    </row>
    <row r="139" spans="1:68" s="30" customFormat="1" ht="33.75" customHeight="1" x14ac:dyDescent="0.25">
      <c r="A139" s="210"/>
      <c r="B139" s="210"/>
      <c r="C139" s="491"/>
      <c r="D139" s="489"/>
      <c r="E139" s="122"/>
      <c r="F139" s="154"/>
      <c r="G139" s="155"/>
      <c r="H139" s="156"/>
      <c r="I139" s="156"/>
      <c r="J139" s="157"/>
      <c r="K139" s="154"/>
      <c r="L139" s="154"/>
      <c r="M139" s="154"/>
      <c r="N139" s="157"/>
      <c r="O139" s="78"/>
      <c r="P139" s="28"/>
      <c r="Q139" s="28"/>
      <c r="R139" s="29"/>
      <c r="S139" s="170"/>
      <c r="V139" s="29"/>
      <c r="W139" s="29"/>
      <c r="X139" s="29"/>
      <c r="Y139" s="29"/>
      <c r="Z139" s="29"/>
      <c r="AA139" s="21"/>
      <c r="AB139" s="21"/>
      <c r="AC139" s="21"/>
      <c r="AD139" s="22"/>
      <c r="AE139" s="22"/>
      <c r="AF139" s="22"/>
      <c r="AG139" s="22"/>
      <c r="AH139" s="22"/>
      <c r="AI139" s="22"/>
      <c r="AJ139" s="22"/>
      <c r="AK139" s="22"/>
      <c r="AL139" s="22"/>
      <c r="AM139" s="22"/>
      <c r="AN139" s="22"/>
      <c r="AO139" s="22"/>
      <c r="AP139" s="22"/>
      <c r="AQ139" s="22"/>
      <c r="AR139" s="221"/>
      <c r="AS139" s="221"/>
      <c r="AT139" s="22"/>
      <c r="AU139" s="22"/>
      <c r="AV139" s="22"/>
      <c r="AW139" s="22"/>
      <c r="AX139" s="22"/>
      <c r="AY139" s="22"/>
      <c r="AZ139" s="22"/>
      <c r="BA139" s="22"/>
      <c r="BB139" s="22"/>
      <c r="BC139" s="22"/>
      <c r="BD139" s="22"/>
      <c r="BE139" s="22"/>
      <c r="BF139" s="22"/>
      <c r="BG139" s="21"/>
      <c r="BH139" s="21"/>
      <c r="BI139" s="24"/>
      <c r="BJ139" s="24"/>
      <c r="BK139" s="25"/>
      <c r="BL139" s="23"/>
      <c r="BM139" s="26"/>
      <c r="BN139" s="27"/>
      <c r="BO139" s="24"/>
      <c r="BP139" s="24"/>
    </row>
    <row r="140" spans="1:68" s="30" customFormat="1" ht="33.75" customHeight="1" x14ac:dyDescent="0.25">
      <c r="A140" s="210"/>
      <c r="B140" s="210"/>
      <c r="C140" s="491"/>
      <c r="D140" s="489"/>
      <c r="E140" s="122"/>
      <c r="F140" s="154"/>
      <c r="G140" s="155"/>
      <c r="H140" s="156"/>
      <c r="I140" s="156"/>
      <c r="J140" s="157"/>
      <c r="K140" s="154"/>
      <c r="L140" s="154"/>
      <c r="M140" s="154"/>
      <c r="N140" s="157"/>
      <c r="O140" s="78"/>
      <c r="P140" s="28"/>
      <c r="Q140" s="28"/>
      <c r="R140" s="29"/>
      <c r="S140" s="170"/>
      <c r="V140" s="29"/>
      <c r="W140" s="29"/>
      <c r="X140" s="29"/>
      <c r="Y140" s="29"/>
      <c r="Z140" s="29"/>
      <c r="AA140" s="21"/>
      <c r="AB140" s="21"/>
      <c r="AC140" s="21"/>
      <c r="AD140" s="22"/>
      <c r="AE140" s="22"/>
      <c r="AF140" s="22"/>
      <c r="AG140" s="22"/>
      <c r="AH140" s="22"/>
      <c r="AI140" s="22"/>
      <c r="AJ140" s="22"/>
      <c r="AK140" s="22"/>
      <c r="AL140" s="22"/>
      <c r="AM140" s="22"/>
      <c r="AN140" s="22"/>
      <c r="AO140" s="22"/>
      <c r="AP140" s="22"/>
      <c r="AQ140" s="22"/>
      <c r="AR140" s="221"/>
      <c r="AS140" s="221"/>
      <c r="AT140" s="22"/>
      <c r="AU140" s="22"/>
      <c r="AV140" s="22"/>
      <c r="AW140" s="22"/>
      <c r="AX140" s="22"/>
      <c r="AY140" s="22"/>
      <c r="AZ140" s="22"/>
      <c r="BA140" s="22"/>
      <c r="BB140" s="22"/>
      <c r="BC140" s="22"/>
      <c r="BD140" s="22"/>
      <c r="BE140" s="22"/>
      <c r="BF140" s="22"/>
      <c r="BG140" s="21"/>
      <c r="BH140" s="21"/>
      <c r="BI140" s="24"/>
      <c r="BJ140" s="24"/>
      <c r="BK140" s="25"/>
      <c r="BL140" s="23"/>
      <c r="BM140" s="26"/>
      <c r="BN140" s="27"/>
      <c r="BO140" s="24"/>
      <c r="BP140" s="24"/>
    </row>
    <row r="141" spans="1:68" s="30" customFormat="1" ht="33.75" customHeight="1" x14ac:dyDescent="0.25">
      <c r="A141" s="210"/>
      <c r="B141" s="210"/>
      <c r="C141" s="491"/>
      <c r="D141" s="489"/>
      <c r="E141" s="122"/>
      <c r="F141" s="154"/>
      <c r="G141" s="155"/>
      <c r="H141" s="156"/>
      <c r="I141" s="156"/>
      <c r="J141" s="157"/>
      <c r="K141" s="154"/>
      <c r="L141" s="154"/>
      <c r="M141" s="154"/>
      <c r="N141" s="157"/>
      <c r="O141" s="78"/>
      <c r="P141" s="28"/>
      <c r="Q141" s="28"/>
      <c r="R141" s="29"/>
      <c r="S141" s="170"/>
      <c r="V141" s="29"/>
      <c r="W141" s="29"/>
      <c r="X141" s="29"/>
      <c r="Y141" s="29"/>
      <c r="Z141" s="29"/>
      <c r="AA141" s="21"/>
      <c r="AB141" s="21"/>
      <c r="AC141" s="21"/>
      <c r="AD141" s="22"/>
      <c r="AE141" s="22"/>
      <c r="AF141" s="22"/>
      <c r="AG141" s="22"/>
      <c r="AH141" s="22"/>
      <c r="AI141" s="22"/>
      <c r="AJ141" s="22"/>
      <c r="AK141" s="22"/>
      <c r="AL141" s="22"/>
      <c r="AM141" s="22"/>
      <c r="AN141" s="22"/>
      <c r="AO141" s="22"/>
      <c r="AP141" s="22"/>
      <c r="AQ141" s="22"/>
      <c r="AR141" s="221"/>
      <c r="AS141" s="221"/>
      <c r="AT141" s="22"/>
      <c r="AU141" s="22"/>
      <c r="AV141" s="22"/>
      <c r="AW141" s="22"/>
      <c r="AX141" s="22"/>
      <c r="AY141" s="22"/>
      <c r="AZ141" s="22"/>
      <c r="BA141" s="22"/>
      <c r="BB141" s="22"/>
      <c r="BC141" s="22"/>
      <c r="BD141" s="22"/>
      <c r="BE141" s="22"/>
      <c r="BF141" s="22"/>
      <c r="BG141" s="21"/>
      <c r="BH141" s="21"/>
      <c r="BI141" s="24"/>
      <c r="BJ141" s="24"/>
      <c r="BK141" s="25"/>
      <c r="BL141" s="23"/>
      <c r="BM141" s="26"/>
      <c r="BN141" s="27"/>
      <c r="BO141" s="24"/>
      <c r="BP141" s="24"/>
    </row>
    <row r="142" spans="1:68" s="30" customFormat="1" ht="33.75" customHeight="1" x14ac:dyDescent="0.25">
      <c r="A142" s="210"/>
      <c r="B142" s="210"/>
      <c r="C142" s="491"/>
      <c r="D142" s="489"/>
      <c r="E142" s="122"/>
      <c r="F142" s="154"/>
      <c r="G142" s="155"/>
      <c r="H142" s="156"/>
      <c r="I142" s="156"/>
      <c r="J142" s="157"/>
      <c r="K142" s="154"/>
      <c r="L142" s="154"/>
      <c r="M142" s="154"/>
      <c r="N142" s="157"/>
      <c r="O142" s="78"/>
      <c r="P142" s="28"/>
      <c r="Q142" s="28"/>
      <c r="R142" s="29"/>
      <c r="S142" s="170"/>
      <c r="V142" s="29"/>
      <c r="W142" s="29"/>
      <c r="X142" s="29"/>
      <c r="Y142" s="29"/>
      <c r="Z142" s="29"/>
      <c r="AA142" s="21"/>
      <c r="AB142" s="21"/>
      <c r="AC142" s="21"/>
      <c r="AD142" s="22"/>
      <c r="AE142" s="22"/>
      <c r="AF142" s="22"/>
      <c r="AG142" s="22"/>
      <c r="AH142" s="22"/>
      <c r="AI142" s="22"/>
      <c r="AJ142" s="22"/>
      <c r="AK142" s="22"/>
      <c r="AL142" s="22"/>
      <c r="AM142" s="22"/>
      <c r="AN142" s="22"/>
      <c r="AO142" s="22"/>
      <c r="AP142" s="22"/>
      <c r="AQ142" s="22"/>
      <c r="AR142" s="221"/>
      <c r="AS142" s="221"/>
      <c r="AT142" s="22"/>
      <c r="AU142" s="22"/>
      <c r="AV142" s="22"/>
      <c r="AW142" s="22"/>
      <c r="AX142" s="22"/>
      <c r="AY142" s="22"/>
      <c r="AZ142" s="22"/>
      <c r="BA142" s="22"/>
      <c r="BB142" s="22"/>
      <c r="BC142" s="22"/>
      <c r="BD142" s="22"/>
      <c r="BE142" s="22"/>
      <c r="BF142" s="22"/>
      <c r="BG142" s="21"/>
      <c r="BH142" s="21"/>
      <c r="BI142" s="24"/>
      <c r="BJ142" s="24"/>
      <c r="BK142" s="25"/>
      <c r="BL142" s="23"/>
      <c r="BM142" s="26"/>
      <c r="BN142" s="27"/>
      <c r="BO142" s="24"/>
      <c r="BP142" s="24"/>
    </row>
    <row r="143" spans="1:68" s="30" customFormat="1" ht="33.75" customHeight="1" x14ac:dyDescent="0.25">
      <c r="A143" s="210"/>
      <c r="B143" s="210"/>
      <c r="C143" s="491"/>
      <c r="D143" s="489"/>
      <c r="E143" s="122"/>
      <c r="F143" s="154"/>
      <c r="G143" s="155"/>
      <c r="H143" s="156"/>
      <c r="I143" s="156"/>
      <c r="J143" s="157"/>
      <c r="K143" s="154"/>
      <c r="L143" s="154"/>
      <c r="M143" s="154"/>
      <c r="N143" s="157"/>
      <c r="O143" s="78"/>
      <c r="P143" s="28"/>
      <c r="Q143" s="28"/>
      <c r="R143" s="29"/>
      <c r="S143" s="170"/>
      <c r="V143" s="29"/>
      <c r="W143" s="29"/>
      <c r="X143" s="29"/>
      <c r="Y143" s="29"/>
      <c r="Z143" s="29"/>
      <c r="AA143" s="21"/>
      <c r="AB143" s="21"/>
      <c r="AC143" s="21"/>
      <c r="AD143" s="22"/>
      <c r="AE143" s="22"/>
      <c r="AF143" s="22"/>
      <c r="AG143" s="22"/>
      <c r="AH143" s="22"/>
      <c r="AI143" s="22"/>
      <c r="AJ143" s="22"/>
      <c r="AK143" s="22"/>
      <c r="AL143" s="22"/>
      <c r="AM143" s="22"/>
      <c r="AN143" s="22"/>
      <c r="AO143" s="22"/>
      <c r="AP143" s="22"/>
      <c r="AQ143" s="22"/>
      <c r="AR143" s="221"/>
      <c r="AS143" s="221"/>
      <c r="AT143" s="22"/>
      <c r="AU143" s="22"/>
      <c r="AV143" s="22"/>
      <c r="AW143" s="22"/>
      <c r="AX143" s="22"/>
      <c r="AY143" s="22"/>
      <c r="AZ143" s="22"/>
      <c r="BA143" s="22"/>
      <c r="BB143" s="22"/>
      <c r="BC143" s="22"/>
      <c r="BD143" s="22"/>
      <c r="BE143" s="22"/>
      <c r="BF143" s="22"/>
      <c r="BG143" s="21"/>
      <c r="BH143" s="21"/>
      <c r="BI143" s="24"/>
      <c r="BJ143" s="24"/>
      <c r="BK143" s="25"/>
      <c r="BL143" s="23"/>
      <c r="BM143" s="26"/>
      <c r="BN143" s="27"/>
      <c r="BO143" s="24"/>
      <c r="BP143" s="24"/>
    </row>
    <row r="144" spans="1:68" s="30" customFormat="1" ht="33.75" customHeight="1" x14ac:dyDescent="0.25">
      <c r="A144" s="210"/>
      <c r="B144" s="210"/>
      <c r="C144" s="492"/>
      <c r="D144" s="489"/>
      <c r="E144" s="122"/>
      <c r="F144" s="154"/>
      <c r="G144" s="155"/>
      <c r="H144" s="156"/>
      <c r="I144" s="156"/>
      <c r="J144" s="157"/>
      <c r="K144" s="154"/>
      <c r="L144" s="154"/>
      <c r="M144" s="154"/>
      <c r="N144" s="157"/>
      <c r="O144" s="78"/>
      <c r="P144" s="28"/>
      <c r="Q144" s="28"/>
      <c r="R144" s="29"/>
      <c r="S144" s="170"/>
      <c r="V144" s="29"/>
      <c r="W144" s="29"/>
      <c r="X144" s="29"/>
      <c r="Y144" s="29"/>
      <c r="Z144" s="29"/>
      <c r="AA144" s="21"/>
      <c r="AB144" s="21"/>
      <c r="AC144" s="21"/>
      <c r="AD144" s="22"/>
      <c r="AE144" s="22"/>
      <c r="AF144" s="22"/>
      <c r="AG144" s="22"/>
      <c r="AH144" s="22"/>
      <c r="AI144" s="22"/>
      <c r="AJ144" s="22"/>
      <c r="AK144" s="22"/>
      <c r="AL144" s="22"/>
      <c r="AM144" s="22"/>
      <c r="AN144" s="22"/>
      <c r="AO144" s="22"/>
      <c r="AP144" s="22"/>
      <c r="AQ144" s="22"/>
      <c r="AR144" s="221"/>
      <c r="AS144" s="221"/>
      <c r="AT144" s="22"/>
      <c r="AU144" s="22"/>
      <c r="AV144" s="22"/>
      <c r="AW144" s="22"/>
      <c r="AX144" s="22"/>
      <c r="AY144" s="22"/>
      <c r="AZ144" s="22"/>
      <c r="BA144" s="22"/>
      <c r="BB144" s="22"/>
      <c r="BC144" s="22"/>
      <c r="BD144" s="22"/>
      <c r="BE144" s="22"/>
      <c r="BF144" s="22"/>
      <c r="BG144" s="21"/>
      <c r="BH144" s="21"/>
      <c r="BI144" s="24"/>
      <c r="BJ144" s="24"/>
      <c r="BK144" s="25"/>
      <c r="BL144" s="23"/>
      <c r="BM144" s="26"/>
      <c r="BN144" s="27"/>
      <c r="BO144" s="24"/>
      <c r="BP144" s="24"/>
    </row>
    <row r="145" spans="1:68" s="30" customFormat="1" ht="33.75" customHeight="1" x14ac:dyDescent="0.25">
      <c r="A145" s="210"/>
      <c r="B145" s="210"/>
      <c r="C145" s="492"/>
      <c r="D145" s="489"/>
      <c r="E145" s="122"/>
      <c r="F145" s="154"/>
      <c r="G145" s="155"/>
      <c r="H145" s="156"/>
      <c r="I145" s="156"/>
      <c r="J145" s="157"/>
      <c r="K145" s="154"/>
      <c r="L145" s="154"/>
      <c r="M145" s="154"/>
      <c r="N145" s="157"/>
      <c r="O145" s="78"/>
      <c r="P145" s="28"/>
      <c r="Q145" s="28"/>
      <c r="R145" s="29"/>
      <c r="S145" s="170"/>
      <c r="V145" s="29"/>
      <c r="W145" s="29"/>
      <c r="X145" s="29"/>
      <c r="Y145" s="29"/>
      <c r="Z145" s="29"/>
      <c r="AA145" s="21"/>
      <c r="AB145" s="21"/>
      <c r="AC145" s="21"/>
      <c r="AD145" s="22"/>
      <c r="AE145" s="22"/>
      <c r="AF145" s="22"/>
      <c r="AG145" s="22"/>
      <c r="AH145" s="22"/>
      <c r="AI145" s="22"/>
      <c r="AJ145" s="22"/>
      <c r="AK145" s="22"/>
      <c r="AL145" s="22"/>
      <c r="AM145" s="22"/>
      <c r="AN145" s="22"/>
      <c r="AO145" s="22"/>
      <c r="AP145" s="22"/>
      <c r="AQ145" s="22"/>
      <c r="AR145" s="221"/>
      <c r="AS145" s="221"/>
      <c r="AT145" s="22"/>
      <c r="AU145" s="22"/>
      <c r="AV145" s="22"/>
      <c r="AW145" s="22"/>
      <c r="AX145" s="22"/>
      <c r="AY145" s="22"/>
      <c r="AZ145" s="22"/>
      <c r="BA145" s="22"/>
      <c r="BB145" s="22"/>
      <c r="BC145" s="22"/>
      <c r="BD145" s="22"/>
      <c r="BE145" s="22"/>
      <c r="BF145" s="22"/>
      <c r="BG145" s="21"/>
      <c r="BH145" s="21"/>
      <c r="BI145" s="24"/>
      <c r="BJ145" s="24"/>
      <c r="BK145" s="25"/>
      <c r="BL145" s="23"/>
      <c r="BM145" s="26"/>
      <c r="BN145" s="27"/>
      <c r="BO145" s="24"/>
      <c r="BP145" s="24"/>
    </row>
    <row r="146" spans="1:68" s="30" customFormat="1" ht="33.75" customHeight="1" x14ac:dyDescent="0.25">
      <c r="A146" s="210"/>
      <c r="B146" s="210"/>
      <c r="C146" s="492"/>
      <c r="D146" s="489"/>
      <c r="E146" s="122"/>
      <c r="F146" s="154"/>
      <c r="G146" s="155"/>
      <c r="H146" s="156"/>
      <c r="I146" s="156"/>
      <c r="J146" s="157"/>
      <c r="K146" s="154"/>
      <c r="L146" s="154"/>
      <c r="M146" s="154"/>
      <c r="N146" s="157"/>
      <c r="O146" s="78"/>
      <c r="P146" s="28"/>
      <c r="Q146" s="28"/>
      <c r="R146" s="29"/>
      <c r="S146" s="170"/>
      <c r="V146" s="29"/>
      <c r="W146" s="29"/>
      <c r="X146" s="29"/>
      <c r="Y146" s="29"/>
      <c r="Z146" s="29"/>
      <c r="AA146" s="21"/>
      <c r="AB146" s="21"/>
      <c r="AC146" s="21"/>
      <c r="AD146" s="22"/>
      <c r="AE146" s="22"/>
      <c r="AF146" s="22"/>
      <c r="AG146" s="22"/>
      <c r="AH146" s="22"/>
      <c r="AI146" s="22"/>
      <c r="AJ146" s="22"/>
      <c r="AK146" s="22"/>
      <c r="AL146" s="22"/>
      <c r="AM146" s="22"/>
      <c r="AN146" s="22"/>
      <c r="AO146" s="22"/>
      <c r="AP146" s="22"/>
      <c r="AQ146" s="22"/>
      <c r="AR146" s="221"/>
      <c r="AS146" s="221"/>
      <c r="AT146" s="22"/>
      <c r="AU146" s="22"/>
      <c r="AV146" s="22"/>
      <c r="AW146" s="22"/>
      <c r="AX146" s="22"/>
      <c r="AY146" s="22"/>
      <c r="AZ146" s="22"/>
      <c r="BA146" s="22"/>
      <c r="BB146" s="22"/>
      <c r="BC146" s="22"/>
      <c r="BD146" s="22"/>
      <c r="BE146" s="22"/>
      <c r="BF146" s="22"/>
      <c r="BG146" s="21"/>
      <c r="BH146" s="21"/>
      <c r="BI146" s="24"/>
      <c r="BJ146" s="24"/>
      <c r="BK146" s="25"/>
      <c r="BL146" s="23"/>
      <c r="BM146" s="26"/>
      <c r="BN146" s="27"/>
      <c r="BO146" s="24"/>
      <c r="BP146" s="24"/>
    </row>
    <row r="147" spans="1:68" s="30" customFormat="1" ht="33.75" customHeight="1" x14ac:dyDescent="0.25">
      <c r="A147" s="210"/>
      <c r="B147" s="210"/>
      <c r="C147" s="492"/>
      <c r="D147" s="489"/>
      <c r="E147" s="122"/>
      <c r="F147" s="154"/>
      <c r="G147" s="155"/>
      <c r="H147" s="156"/>
      <c r="I147" s="156"/>
      <c r="J147" s="157"/>
      <c r="K147" s="154"/>
      <c r="L147" s="154"/>
      <c r="M147" s="154"/>
      <c r="N147" s="157"/>
      <c r="O147" s="78"/>
      <c r="P147" s="28"/>
      <c r="Q147" s="28"/>
      <c r="R147" s="29"/>
      <c r="S147" s="170"/>
      <c r="V147" s="29"/>
      <c r="W147" s="29"/>
      <c r="X147" s="29"/>
      <c r="Y147" s="29"/>
      <c r="Z147" s="29"/>
      <c r="AA147" s="21"/>
      <c r="AB147" s="21"/>
      <c r="AC147" s="21"/>
      <c r="AD147" s="22"/>
      <c r="AE147" s="22"/>
      <c r="AF147" s="22"/>
      <c r="AG147" s="22"/>
      <c r="AH147" s="22"/>
      <c r="AI147" s="22"/>
      <c r="AJ147" s="22"/>
      <c r="AK147" s="22"/>
      <c r="AL147" s="22"/>
      <c r="AM147" s="22"/>
      <c r="AN147" s="22"/>
      <c r="AO147" s="22"/>
      <c r="AP147" s="22"/>
      <c r="AQ147" s="22"/>
      <c r="AR147" s="221"/>
      <c r="AS147" s="221"/>
      <c r="AT147" s="22"/>
      <c r="AU147" s="22"/>
      <c r="AV147" s="22"/>
      <c r="AW147" s="22"/>
      <c r="AX147" s="22"/>
      <c r="AY147" s="22"/>
      <c r="AZ147" s="22"/>
      <c r="BA147" s="22"/>
      <c r="BB147" s="22"/>
      <c r="BC147" s="22"/>
      <c r="BD147" s="22"/>
      <c r="BE147" s="22"/>
      <c r="BF147" s="22"/>
      <c r="BG147" s="21"/>
      <c r="BH147" s="21"/>
      <c r="BI147" s="24"/>
      <c r="BJ147" s="24"/>
      <c r="BK147" s="25"/>
      <c r="BL147" s="23"/>
      <c r="BM147" s="26"/>
      <c r="BN147" s="27"/>
      <c r="BO147" s="24"/>
      <c r="BP147" s="24"/>
    </row>
    <row r="148" spans="1:68" s="30" customFormat="1" ht="33.75" customHeight="1" x14ac:dyDescent="0.25">
      <c r="A148" s="210"/>
      <c r="B148" s="210"/>
      <c r="C148" s="492"/>
      <c r="D148" s="489"/>
      <c r="E148" s="122"/>
      <c r="F148" s="154"/>
      <c r="G148" s="155"/>
      <c r="H148" s="156"/>
      <c r="I148" s="156"/>
      <c r="J148" s="157"/>
      <c r="K148" s="154"/>
      <c r="L148" s="154"/>
      <c r="M148" s="154"/>
      <c r="N148" s="157"/>
      <c r="O148" s="78"/>
      <c r="P148" s="28"/>
      <c r="Q148" s="28"/>
      <c r="R148" s="29"/>
      <c r="S148" s="170"/>
      <c r="V148" s="29"/>
      <c r="W148" s="29"/>
      <c r="X148" s="29"/>
      <c r="Y148" s="29"/>
      <c r="Z148" s="29"/>
      <c r="AA148" s="21"/>
      <c r="AB148" s="21"/>
      <c r="AC148" s="21"/>
      <c r="AD148" s="22"/>
      <c r="AE148" s="22"/>
      <c r="AF148" s="22"/>
      <c r="AG148" s="22"/>
      <c r="AH148" s="22"/>
      <c r="AI148" s="22"/>
      <c r="AJ148" s="22"/>
      <c r="AK148" s="22"/>
      <c r="AL148" s="22"/>
      <c r="AM148" s="22"/>
      <c r="AN148" s="22"/>
      <c r="AO148" s="22"/>
      <c r="AP148" s="22"/>
      <c r="AQ148" s="22"/>
      <c r="AR148" s="221"/>
      <c r="AS148" s="221"/>
      <c r="AT148" s="22"/>
      <c r="AU148" s="22"/>
      <c r="AV148" s="22"/>
      <c r="AW148" s="22"/>
      <c r="AX148" s="22"/>
      <c r="AY148" s="22"/>
      <c r="AZ148" s="22"/>
      <c r="BA148" s="22"/>
      <c r="BB148" s="22"/>
      <c r="BC148" s="22"/>
      <c r="BD148" s="22"/>
      <c r="BE148" s="22"/>
      <c r="BF148" s="22"/>
      <c r="BG148" s="21"/>
      <c r="BH148" s="21"/>
      <c r="BI148" s="24"/>
      <c r="BJ148" s="24"/>
      <c r="BK148" s="25"/>
      <c r="BL148" s="23"/>
      <c r="BM148" s="26"/>
      <c r="BN148" s="27"/>
      <c r="BO148" s="24"/>
      <c r="BP148" s="24"/>
    </row>
    <row r="149" spans="1:68" s="30" customFormat="1" ht="33.75" customHeight="1" x14ac:dyDescent="0.25">
      <c r="A149" s="210"/>
      <c r="B149" s="210"/>
      <c r="C149" s="492"/>
      <c r="D149" s="489"/>
      <c r="E149" s="122"/>
      <c r="F149" s="154"/>
      <c r="G149" s="155"/>
      <c r="H149" s="156"/>
      <c r="I149" s="156"/>
      <c r="J149" s="157"/>
      <c r="K149" s="154"/>
      <c r="L149" s="154"/>
      <c r="M149" s="154"/>
      <c r="N149" s="157"/>
      <c r="O149" s="78"/>
      <c r="P149" s="28"/>
      <c r="Q149" s="28"/>
      <c r="R149" s="29"/>
      <c r="S149" s="170"/>
      <c r="V149" s="29"/>
      <c r="W149" s="29"/>
      <c r="X149" s="29"/>
      <c r="Y149" s="29"/>
      <c r="Z149" s="29"/>
      <c r="AA149" s="21"/>
      <c r="AB149" s="21"/>
      <c r="AC149" s="21"/>
      <c r="AD149" s="22"/>
      <c r="AE149" s="22"/>
      <c r="AF149" s="22"/>
      <c r="AG149" s="22"/>
      <c r="AH149" s="22"/>
      <c r="AI149" s="22"/>
      <c r="AJ149" s="22"/>
      <c r="AK149" s="22"/>
      <c r="AL149" s="22"/>
      <c r="AM149" s="22"/>
      <c r="AN149" s="22"/>
      <c r="AO149" s="22"/>
      <c r="AP149" s="22"/>
      <c r="AQ149" s="22"/>
      <c r="AR149" s="221"/>
      <c r="AS149" s="221"/>
      <c r="AT149" s="22"/>
      <c r="AU149" s="22"/>
      <c r="AV149" s="22"/>
      <c r="AW149" s="22"/>
      <c r="AX149" s="22"/>
      <c r="AY149" s="22"/>
      <c r="AZ149" s="22"/>
      <c r="BA149" s="22"/>
      <c r="BB149" s="22"/>
      <c r="BC149" s="22"/>
      <c r="BD149" s="22"/>
      <c r="BE149" s="22"/>
      <c r="BF149" s="22"/>
      <c r="BG149" s="21"/>
      <c r="BH149" s="21"/>
      <c r="BI149" s="24"/>
      <c r="BJ149" s="24"/>
      <c r="BK149" s="25"/>
      <c r="BL149" s="23"/>
      <c r="BM149" s="26"/>
      <c r="BN149" s="27"/>
      <c r="BO149" s="24"/>
      <c r="BP149" s="24"/>
    </row>
    <row r="150" spans="1:68" s="30" customFormat="1" ht="33.75" customHeight="1" x14ac:dyDescent="0.25">
      <c r="A150" s="210"/>
      <c r="B150" s="210"/>
      <c r="C150" s="492"/>
      <c r="D150" s="490"/>
      <c r="E150" s="122"/>
      <c r="F150" s="154"/>
      <c r="G150" s="155"/>
      <c r="H150" s="156"/>
      <c r="I150" s="156"/>
      <c r="J150" s="157"/>
      <c r="K150" s="154"/>
      <c r="L150" s="154"/>
      <c r="M150" s="154"/>
      <c r="N150" s="157"/>
      <c r="O150" s="78"/>
      <c r="P150" s="28"/>
      <c r="Q150" s="28"/>
      <c r="R150" s="29"/>
      <c r="S150" s="170"/>
      <c r="V150" s="29"/>
      <c r="W150" s="29"/>
      <c r="X150" s="29"/>
      <c r="Y150" s="29"/>
      <c r="Z150" s="29"/>
      <c r="AA150" s="21"/>
      <c r="AB150" s="21"/>
      <c r="AC150" s="21"/>
      <c r="AD150" s="22"/>
      <c r="AE150" s="22"/>
      <c r="AF150" s="22"/>
      <c r="AG150" s="22"/>
      <c r="AH150" s="22"/>
      <c r="AI150" s="22"/>
      <c r="AJ150" s="22"/>
      <c r="AK150" s="22"/>
      <c r="AL150" s="22"/>
      <c r="AM150" s="22"/>
      <c r="AN150" s="22"/>
      <c r="AO150" s="22"/>
      <c r="AP150" s="22"/>
      <c r="AQ150" s="22"/>
      <c r="AR150" s="221"/>
      <c r="AS150" s="221"/>
      <c r="AT150" s="22"/>
      <c r="AU150" s="22"/>
      <c r="AV150" s="22"/>
      <c r="AW150" s="22"/>
      <c r="AX150" s="22"/>
      <c r="AY150" s="22"/>
      <c r="AZ150" s="22"/>
      <c r="BA150" s="22"/>
      <c r="BB150" s="22"/>
      <c r="BC150" s="22"/>
      <c r="BD150" s="22"/>
      <c r="BE150" s="22"/>
      <c r="BF150" s="22"/>
      <c r="BG150" s="21"/>
      <c r="BH150" s="21"/>
      <c r="BI150" s="24"/>
      <c r="BJ150" s="24"/>
      <c r="BK150" s="25"/>
      <c r="BL150" s="23"/>
      <c r="BM150" s="26"/>
      <c r="BN150" s="27"/>
      <c r="BO150" s="24"/>
      <c r="BP150" s="24"/>
    </row>
    <row r="151" spans="1:68" s="30" customFormat="1" ht="33.75" customHeight="1" x14ac:dyDescent="0.25">
      <c r="A151" s="210"/>
      <c r="B151" s="210"/>
      <c r="C151" s="492"/>
      <c r="D151" s="490"/>
      <c r="E151" s="122"/>
      <c r="F151" s="154"/>
      <c r="G151" s="155"/>
      <c r="H151" s="156"/>
      <c r="I151" s="156"/>
      <c r="J151" s="157"/>
      <c r="K151" s="154"/>
      <c r="L151" s="154"/>
      <c r="M151" s="154"/>
      <c r="N151" s="157"/>
      <c r="O151" s="78"/>
      <c r="P151" s="28"/>
      <c r="Q151" s="28"/>
      <c r="R151" s="29"/>
      <c r="S151" s="170"/>
      <c r="V151" s="29"/>
      <c r="W151" s="29"/>
      <c r="X151" s="29"/>
      <c r="Y151" s="29"/>
      <c r="Z151" s="29"/>
      <c r="AA151" s="21"/>
      <c r="AB151" s="21"/>
      <c r="AC151" s="21"/>
      <c r="AD151" s="22"/>
      <c r="AE151" s="22"/>
      <c r="AF151" s="22"/>
      <c r="AG151" s="22"/>
      <c r="AH151" s="22"/>
      <c r="AI151" s="22"/>
      <c r="AJ151" s="22"/>
      <c r="AK151" s="22"/>
      <c r="AL151" s="22"/>
      <c r="AM151" s="22"/>
      <c r="AN151" s="22"/>
      <c r="AO151" s="22"/>
      <c r="AP151" s="22"/>
      <c r="AQ151" s="22"/>
      <c r="AR151" s="221"/>
      <c r="AS151" s="221"/>
      <c r="AT151" s="22"/>
      <c r="AU151" s="22"/>
      <c r="AV151" s="22"/>
      <c r="AW151" s="22"/>
      <c r="AX151" s="22"/>
      <c r="AY151" s="22"/>
      <c r="AZ151" s="22"/>
      <c r="BA151" s="22"/>
      <c r="BB151" s="22"/>
      <c r="BC151" s="22"/>
      <c r="BD151" s="22"/>
      <c r="BE151" s="22"/>
      <c r="BF151" s="22"/>
      <c r="BG151" s="21"/>
      <c r="BH151" s="21"/>
      <c r="BI151" s="24"/>
      <c r="BJ151" s="24"/>
      <c r="BK151" s="25"/>
      <c r="BL151" s="23"/>
      <c r="BM151" s="26"/>
      <c r="BN151" s="27"/>
      <c r="BO151" s="24"/>
      <c r="BP151" s="24"/>
    </row>
    <row r="152" spans="1:68" s="30" customFormat="1" ht="33.75" customHeight="1" x14ac:dyDescent="0.25">
      <c r="A152" s="210"/>
      <c r="B152" s="210"/>
      <c r="C152" s="492"/>
      <c r="D152" s="490"/>
      <c r="E152" s="122"/>
      <c r="F152" s="154"/>
      <c r="G152" s="155"/>
      <c r="H152" s="156"/>
      <c r="I152" s="156"/>
      <c r="J152" s="157"/>
      <c r="K152" s="154"/>
      <c r="L152" s="154"/>
      <c r="M152" s="154"/>
      <c r="N152" s="157"/>
      <c r="O152" s="78"/>
      <c r="P152" s="28"/>
      <c r="Q152" s="28"/>
      <c r="R152" s="29"/>
      <c r="S152" s="170"/>
      <c r="V152" s="29"/>
      <c r="W152" s="29"/>
      <c r="X152" s="29"/>
      <c r="Y152" s="29"/>
      <c r="Z152" s="29"/>
      <c r="AA152" s="21"/>
      <c r="AB152" s="21"/>
      <c r="AC152" s="21"/>
      <c r="AD152" s="22"/>
      <c r="AE152" s="22"/>
      <c r="AF152" s="22"/>
      <c r="AG152" s="22"/>
      <c r="AH152" s="22"/>
      <c r="AI152" s="22"/>
      <c r="AJ152" s="22"/>
      <c r="AK152" s="22"/>
      <c r="AL152" s="22"/>
      <c r="AM152" s="22"/>
      <c r="AN152" s="22"/>
      <c r="AO152" s="22"/>
      <c r="AP152" s="22"/>
      <c r="AQ152" s="22"/>
      <c r="AR152" s="221"/>
      <c r="AS152" s="221"/>
      <c r="AT152" s="22"/>
      <c r="AU152" s="22"/>
      <c r="AV152" s="22"/>
      <c r="AW152" s="22"/>
      <c r="AX152" s="22"/>
      <c r="AY152" s="22"/>
      <c r="AZ152" s="22"/>
      <c r="BA152" s="22"/>
      <c r="BB152" s="22"/>
      <c r="BC152" s="22"/>
      <c r="BD152" s="22"/>
      <c r="BE152" s="22"/>
      <c r="BF152" s="22"/>
      <c r="BG152" s="21"/>
      <c r="BH152" s="21"/>
      <c r="BI152" s="24"/>
      <c r="BJ152" s="24"/>
      <c r="BK152" s="25"/>
      <c r="BL152" s="23"/>
      <c r="BM152" s="26"/>
      <c r="BN152" s="27"/>
      <c r="BO152" s="24"/>
      <c r="BP152" s="24"/>
    </row>
    <row r="153" spans="1:68" s="30" customFormat="1" ht="33.75" customHeight="1" x14ac:dyDescent="0.25">
      <c r="A153" s="210"/>
      <c r="B153" s="210"/>
      <c r="C153" s="492"/>
      <c r="D153" s="490"/>
      <c r="E153" s="122"/>
      <c r="F153" s="154"/>
      <c r="G153" s="155"/>
      <c r="H153" s="156"/>
      <c r="I153" s="156"/>
      <c r="J153" s="157"/>
      <c r="K153" s="154"/>
      <c r="L153" s="154"/>
      <c r="M153" s="154"/>
      <c r="N153" s="157"/>
      <c r="O153" s="78"/>
      <c r="P153" s="28"/>
      <c r="Q153" s="28"/>
      <c r="R153" s="29"/>
      <c r="S153" s="170"/>
      <c r="V153" s="29"/>
      <c r="W153" s="29"/>
      <c r="X153" s="29"/>
      <c r="Y153" s="29"/>
      <c r="Z153" s="29"/>
      <c r="AA153" s="21"/>
      <c r="AB153" s="21"/>
      <c r="AC153" s="21"/>
      <c r="AD153" s="22"/>
      <c r="AE153" s="22"/>
      <c r="AF153" s="22"/>
      <c r="AG153" s="22"/>
      <c r="AH153" s="22"/>
      <c r="AI153" s="22"/>
      <c r="AJ153" s="22"/>
      <c r="AK153" s="22"/>
      <c r="AL153" s="22"/>
      <c r="AM153" s="22"/>
      <c r="AN153" s="22"/>
      <c r="AO153" s="22"/>
      <c r="AP153" s="22"/>
      <c r="AQ153" s="22"/>
      <c r="AR153" s="221"/>
      <c r="AS153" s="221"/>
      <c r="AT153" s="22"/>
      <c r="AU153" s="22"/>
      <c r="AV153" s="22"/>
      <c r="AW153" s="22"/>
      <c r="AX153" s="22"/>
      <c r="AY153" s="22"/>
      <c r="AZ153" s="22"/>
      <c r="BA153" s="22"/>
      <c r="BB153" s="22"/>
      <c r="BC153" s="22"/>
      <c r="BD153" s="22"/>
      <c r="BE153" s="22"/>
      <c r="BF153" s="22"/>
      <c r="BG153" s="21"/>
      <c r="BH153" s="21"/>
      <c r="BI153" s="24"/>
      <c r="BJ153" s="24"/>
      <c r="BK153" s="25"/>
      <c r="BL153" s="23"/>
      <c r="BM153" s="26"/>
      <c r="BN153" s="27"/>
      <c r="BO153" s="24"/>
      <c r="BP153" s="24"/>
    </row>
    <row r="154" spans="1:68" s="30" customFormat="1" ht="33.75" customHeight="1" x14ac:dyDescent="0.25">
      <c r="A154" s="210"/>
      <c r="B154" s="210"/>
      <c r="C154" s="492"/>
      <c r="D154" s="490"/>
      <c r="E154" s="122"/>
      <c r="F154" s="154"/>
      <c r="G154" s="155"/>
      <c r="H154" s="156"/>
      <c r="I154" s="156"/>
      <c r="J154" s="157"/>
      <c r="K154" s="154"/>
      <c r="L154" s="154"/>
      <c r="M154" s="154"/>
      <c r="N154" s="157"/>
      <c r="O154" s="78"/>
      <c r="P154" s="28"/>
      <c r="Q154" s="28"/>
      <c r="R154" s="29"/>
      <c r="S154" s="170"/>
      <c r="V154" s="29"/>
      <c r="W154" s="29"/>
      <c r="X154" s="29"/>
      <c r="Y154" s="29"/>
      <c r="Z154" s="29"/>
      <c r="AA154" s="21"/>
      <c r="AB154" s="21"/>
      <c r="AC154" s="21"/>
      <c r="AD154" s="22"/>
      <c r="AE154" s="22"/>
      <c r="AF154" s="22"/>
      <c r="AG154" s="22"/>
      <c r="AH154" s="22"/>
      <c r="AI154" s="22"/>
      <c r="AJ154" s="22"/>
      <c r="AK154" s="22"/>
      <c r="AL154" s="22"/>
      <c r="AM154" s="22"/>
      <c r="AN154" s="22"/>
      <c r="AO154" s="22"/>
      <c r="AP154" s="22"/>
      <c r="AQ154" s="22"/>
      <c r="AR154" s="221"/>
      <c r="AS154" s="221"/>
      <c r="AT154" s="22"/>
      <c r="AU154" s="22"/>
      <c r="AV154" s="22"/>
      <c r="AW154" s="22"/>
      <c r="AX154" s="22"/>
      <c r="AY154" s="22"/>
      <c r="AZ154" s="22"/>
      <c r="BA154" s="22"/>
      <c r="BB154" s="22"/>
      <c r="BC154" s="22"/>
      <c r="BD154" s="22"/>
      <c r="BE154" s="22"/>
      <c r="BF154" s="22"/>
      <c r="BG154" s="21"/>
      <c r="BH154" s="21"/>
      <c r="BI154" s="24"/>
      <c r="BJ154" s="24"/>
      <c r="BK154" s="25"/>
      <c r="BL154" s="23"/>
      <c r="BM154" s="26"/>
      <c r="BN154" s="27"/>
      <c r="BO154" s="24"/>
      <c r="BP154" s="24"/>
    </row>
    <row r="155" spans="1:68" s="30" customFormat="1" ht="33.75" customHeight="1" x14ac:dyDescent="0.25">
      <c r="A155" s="210"/>
      <c r="B155" s="210"/>
      <c r="C155" s="492"/>
      <c r="D155" s="490"/>
      <c r="E155" s="122"/>
      <c r="F155" s="154"/>
      <c r="G155" s="155"/>
      <c r="H155" s="156"/>
      <c r="I155" s="156"/>
      <c r="J155" s="157"/>
      <c r="K155" s="154"/>
      <c r="L155" s="154"/>
      <c r="M155" s="154"/>
      <c r="N155" s="157"/>
      <c r="O155" s="78"/>
      <c r="P155" s="28"/>
      <c r="Q155" s="28"/>
      <c r="R155" s="29"/>
      <c r="S155" s="170"/>
      <c r="V155" s="29"/>
      <c r="W155" s="29"/>
      <c r="X155" s="29"/>
      <c r="Y155" s="29"/>
      <c r="Z155" s="29"/>
      <c r="AA155" s="21"/>
      <c r="AB155" s="21"/>
      <c r="AC155" s="21"/>
      <c r="AD155" s="22"/>
      <c r="AE155" s="22"/>
      <c r="AF155" s="22"/>
      <c r="AG155" s="22"/>
      <c r="AH155" s="22"/>
      <c r="AI155" s="22"/>
      <c r="AJ155" s="22"/>
      <c r="AK155" s="22"/>
      <c r="AL155" s="22"/>
      <c r="AM155" s="22"/>
      <c r="AN155" s="22"/>
      <c r="AO155" s="22"/>
      <c r="AP155" s="22"/>
      <c r="AQ155" s="22"/>
      <c r="AR155" s="221"/>
      <c r="AS155" s="221"/>
      <c r="AT155" s="22"/>
      <c r="AU155" s="22"/>
      <c r="AV155" s="22"/>
      <c r="AW155" s="22"/>
      <c r="AX155" s="22"/>
      <c r="AY155" s="22"/>
      <c r="AZ155" s="22"/>
      <c r="BA155" s="22"/>
      <c r="BB155" s="22"/>
      <c r="BC155" s="22"/>
      <c r="BD155" s="22"/>
      <c r="BE155" s="22"/>
      <c r="BF155" s="22"/>
      <c r="BG155" s="21"/>
      <c r="BH155" s="21"/>
      <c r="BI155" s="24"/>
      <c r="BJ155" s="24"/>
      <c r="BK155" s="25"/>
      <c r="BL155" s="23"/>
      <c r="BM155" s="26"/>
      <c r="BN155" s="27"/>
      <c r="BO155" s="24"/>
      <c r="BP155" s="24"/>
    </row>
    <row r="156" spans="1:68" s="30" customFormat="1" ht="33.75" customHeight="1" x14ac:dyDescent="0.25">
      <c r="A156" s="210"/>
      <c r="B156" s="210"/>
      <c r="C156" s="492"/>
      <c r="D156" s="490"/>
      <c r="E156" s="122"/>
      <c r="F156" s="154"/>
      <c r="G156" s="155"/>
      <c r="H156" s="156"/>
      <c r="I156" s="156"/>
      <c r="J156" s="157"/>
      <c r="K156" s="154"/>
      <c r="L156" s="154"/>
      <c r="M156" s="154"/>
      <c r="N156" s="157"/>
      <c r="O156" s="78"/>
      <c r="P156" s="28"/>
      <c r="Q156" s="28"/>
      <c r="R156" s="29"/>
      <c r="S156" s="170"/>
      <c r="V156" s="29"/>
      <c r="W156" s="29"/>
      <c r="X156" s="29"/>
      <c r="Y156" s="29"/>
      <c r="Z156" s="29"/>
      <c r="AA156" s="21"/>
      <c r="AB156" s="21"/>
      <c r="AC156" s="21"/>
      <c r="AD156" s="22"/>
      <c r="AE156" s="22"/>
      <c r="AF156" s="22"/>
      <c r="AG156" s="22"/>
      <c r="AH156" s="22"/>
      <c r="AI156" s="22"/>
      <c r="AJ156" s="22"/>
      <c r="AK156" s="22"/>
      <c r="AL156" s="22"/>
      <c r="AM156" s="22"/>
      <c r="AN156" s="22"/>
      <c r="AO156" s="22"/>
      <c r="AP156" s="22"/>
      <c r="AQ156" s="22"/>
      <c r="AR156" s="221"/>
      <c r="AS156" s="221"/>
      <c r="AT156" s="22"/>
      <c r="AU156" s="22"/>
      <c r="AV156" s="22"/>
      <c r="AW156" s="22"/>
      <c r="AX156" s="22"/>
      <c r="AY156" s="22"/>
      <c r="AZ156" s="22"/>
      <c r="BA156" s="22"/>
      <c r="BB156" s="22"/>
      <c r="BC156" s="22"/>
      <c r="BD156" s="22"/>
      <c r="BE156" s="22"/>
      <c r="BF156" s="22"/>
      <c r="BG156" s="21"/>
      <c r="BH156" s="21"/>
      <c r="BI156" s="24"/>
      <c r="BJ156" s="24"/>
      <c r="BK156" s="25"/>
      <c r="BL156" s="23"/>
      <c r="BM156" s="26"/>
      <c r="BN156" s="27"/>
      <c r="BO156" s="24"/>
      <c r="BP156" s="24"/>
    </row>
    <row r="157" spans="1:68" s="30" customFormat="1" ht="33.75" customHeight="1" x14ac:dyDescent="0.25">
      <c r="A157" s="210"/>
      <c r="B157" s="210"/>
      <c r="C157" s="492"/>
      <c r="D157" s="490"/>
      <c r="E157" s="122"/>
      <c r="F157" s="154"/>
      <c r="G157" s="155"/>
      <c r="H157" s="156"/>
      <c r="I157" s="156"/>
      <c r="J157" s="157"/>
      <c r="K157" s="154"/>
      <c r="L157" s="154"/>
      <c r="M157" s="154"/>
      <c r="N157" s="157"/>
      <c r="O157" s="78"/>
      <c r="P157" s="28"/>
      <c r="Q157" s="28"/>
      <c r="R157" s="29"/>
      <c r="S157" s="170"/>
      <c r="V157" s="29"/>
      <c r="W157" s="29"/>
      <c r="X157" s="29"/>
      <c r="Y157" s="29"/>
      <c r="Z157" s="29"/>
      <c r="AA157" s="21"/>
      <c r="AB157" s="21"/>
      <c r="AC157" s="21"/>
      <c r="AD157" s="22"/>
      <c r="AE157" s="22"/>
      <c r="AF157" s="22"/>
      <c r="AG157" s="22"/>
      <c r="AH157" s="22"/>
      <c r="AI157" s="22"/>
      <c r="AJ157" s="22"/>
      <c r="AK157" s="22"/>
      <c r="AL157" s="22"/>
      <c r="AM157" s="22"/>
      <c r="AN157" s="22"/>
      <c r="AO157" s="22"/>
      <c r="AP157" s="22"/>
      <c r="AQ157" s="22"/>
      <c r="AR157" s="221"/>
      <c r="AS157" s="221"/>
      <c r="AT157" s="22"/>
      <c r="AU157" s="22"/>
      <c r="AV157" s="22"/>
      <c r="AW157" s="22"/>
      <c r="AX157" s="22"/>
      <c r="AY157" s="22"/>
      <c r="AZ157" s="22"/>
      <c r="BA157" s="22"/>
      <c r="BB157" s="22"/>
      <c r="BC157" s="22"/>
      <c r="BD157" s="22"/>
      <c r="BE157" s="22"/>
      <c r="BF157" s="22"/>
      <c r="BG157" s="21"/>
      <c r="BH157" s="21"/>
      <c r="BI157" s="24"/>
      <c r="BJ157" s="24"/>
      <c r="BK157" s="25"/>
      <c r="BL157" s="23"/>
      <c r="BM157" s="26"/>
      <c r="BN157" s="27"/>
      <c r="BO157" s="24"/>
      <c r="BP157" s="24"/>
    </row>
    <row r="158" spans="1:68" s="30" customFormat="1" ht="33.75" customHeight="1" x14ac:dyDescent="0.25">
      <c r="A158" s="210"/>
      <c r="B158" s="210"/>
      <c r="C158" s="492"/>
      <c r="D158" s="490"/>
      <c r="E158" s="122"/>
      <c r="F158" s="154"/>
      <c r="G158" s="155"/>
      <c r="H158" s="156"/>
      <c r="I158" s="156"/>
      <c r="J158" s="157"/>
      <c r="K158" s="154"/>
      <c r="L158" s="154"/>
      <c r="M158" s="154"/>
      <c r="N158" s="157"/>
      <c r="O158" s="78"/>
      <c r="P158" s="28"/>
      <c r="Q158" s="28"/>
      <c r="R158" s="29"/>
      <c r="S158" s="170"/>
      <c r="V158" s="29"/>
      <c r="W158" s="29"/>
      <c r="X158" s="29"/>
      <c r="Y158" s="29"/>
      <c r="Z158" s="29"/>
      <c r="AA158" s="21"/>
      <c r="AB158" s="21"/>
      <c r="AC158" s="21"/>
      <c r="AD158" s="22"/>
      <c r="AE158" s="22"/>
      <c r="AF158" s="22"/>
      <c r="AG158" s="22"/>
      <c r="AH158" s="22"/>
      <c r="AI158" s="22"/>
      <c r="AJ158" s="22"/>
      <c r="AK158" s="22"/>
      <c r="AL158" s="22"/>
      <c r="AM158" s="22"/>
      <c r="AN158" s="22"/>
      <c r="AO158" s="22"/>
      <c r="AP158" s="22"/>
      <c r="AQ158" s="22"/>
      <c r="AR158" s="221"/>
      <c r="AS158" s="221"/>
      <c r="AT158" s="22"/>
      <c r="AU158" s="22"/>
      <c r="AV158" s="22"/>
      <c r="AW158" s="22"/>
      <c r="AX158" s="22"/>
      <c r="AY158" s="22"/>
      <c r="AZ158" s="22"/>
      <c r="BA158" s="22"/>
      <c r="BB158" s="22"/>
      <c r="BC158" s="22"/>
      <c r="BD158" s="22"/>
      <c r="BE158" s="22"/>
      <c r="BF158" s="22"/>
      <c r="BG158" s="21"/>
      <c r="BH158" s="21"/>
      <c r="BI158" s="24"/>
      <c r="BJ158" s="24"/>
      <c r="BK158" s="25"/>
      <c r="BL158" s="23"/>
      <c r="BM158" s="26"/>
      <c r="BN158" s="27"/>
      <c r="BO158" s="24"/>
      <c r="BP158" s="24"/>
    </row>
    <row r="159" spans="1:68" s="30" customFormat="1" ht="33.75" customHeight="1" x14ac:dyDescent="0.25">
      <c r="A159" s="210"/>
      <c r="B159" s="210"/>
      <c r="C159" s="492"/>
      <c r="D159" s="490"/>
      <c r="E159" s="122"/>
      <c r="F159" s="154"/>
      <c r="G159" s="155"/>
      <c r="H159" s="156"/>
      <c r="I159" s="156"/>
      <c r="J159" s="157"/>
      <c r="K159" s="154"/>
      <c r="L159" s="154"/>
      <c r="M159" s="154"/>
      <c r="N159" s="157"/>
      <c r="O159" s="78"/>
      <c r="P159" s="28"/>
      <c r="Q159" s="28"/>
      <c r="R159" s="29"/>
      <c r="S159" s="170"/>
      <c r="V159" s="29"/>
      <c r="W159" s="29"/>
      <c r="X159" s="29"/>
      <c r="Y159" s="29"/>
      <c r="Z159" s="29"/>
      <c r="AA159" s="21"/>
      <c r="AB159" s="21"/>
      <c r="AC159" s="21"/>
      <c r="AD159" s="22"/>
      <c r="AE159" s="22"/>
      <c r="AF159" s="22"/>
      <c r="AG159" s="22"/>
      <c r="AH159" s="22"/>
      <c r="AI159" s="22"/>
      <c r="AJ159" s="22"/>
      <c r="AK159" s="22"/>
      <c r="AL159" s="22"/>
      <c r="AM159" s="22"/>
      <c r="AN159" s="22"/>
      <c r="AO159" s="22"/>
      <c r="AP159" s="22"/>
      <c r="AQ159" s="22"/>
      <c r="AR159" s="221"/>
      <c r="AS159" s="221"/>
      <c r="AT159" s="22"/>
      <c r="AU159" s="22"/>
      <c r="AV159" s="22"/>
      <c r="AW159" s="22"/>
      <c r="AX159" s="22"/>
      <c r="AY159" s="22"/>
      <c r="AZ159" s="22"/>
      <c r="BA159" s="22"/>
      <c r="BB159" s="22"/>
      <c r="BC159" s="22"/>
      <c r="BD159" s="22"/>
      <c r="BE159" s="22"/>
      <c r="BF159" s="22"/>
      <c r="BG159" s="21"/>
      <c r="BH159" s="21"/>
      <c r="BI159" s="24"/>
      <c r="BJ159" s="24"/>
      <c r="BK159" s="25"/>
      <c r="BL159" s="23"/>
      <c r="BM159" s="26"/>
      <c r="BN159" s="27"/>
      <c r="BO159" s="24"/>
      <c r="BP159" s="24"/>
    </row>
  </sheetData>
  <mergeCells count="33">
    <mergeCell ref="A1:BP1"/>
    <mergeCell ref="A2:E2"/>
    <mergeCell ref="G2:J2"/>
    <mergeCell ref="K2:N2"/>
    <mergeCell ref="O2:R2"/>
    <mergeCell ref="S2:V2"/>
    <mergeCell ref="W2:Z2"/>
    <mergeCell ref="AA2:AD2"/>
    <mergeCell ref="BG2:BI2"/>
    <mergeCell ref="BJ2:BM2"/>
    <mergeCell ref="BN2:BP2"/>
    <mergeCell ref="AU2:AX2"/>
    <mergeCell ref="AE2:AH2"/>
    <mergeCell ref="AI2:AL2"/>
    <mergeCell ref="AM2:AP2"/>
    <mergeCell ref="AQ2:AT2"/>
    <mergeCell ref="V92:AD95"/>
    <mergeCell ref="BG92:BM92"/>
    <mergeCell ref="BG93:BM93"/>
    <mergeCell ref="BG94:BM94"/>
    <mergeCell ref="BG95:BM95"/>
    <mergeCell ref="BG99:BM99"/>
    <mergeCell ref="C106:D109"/>
    <mergeCell ref="E106:S109"/>
    <mergeCell ref="BI106:BK109"/>
    <mergeCell ref="BM106:BO109"/>
    <mergeCell ref="AY2:BB2"/>
    <mergeCell ref="BC2:BF2"/>
    <mergeCell ref="BG96:BM96"/>
    <mergeCell ref="BG97:BM97"/>
    <mergeCell ref="BG98:BM98"/>
    <mergeCell ref="BG90:BM90"/>
    <mergeCell ref="BG91:BM91"/>
  </mergeCells>
  <conditionalFormatting sqref="AM5:AM89 G5:G86 K5:K86 W5:W89 AQ5:AQ89 AU5:AU89 K88:K89 G88:G89">
    <cfRule type="cellIs" dxfId="562" priority="43" operator="lessThan">
      <formula>0</formula>
    </cfRule>
  </conditionalFormatting>
  <conditionalFormatting sqref="AY5:AY89">
    <cfRule type="cellIs" dxfId="561" priority="2" operator="lessThan">
      <formula>0</formula>
    </cfRule>
  </conditionalFormatting>
  <conditionalFormatting sqref="BC5:BC89">
    <cfRule type="cellIs" dxfId="560" priority="1" operator="lessThan">
      <formula>0</formula>
    </cfRule>
  </conditionalFormatting>
  <conditionalFormatting sqref="C5:C89">
    <cfRule type="duplicateValues" dxfId="559" priority="26692"/>
  </conditionalFormatting>
  <pageMargins left="0.43" right="0.19685039370078741" top="0.49" bottom="0.52" header="0.15748031496062992" footer="0.17"/>
  <pageSetup paperSize="5" scale="62" orientation="landscape" r:id="rId1"/>
  <headerFoot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CX160"/>
  <sheetViews>
    <sheetView view="pageBreakPreview" topLeftCell="A31" zoomScale="55" zoomScaleNormal="25" zoomScaleSheetLayoutView="55" zoomScalePageLayoutView="10" workbookViewId="0">
      <selection activeCell="U45" sqref="U45"/>
    </sheetView>
  </sheetViews>
  <sheetFormatPr defaultColWidth="9.140625" defaultRowHeight="30" x14ac:dyDescent="0.25"/>
  <cols>
    <col min="1" max="1" width="5.140625" style="444" customWidth="1"/>
    <col min="2" max="2" width="8.28515625" style="516" customWidth="1"/>
    <col min="3" max="3" width="29.7109375" style="444" customWidth="1"/>
    <col min="4" max="4" width="34" style="444" customWidth="1"/>
    <col min="5" max="5" width="7.7109375" style="444" bestFit="1" customWidth="1"/>
    <col min="6" max="6" width="15.42578125" style="444" bestFit="1" customWidth="1"/>
    <col min="7" max="7" width="6.42578125" style="444" customWidth="1"/>
    <col min="8" max="8" width="16.28515625" style="522" customWidth="1"/>
    <col min="9" max="9" width="13" style="522" customWidth="1"/>
    <col min="10" max="10" width="7.7109375" style="522" customWidth="1"/>
    <col min="11" max="11" width="5.85546875" style="523" customWidth="1"/>
    <col min="12" max="12" width="12" style="513" customWidth="1"/>
    <col min="13" max="13" width="13" style="513" customWidth="1"/>
    <col min="14" max="15" width="7.7109375" style="513" customWidth="1"/>
    <col min="16" max="16" width="12" style="227" bestFit="1" customWidth="1"/>
    <col min="17" max="18" width="14.85546875" style="227" bestFit="1" customWidth="1"/>
    <col min="19" max="19" width="5.85546875" style="227" bestFit="1" customWidth="1"/>
    <col min="20" max="20" width="12.140625" style="227" bestFit="1" customWidth="1"/>
    <col min="21" max="21" width="14.85546875" style="227" bestFit="1" customWidth="1"/>
    <col min="22" max="22" width="17" style="227" customWidth="1"/>
    <col min="23" max="23" width="5.85546875" style="227" customWidth="1"/>
    <col min="24" max="24" width="12" style="227" customWidth="1"/>
    <col min="25" max="25" width="13" style="227" customWidth="1"/>
    <col min="26" max="26" width="7.7109375" style="227" customWidth="1"/>
    <col min="27" max="27" width="6.42578125" style="227" bestFit="1" customWidth="1"/>
    <col min="28" max="28" width="12" style="227" bestFit="1" customWidth="1"/>
    <col min="29" max="29" width="13" style="227" bestFit="1" customWidth="1"/>
    <col min="30" max="30" width="15.85546875" style="227" customWidth="1"/>
    <col min="31" max="31" width="6.42578125" style="227" customWidth="1"/>
    <col min="32" max="32" width="12" style="227" customWidth="1"/>
    <col min="33" max="33" width="13" style="227" customWidth="1"/>
    <col min="34" max="34" width="14" style="227" customWidth="1"/>
    <col min="35" max="35" width="6.42578125" style="227" bestFit="1" customWidth="1"/>
    <col min="36" max="38" width="16.7109375" style="227" customWidth="1"/>
    <col min="39" max="39" width="5.85546875" style="227" customWidth="1"/>
    <col min="40" max="40" width="12" style="227" customWidth="1"/>
    <col min="41" max="41" width="13" style="227" customWidth="1"/>
    <col min="42" max="42" width="7.7109375" style="227" customWidth="1"/>
    <col min="43" max="43" width="5.85546875" style="227" customWidth="1"/>
    <col min="44" max="44" width="12" style="227" customWidth="1"/>
    <col min="45" max="45" width="13" style="227" customWidth="1"/>
    <col min="46" max="46" width="7.7109375" style="227" customWidth="1"/>
    <col min="47" max="47" width="5.85546875" style="513" customWidth="1"/>
    <col min="48" max="48" width="12" style="513" customWidth="1"/>
    <col min="49" max="49" width="13" style="513" customWidth="1"/>
    <col min="50" max="50" width="7.7109375" style="513" customWidth="1"/>
    <col min="51" max="57" width="16" style="513" customWidth="1"/>
    <col min="58" max="58" width="16.5703125" style="513" customWidth="1"/>
    <col min="59" max="59" width="49.140625" style="513" customWidth="1"/>
    <col min="60" max="60" width="20" style="771" customWidth="1"/>
    <col min="61" max="61" width="19.7109375" style="513" customWidth="1"/>
    <col min="62" max="62" width="21.140625" style="513" customWidth="1"/>
    <col min="63" max="63" width="13" style="513" customWidth="1"/>
    <col min="64" max="64" width="28.5703125" style="227" customWidth="1"/>
    <col min="65" max="65" width="17.7109375" style="775" customWidth="1"/>
    <col min="66" max="66" width="15.28515625" style="227" customWidth="1"/>
    <col min="67" max="67" width="17.7109375" style="513" customWidth="1"/>
    <col min="68" max="68" width="17.85546875" style="513" customWidth="1"/>
    <col min="69" max="69" width="36.28515625" style="513" bestFit="1" customWidth="1"/>
    <col min="70" max="70" width="16.28515625" style="513" customWidth="1"/>
    <col min="71" max="71" width="20.42578125" style="513" customWidth="1"/>
    <col min="72" max="72" width="13.85546875" style="513" customWidth="1"/>
    <col min="73" max="73" width="20.85546875" style="513" customWidth="1"/>
    <col min="74" max="74" width="21.85546875" style="513" customWidth="1"/>
    <col min="75" max="75" width="25" style="513" bestFit="1" customWidth="1"/>
    <col min="76" max="76" width="20.28515625" style="444" bestFit="1" customWidth="1"/>
    <col min="77" max="77" width="17.5703125" style="444" customWidth="1"/>
    <col min="78" max="78" width="19.7109375" style="444" customWidth="1"/>
    <col min="79" max="79" width="12.140625" style="612" bestFit="1" customWidth="1"/>
    <col min="80" max="80" width="23.85546875" style="613" bestFit="1" customWidth="1"/>
    <col min="81" max="81" width="16.42578125" style="444" bestFit="1" customWidth="1"/>
    <col min="82" max="82" width="9.28515625" style="614" bestFit="1" customWidth="1"/>
    <col min="83" max="83" width="28.7109375" style="492" bestFit="1" customWidth="1"/>
    <col min="84" max="84" width="30.28515625" style="444" bestFit="1" customWidth="1"/>
    <col min="85" max="85" width="9.42578125" style="444" bestFit="1" customWidth="1"/>
    <col min="86" max="86" width="10.7109375" style="444" bestFit="1" customWidth="1"/>
    <col min="87" max="87" width="12" style="444" bestFit="1" customWidth="1"/>
    <col min="88" max="89" width="37.140625" style="444" customWidth="1"/>
    <col min="90" max="90" width="24" style="444" customWidth="1"/>
    <col min="91" max="91" width="31.42578125" style="444" customWidth="1"/>
    <col min="92" max="93" width="9.140625" style="444" customWidth="1"/>
    <col min="94" max="94" width="19.85546875" style="444" customWidth="1"/>
    <col min="95" max="95" width="9.140625" style="444" customWidth="1"/>
    <col min="96" max="96" width="45.42578125" style="444" customWidth="1"/>
    <col min="97" max="97" width="28.140625" style="444" customWidth="1"/>
    <col min="98" max="98" width="16.140625" style="444" bestFit="1" customWidth="1"/>
    <col min="99" max="16384" width="9.140625" style="444"/>
  </cols>
  <sheetData>
    <row r="1" spans="1:96" s="579" customFormat="1" ht="45" x14ac:dyDescent="0.25">
      <c r="A1" s="840" t="str">
        <f>CONCATENATE("Price Comparision  Statement   Against Indent ",Form!D2)</f>
        <v>Price Comparision  Statement   Against Indent abcd001</v>
      </c>
      <c r="B1" s="840"/>
      <c r="C1" s="840"/>
      <c r="D1" s="840"/>
      <c r="E1" s="841"/>
      <c r="F1" s="841"/>
      <c r="G1" s="841"/>
      <c r="H1" s="840"/>
      <c r="I1" s="840"/>
      <c r="J1" s="840"/>
      <c r="K1" s="841"/>
      <c r="L1" s="841"/>
      <c r="M1" s="841"/>
      <c r="N1" s="841"/>
      <c r="O1" s="840"/>
      <c r="P1" s="840"/>
      <c r="Q1" s="840"/>
      <c r="R1" s="840"/>
      <c r="S1" s="841"/>
      <c r="T1" s="840"/>
      <c r="U1" s="840"/>
      <c r="V1" s="840"/>
      <c r="W1" s="840"/>
      <c r="X1" s="840"/>
      <c r="Y1" s="840"/>
      <c r="Z1" s="840"/>
      <c r="AA1" s="840"/>
      <c r="AB1" s="840"/>
      <c r="AC1" s="840"/>
      <c r="AD1" s="840"/>
      <c r="AE1" s="840"/>
      <c r="AF1" s="840"/>
      <c r="AG1" s="840"/>
      <c r="AH1" s="840"/>
      <c r="AI1" s="840"/>
      <c r="AJ1" s="840"/>
      <c r="AK1" s="840"/>
      <c r="AL1" s="840"/>
      <c r="AM1" s="841"/>
      <c r="AN1" s="840"/>
      <c r="AO1" s="840"/>
      <c r="AP1" s="840"/>
      <c r="AQ1" s="841"/>
      <c r="AR1" s="841"/>
      <c r="AS1" s="841"/>
      <c r="AT1" s="841"/>
      <c r="AU1" s="840"/>
      <c r="AV1" s="840"/>
      <c r="AW1" s="840"/>
      <c r="AX1" s="840"/>
      <c r="AY1" s="683"/>
      <c r="AZ1" s="684" t="str">
        <f>IF(MAX(A4:A430)=MAX(B4:B430),"",VLOOKUP(1,A:BB,51,FALSE))</f>
        <v/>
      </c>
      <c r="BA1" s="684"/>
      <c r="BB1" s="684"/>
      <c r="BC1" s="684"/>
      <c r="BD1" s="685"/>
      <c r="BE1" s="684"/>
      <c r="BF1" s="684"/>
      <c r="BG1" s="684"/>
      <c r="BH1" s="762"/>
      <c r="BI1" s="684"/>
      <c r="BJ1" s="684"/>
      <c r="BK1" s="684"/>
      <c r="BL1" s="684"/>
      <c r="BM1" s="762"/>
      <c r="BN1" s="684"/>
      <c r="BO1" s="684"/>
      <c r="BP1" s="686" t="str">
        <f>IF(VLOOKUP(1,A:BY,40,FALSE)=0,"","LPP/APPROVED:")</f>
        <v>LPP/APPROVED:</v>
      </c>
      <c r="BQ1" s="687"/>
      <c r="BR1" s="687"/>
      <c r="BS1" s="687"/>
      <c r="BT1" s="684" t="s">
        <v>642</v>
      </c>
      <c r="BU1" s="521"/>
      <c r="BV1" s="521"/>
      <c r="BW1" s="521"/>
      <c r="BX1" s="4"/>
      <c r="BY1" s="4"/>
      <c r="BZ1" s="4"/>
      <c r="CA1" s="688"/>
      <c r="CB1" s="689"/>
      <c r="CC1" s="4"/>
      <c r="CD1" s="4"/>
      <c r="CE1" s="690"/>
      <c r="CF1" s="4"/>
      <c r="CG1" s="4"/>
      <c r="CH1" s="4"/>
      <c r="CI1" s="4"/>
      <c r="CJ1" s="544"/>
      <c r="CK1" s="544"/>
      <c r="CL1" s="544"/>
      <c r="CM1" s="544"/>
    </row>
    <row r="2" spans="1:96" s="579" customFormat="1" ht="45" x14ac:dyDescent="0.25">
      <c r="A2" s="837" t="s">
        <v>1</v>
      </c>
      <c r="B2" s="837"/>
      <c r="C2" s="837"/>
      <c r="D2" s="837"/>
      <c r="E2" s="837"/>
      <c r="F2" s="837"/>
      <c r="G2" s="842" t="str">
        <f>'CST-Calculation'!G2</f>
        <v xml:space="preserve">Aviation Equipment </v>
      </c>
      <c r="H2" s="843"/>
      <c r="I2" s="843"/>
      <c r="J2" s="828"/>
      <c r="K2" s="844" t="str">
        <f>'CST-Calculation'!K2</f>
        <v>Avitronic Ltd, Russia</v>
      </c>
      <c r="L2" s="845"/>
      <c r="M2" s="845"/>
      <c r="N2" s="846"/>
      <c r="O2" s="847" t="str">
        <f>'CST-Calculation'!O2</f>
        <v>GIS</v>
      </c>
      <c r="P2" s="847"/>
      <c r="Q2" s="847"/>
      <c r="R2" s="847"/>
      <c r="S2" s="829" t="str">
        <f>'CST-Calculation'!S2</f>
        <v>INDO AVIA SERVICES LTD</v>
      </c>
      <c r="T2" s="829"/>
      <c r="U2" s="829"/>
      <c r="V2" s="829"/>
      <c r="W2" s="829" t="str">
        <f>'CST-Calculation'!W2</f>
        <v>AEC (AEC)</v>
      </c>
      <c r="X2" s="829"/>
      <c r="Y2" s="829"/>
      <c r="Z2" s="829"/>
      <c r="AA2" s="829" t="str">
        <f>'CST-Calculation'!AA2</f>
        <v>ADRYS Technologies (ADRYS)</v>
      </c>
      <c r="AB2" s="829"/>
      <c r="AC2" s="829"/>
      <c r="AD2" s="829"/>
      <c r="AE2" s="829" t="str">
        <f>'CST-Calculation'!AE2</f>
        <v>AVIAZAPCHAST (AZP)</v>
      </c>
      <c r="AF2" s="829"/>
      <c r="AG2" s="829"/>
      <c r="AH2" s="829"/>
      <c r="AI2" s="829" t="str">
        <f>'CST-Calculation'!AI2</f>
        <v>Eurasia Special Technologies (EST)</v>
      </c>
      <c r="AJ2" s="829"/>
      <c r="AK2" s="829"/>
      <c r="AL2" s="829"/>
      <c r="AM2" s="829" t="str">
        <f>'CST-Calculation'!AM2</f>
        <v>NASC (NASC)</v>
      </c>
      <c r="AN2" s="829"/>
      <c r="AO2" s="829"/>
      <c r="AP2" s="829"/>
      <c r="AQ2" s="829" t="str">
        <f>'CST-Calculation'!AQ2</f>
        <v>ROE (ROE)</v>
      </c>
      <c r="AR2" s="829"/>
      <c r="AS2" s="829"/>
      <c r="AT2" s="829"/>
      <c r="AU2" s="829" t="str">
        <f>'CST-Calculation'!AU2</f>
        <v>VEKS-M</v>
      </c>
      <c r="AV2" s="829"/>
      <c r="AW2" s="829"/>
      <c r="AX2" s="829"/>
      <c r="AY2" s="860" t="s">
        <v>3</v>
      </c>
      <c r="AZ2" s="860"/>
      <c r="BA2" s="860"/>
      <c r="BB2" s="860"/>
      <c r="BC2" s="860"/>
      <c r="BD2" s="860"/>
      <c r="BE2" s="860"/>
      <c r="BF2" s="861" t="s">
        <v>136</v>
      </c>
      <c r="BG2" s="824"/>
      <c r="BH2" s="824"/>
      <c r="BI2" s="824"/>
      <c r="BJ2" s="862"/>
      <c r="BK2" s="861" t="s">
        <v>137</v>
      </c>
      <c r="BL2" s="824"/>
      <c r="BM2" s="824"/>
      <c r="BN2" s="824"/>
      <c r="BO2" s="862"/>
      <c r="BP2" s="861" t="str">
        <f>IF(VLOOKUP(1,A:BY,40,FALSE)=0,"PRICE ANALYSIS","ORIGINAL PRICE ANALYSIS")</f>
        <v>ORIGINAL PRICE ANALYSIS</v>
      </c>
      <c r="BQ2" s="824"/>
      <c r="BR2" s="837"/>
      <c r="BS2" s="837"/>
      <c r="BT2" s="837"/>
      <c r="BU2" s="867" t="s">
        <v>138</v>
      </c>
      <c r="BV2" s="868"/>
      <c r="BW2" s="868"/>
      <c r="BX2" s="868"/>
      <c r="BY2" s="869"/>
      <c r="BZ2" s="691"/>
      <c r="CA2" s="692"/>
      <c r="CB2" s="693"/>
      <c r="CC2" s="4"/>
      <c r="CD2" s="4"/>
      <c r="CE2" s="690"/>
      <c r="CF2" s="4"/>
      <c r="CG2" s="4"/>
      <c r="CH2" s="4"/>
      <c r="CI2" s="4"/>
      <c r="CJ2" s="544"/>
      <c r="CK2" s="544"/>
      <c r="CL2" s="544"/>
      <c r="CM2" s="544"/>
    </row>
    <row r="3" spans="1:96" s="579" customFormat="1" ht="45" x14ac:dyDescent="0.25">
      <c r="A3" s="674"/>
      <c r="B3" s="694"/>
      <c r="C3" s="674"/>
      <c r="D3" s="674"/>
      <c r="E3" s="674"/>
      <c r="F3" s="674"/>
      <c r="G3" s="695"/>
      <c r="H3" s="843" t="str">
        <f>'CST-Calculation'!H3</f>
        <v>Avi. Equip.</v>
      </c>
      <c r="I3" s="843"/>
      <c r="J3" s="671"/>
      <c r="K3" s="696"/>
      <c r="L3" s="845" t="str">
        <f>'CST-Calculation'!L3</f>
        <v>Avitronic</v>
      </c>
      <c r="M3" s="845"/>
      <c r="N3" s="697"/>
      <c r="O3" s="695"/>
      <c r="P3" s="843" t="str">
        <f>'CST-Calculation'!P3</f>
        <v>GIS</v>
      </c>
      <c r="Q3" s="843"/>
      <c r="R3" s="671"/>
      <c r="S3" s="695"/>
      <c r="T3" s="843" t="str">
        <f>'CST-Calculation'!T3</f>
        <v>IASL</v>
      </c>
      <c r="U3" s="843"/>
      <c r="V3" s="671"/>
      <c r="W3" s="695"/>
      <c r="X3" s="843" t="str">
        <f>'CST-Calculation'!X3</f>
        <v>AEC</v>
      </c>
      <c r="Y3" s="843"/>
      <c r="Z3" s="671"/>
      <c r="AA3" s="695"/>
      <c r="AB3" s="843" t="str">
        <f>'CST-Calculation'!AB3</f>
        <v>ADRYS</v>
      </c>
      <c r="AC3" s="843"/>
      <c r="AD3" s="671"/>
      <c r="AE3" s="695"/>
      <c r="AF3" s="843" t="str">
        <f>'CST-Calculation'!AF3</f>
        <v>AZP</v>
      </c>
      <c r="AG3" s="843"/>
      <c r="AH3" s="671"/>
      <c r="AI3" s="695"/>
      <c r="AJ3" s="843" t="str">
        <f>'CST-Calculation'!AJ3</f>
        <v>EST</v>
      </c>
      <c r="AK3" s="843"/>
      <c r="AL3" s="671"/>
      <c r="AM3" s="695"/>
      <c r="AN3" s="843" t="str">
        <f>'CST-Calculation'!AN3</f>
        <v>NASC</v>
      </c>
      <c r="AO3" s="843"/>
      <c r="AP3" s="671"/>
      <c r="AQ3" s="695"/>
      <c r="AR3" s="843" t="str">
        <f>'CST-Calculation'!AR3</f>
        <v>ROE</v>
      </c>
      <c r="AS3" s="843"/>
      <c r="AT3" s="671"/>
      <c r="AU3" s="695"/>
      <c r="AV3" s="854" t="str">
        <f>'CST-Calculation'!AV3</f>
        <v>VEKS-M</v>
      </c>
      <c r="AW3" s="854"/>
      <c r="AX3" s="698"/>
      <c r="AY3" s="695"/>
      <c r="AZ3" s="698"/>
      <c r="BA3" s="698"/>
      <c r="BB3" s="698"/>
      <c r="BC3" s="698"/>
      <c r="BD3" s="698"/>
      <c r="BE3" s="671"/>
      <c r="BF3" s="698"/>
      <c r="BG3" s="698"/>
      <c r="BH3" s="763"/>
      <c r="BI3" s="698"/>
      <c r="BJ3" s="671"/>
      <c r="BK3" s="698"/>
      <c r="BL3" s="670"/>
      <c r="BM3" s="763"/>
      <c r="BN3" s="698"/>
      <c r="BO3" s="671"/>
      <c r="BP3" s="699"/>
      <c r="BQ3" s="673"/>
      <c r="BR3" s="673"/>
      <c r="BS3" s="673"/>
      <c r="BT3" s="700"/>
      <c r="BU3" s="74"/>
      <c r="BV3" s="74"/>
      <c r="BW3" s="74"/>
      <c r="BX3" s="74"/>
      <c r="BY3" s="74"/>
      <c r="BZ3" s="19"/>
      <c r="CA3" s="701"/>
      <c r="CB3" s="702"/>
      <c r="CC3" s="4"/>
      <c r="CD3" s="4"/>
      <c r="CE3" s="690"/>
      <c r="CF3" s="4"/>
      <c r="CG3" s="4"/>
      <c r="CH3" s="4"/>
      <c r="CI3" s="4"/>
      <c r="CJ3" s="544"/>
      <c r="CK3" s="544"/>
      <c r="CL3" s="544"/>
      <c r="CM3" s="544"/>
    </row>
    <row r="4" spans="1:96" s="614" customFormat="1" ht="81" customHeight="1" x14ac:dyDescent="0.25">
      <c r="A4" s="674" t="s">
        <v>6</v>
      </c>
      <c r="B4" s="703" t="s">
        <v>7</v>
      </c>
      <c r="C4" s="704" t="s">
        <v>8</v>
      </c>
      <c r="D4" s="704" t="s">
        <v>0</v>
      </c>
      <c r="E4" s="674" t="s">
        <v>10</v>
      </c>
      <c r="F4" s="704" t="s">
        <v>139</v>
      </c>
      <c r="G4" s="89" t="s">
        <v>10</v>
      </c>
      <c r="H4" s="672" t="s">
        <v>140</v>
      </c>
      <c r="I4" s="672" t="s">
        <v>501</v>
      </c>
      <c r="J4" s="672" t="s">
        <v>502</v>
      </c>
      <c r="K4" s="89" t="s">
        <v>10</v>
      </c>
      <c r="L4" s="672" t="s">
        <v>140</v>
      </c>
      <c r="M4" s="672" t="s">
        <v>501</v>
      </c>
      <c r="N4" s="672" t="s">
        <v>502</v>
      </c>
      <c r="O4" s="89" t="s">
        <v>10</v>
      </c>
      <c r="P4" s="672" t="s">
        <v>140</v>
      </c>
      <c r="Q4" s="672" t="s">
        <v>501</v>
      </c>
      <c r="R4" s="672" t="s">
        <v>502</v>
      </c>
      <c r="S4" s="89" t="s">
        <v>10</v>
      </c>
      <c r="T4" s="672" t="s">
        <v>140</v>
      </c>
      <c r="U4" s="672" t="s">
        <v>501</v>
      </c>
      <c r="V4" s="672" t="s">
        <v>502</v>
      </c>
      <c r="W4" s="89" t="s">
        <v>10</v>
      </c>
      <c r="X4" s="672" t="s">
        <v>140</v>
      </c>
      <c r="Y4" s="672" t="s">
        <v>501</v>
      </c>
      <c r="Z4" s="672" t="s">
        <v>502</v>
      </c>
      <c r="AA4" s="89" t="s">
        <v>10</v>
      </c>
      <c r="AB4" s="672" t="s">
        <v>475</v>
      </c>
      <c r="AC4" s="672" t="s">
        <v>501</v>
      </c>
      <c r="AD4" s="672" t="s">
        <v>502</v>
      </c>
      <c r="AE4" s="89" t="s">
        <v>10</v>
      </c>
      <c r="AF4" s="672" t="s">
        <v>140</v>
      </c>
      <c r="AG4" s="672" t="s">
        <v>501</v>
      </c>
      <c r="AH4" s="672" t="s">
        <v>502</v>
      </c>
      <c r="AI4" s="89" t="s">
        <v>10</v>
      </c>
      <c r="AJ4" s="672" t="s">
        <v>475</v>
      </c>
      <c r="AK4" s="672" t="s">
        <v>501</v>
      </c>
      <c r="AL4" s="672" t="s">
        <v>502</v>
      </c>
      <c r="AM4" s="89" t="s">
        <v>10</v>
      </c>
      <c r="AN4" s="672" t="s">
        <v>140</v>
      </c>
      <c r="AO4" s="672" t="s">
        <v>501</v>
      </c>
      <c r="AP4" s="672" t="s">
        <v>502</v>
      </c>
      <c r="AQ4" s="89" t="s">
        <v>10</v>
      </c>
      <c r="AR4" s="672" t="s">
        <v>140</v>
      </c>
      <c r="AS4" s="672" t="s">
        <v>501</v>
      </c>
      <c r="AT4" s="672" t="s">
        <v>502</v>
      </c>
      <c r="AU4" s="89" t="s">
        <v>10</v>
      </c>
      <c r="AV4" s="672" t="s">
        <v>140</v>
      </c>
      <c r="AW4" s="672" t="s">
        <v>501</v>
      </c>
      <c r="AX4" s="672" t="s">
        <v>502</v>
      </c>
      <c r="AY4" s="425" t="s">
        <v>12</v>
      </c>
      <c r="AZ4" s="425" t="s">
        <v>13</v>
      </c>
      <c r="BA4" s="425" t="s">
        <v>454</v>
      </c>
      <c r="BB4" s="425" t="s">
        <v>503</v>
      </c>
      <c r="BC4" s="425" t="s">
        <v>504</v>
      </c>
      <c r="BD4" s="425" t="s">
        <v>505</v>
      </c>
      <c r="BE4" s="705" t="s">
        <v>506</v>
      </c>
      <c r="BF4" s="425" t="s">
        <v>460</v>
      </c>
      <c r="BG4" s="706" t="s">
        <v>15</v>
      </c>
      <c r="BH4" s="707" t="s">
        <v>16</v>
      </c>
      <c r="BI4" s="425" t="s">
        <v>578</v>
      </c>
      <c r="BJ4" s="425" t="s">
        <v>579</v>
      </c>
      <c r="BK4" s="425" t="s">
        <v>141</v>
      </c>
      <c r="BL4" s="706" t="s">
        <v>15</v>
      </c>
      <c r="BM4" s="707" t="s">
        <v>16</v>
      </c>
      <c r="BN4" s="425" t="s">
        <v>568</v>
      </c>
      <c r="BO4" s="425" t="s">
        <v>579</v>
      </c>
      <c r="BP4" s="74" t="s">
        <v>580</v>
      </c>
      <c r="BQ4" s="74" t="s">
        <v>581</v>
      </c>
      <c r="BR4" s="74" t="s">
        <v>582</v>
      </c>
      <c r="BS4" s="74" t="s">
        <v>583</v>
      </c>
      <c r="BT4" s="74" t="s">
        <v>142</v>
      </c>
      <c r="BU4" s="708" t="s">
        <v>584</v>
      </c>
      <c r="BV4" s="709" t="s">
        <v>585</v>
      </c>
      <c r="BW4" s="710" t="s">
        <v>586</v>
      </c>
      <c r="BX4" s="710" t="s">
        <v>587</v>
      </c>
      <c r="BY4" s="694" t="s">
        <v>74</v>
      </c>
      <c r="BZ4" s="74" t="s">
        <v>588</v>
      </c>
      <c r="CA4" s="692" t="s">
        <v>143</v>
      </c>
      <c r="CB4" s="693" t="s">
        <v>453</v>
      </c>
      <c r="CC4" s="4" t="s">
        <v>144</v>
      </c>
      <c r="CD4" s="711" t="s">
        <v>23</v>
      </c>
      <c r="CE4" s="690" t="s">
        <v>577</v>
      </c>
      <c r="CF4" s="4" t="s">
        <v>544</v>
      </c>
      <c r="CG4" s="4" t="s">
        <v>545</v>
      </c>
      <c r="CH4" s="4" t="s">
        <v>556</v>
      </c>
      <c r="CI4" s="4" t="s">
        <v>557</v>
      </c>
    </row>
    <row r="5" spans="1:96" s="579" customFormat="1" ht="45" x14ac:dyDescent="0.25">
      <c r="A5" s="712">
        <f>SUBTOTAL(2,$B$5:B5)</f>
        <v>1</v>
      </c>
      <c r="B5" s="754">
        <v>1</v>
      </c>
      <c r="C5" s="755" t="s">
        <v>669</v>
      </c>
      <c r="D5" s="755" t="s">
        <v>589</v>
      </c>
      <c r="E5" s="754">
        <v>7</v>
      </c>
      <c r="F5" s="658">
        <f>'Annexure-I'!E2</f>
        <v>7</v>
      </c>
      <c r="G5" s="784" t="str">
        <f>IF('CST-Calculation'!G5=0,"",'CST-Calculation'!G5)</f>
        <v/>
      </c>
      <c r="H5" s="714" t="str">
        <f>IF('CST-Calculation'!H5=0,"",'CST-Calculation'!H5)</f>
        <v/>
      </c>
      <c r="I5" s="714" t="str">
        <f>IF(G5="","",IF(H5="TEC Rejected","",IF(H5="","",ROUND(1.3224*Form!$D$10*H5,2))))</f>
        <v/>
      </c>
      <c r="J5" s="714" t="str">
        <f t="shared" ref="J5:J68" si="0">IF(G5="","",IF(H5="TEC Rejected","",IF(H5="","",ROUND(G5*I5,2))))</f>
        <v/>
      </c>
      <c r="K5" s="713" t="str">
        <f>IF(L5="","",IF('Annexure-I'!$E2="Indg","",IF('Annexure-I'!$E2="TEC Del","",IF('Annexure-I'!$E2=0,"",IF('CST-Calculation'!K5&lt;&gt;0,'CST-Calculation'!K5,'Annexure-I'!$E2)))))</f>
        <v/>
      </c>
      <c r="L5" s="714" t="str">
        <f>IF('CST-Calculation'!L5=0,"",'CST-Calculation'!L5)</f>
        <v/>
      </c>
      <c r="M5" s="714" t="str">
        <f>IF(K5="","",IF(L5="TEC Rejected","",IF(L5="","",ROUND(1.3224*Form!$D$10*L5,2))))</f>
        <v/>
      </c>
      <c r="N5" s="714" t="str">
        <f t="shared" ref="N5:N68" si="1">IF(K5="","",IF(L5="TEC Rejected","",IF(L5="","",ROUND(K5*M5,2))))</f>
        <v/>
      </c>
      <c r="O5" s="89">
        <f>IF(P5="","",IF('Annexure-I'!$E2="Indg","",IF('Annexure-I'!$E2="TEC Del","",IF('Annexure-I'!$E2=0,"",IF('CST-Calculation'!O5&lt;&gt;0,'CST-Calculation'!O5,'Annexure-I'!$E2)))))</f>
        <v>7</v>
      </c>
      <c r="P5" s="714">
        <f>IF('CST-Calculation'!P5=0,"",'CST-Calculation'!P5)</f>
        <v>15.9</v>
      </c>
      <c r="Q5" s="714">
        <f>IF(O5="","",IF(P5="TEC Rejected","",IF(P5="","",ROUND(1.3224*Form!$D$10*P5,2))))</f>
        <v>1740.55</v>
      </c>
      <c r="R5" s="714">
        <f t="shared" ref="R5:R68" si="2">IF(O5="","",IF(P5="TEC Rejected","",IF(P5="","",ROUND(O5*Q5,2))))</f>
        <v>12183.85</v>
      </c>
      <c r="S5" s="89">
        <f>IF(T5="","",IF('Annexure-I'!$E2="Indg","",IF('Annexure-I'!$E2="TEC Del","",IF('Annexure-I'!$E2=0,"",IF('CST-Calculation'!S5&lt;&gt;0,'CST-Calculation'!S5,'Annexure-I'!$E2)))))</f>
        <v>7</v>
      </c>
      <c r="T5" s="714">
        <f>IF('CST-Calculation'!T5=0,"",'CST-Calculation'!T5)</f>
        <v>27.5</v>
      </c>
      <c r="U5" s="714">
        <f>IF(S5="","",IF(T5="TEC Rejected","",IF(T5="","",ROUND(1.3224*Form!$D$10*T5,2))))</f>
        <v>3010.38</v>
      </c>
      <c r="V5" s="714">
        <f t="shared" ref="V5:V68" si="3">IF(S5="","",IF(T5="TEC Rejected","",IF(T5="","",ROUND(S5*U5,2))))</f>
        <v>21072.66</v>
      </c>
      <c r="W5" s="713" t="str">
        <f>IF(X5="","",IF('Annexure-I'!$E2="Indg","",IF('Annexure-I'!$E2="TEC Del","",IF('Annexure-I'!$E2=0,"",IF('CST-Calculation'!W5&lt;&gt;0,'CST-Calculation'!W5,'Annexure-I'!$E2)))))</f>
        <v/>
      </c>
      <c r="X5" s="714" t="str">
        <f>IF('CST-Calculation'!X5=0,"",'CST-Calculation'!X5)</f>
        <v/>
      </c>
      <c r="Y5" s="714" t="str">
        <f>IF(W5="","",IF(X5="TEC Rejected","",IF(X5="","",ROUND(1.3224*Form!$D$10*X5,2))))</f>
        <v/>
      </c>
      <c r="Z5" s="714" t="str">
        <f>IF(W5="","",IF(X5="TEC Rejected","",IF(X5="","",ROUND(W5*Y5,2))))</f>
        <v/>
      </c>
      <c r="AA5" s="713">
        <f>IF(AB5="","",IF('Annexure-I'!$E2="Indg","",IF('Annexure-I'!$E2="TEC Del","",IF('Annexure-I'!$E2=0,"",IF('CST-Calculation'!AA5&lt;&gt;0,'CST-Calculation'!AA5,'Annexure-I'!$E2)))))</f>
        <v>7</v>
      </c>
      <c r="AB5" s="714">
        <f>IF('CST-Calculation'!AB5=0,"",'CST-Calculation'!AB5)</f>
        <v>915</v>
      </c>
      <c r="AC5" s="714">
        <f>IF(AA5="","",IF(AB5="TEC Rejected","",IF(AB5="","",ROUND(1.18*AB5,2))))</f>
        <v>1079.7</v>
      </c>
      <c r="AD5" s="714">
        <f>IF(AA5="","",IF(AB5="TEC Rejected","",IF(AB5="","",ROUND(AA5*AC5,2))))</f>
        <v>7557.9</v>
      </c>
      <c r="AE5" s="713" t="str">
        <f>IF(AF5="","",IF('Annexure-I'!$E2="Indg","",IF('Annexure-I'!$E2="TEC Del","",IF('Annexure-I'!$E2=0,"",IF('CST-Calculation'!AE5&lt;&gt;0,'CST-Calculation'!AE5,'Annexure-I'!$E2)))))</f>
        <v/>
      </c>
      <c r="AF5" s="714" t="str">
        <f>IF('CST-Calculation'!AF5=0,"",'CST-Calculation'!AF5)</f>
        <v/>
      </c>
      <c r="AG5" s="714" t="str">
        <f>IF(AE5="","",IF(AF5="TEC Rejected","",IF(AF5="","",ROUND(1.3224*Form!$D$10*AF5,2))))</f>
        <v/>
      </c>
      <c r="AH5" s="714" t="str">
        <f>IF(AE5="","",IF(AF5="TEC Rejected","",IF(AF5="","",ROUND(AE5*AG5,2))))</f>
        <v/>
      </c>
      <c r="AI5" s="713" t="str">
        <f>IF(AJ5="","",IF('Annexure-I'!$E2="Indg","",IF('Annexure-I'!$E2="TEC Del","",IF('Annexure-I'!$E2=0,"",IF('CST-Calculation'!AI5&lt;&gt;0,'CST-Calculation'!AI5,'Annexure-I'!$E2)))))</f>
        <v/>
      </c>
      <c r="AJ5" s="714" t="str">
        <f>IF('CST-Calculation'!AJ5=0,"",'CST-Calculation'!AJ5)</f>
        <v/>
      </c>
      <c r="AK5" s="714" t="str">
        <f>IF(AI5="","",IF(AJ5="TEC Rejected","",IF(AJ5="","",ROUND(1.18*AJ5,2))))</f>
        <v/>
      </c>
      <c r="AL5" s="714" t="str">
        <f>IF(AI5="","",IF(AJ5="TEC Rejected","",IF(AJ5="","",ROUND(AI5*AK5,2))))</f>
        <v/>
      </c>
      <c r="AM5" s="713" t="str">
        <f>IF(AN5="","",IF('Annexure-I'!$E2="Indg","",IF('Annexure-I'!$E2="TEC Del","",IF('Annexure-I'!$E2=0,"",IF('CST-Calculation'!AM5&lt;&gt;0,'CST-Calculation'!AM5,'Annexure-I'!$E2)))))</f>
        <v/>
      </c>
      <c r="AN5" s="714" t="str">
        <f>IF('CST-Calculation'!AN5=0,"",'CST-Calculation'!AN5)</f>
        <v/>
      </c>
      <c r="AO5" s="714" t="str">
        <f>IF(AM5="","",IF(AN5="TEC Rejected","",IF(AN5="","",ROUND(1.3224*Form!$D$10*AN5,2))))</f>
        <v/>
      </c>
      <c r="AP5" s="714" t="str">
        <f>IF(AM5="","",IF(AN5="TEC Rejected","",IF(AN5="","",ROUND(AM5*AO5,2))))</f>
        <v/>
      </c>
      <c r="AQ5" s="713" t="str">
        <f>IF(AR5="","",IF('Annexure-I'!$E2="Indg","",IF('Annexure-I'!$E2="TEC Del","",IF('Annexure-I'!$E2=0,"",IF('CST-Calculation'!AQ5&lt;&gt;0,'CST-Calculation'!AQ5,'Annexure-I'!$E2)))))</f>
        <v/>
      </c>
      <c r="AR5" s="714" t="str">
        <f>IF('CST-Calculation'!AR5=0,"",'CST-Calculation'!AR5)</f>
        <v/>
      </c>
      <c r="AS5" s="714" t="str">
        <f>IF(AQ5="","",IF(AR5="TEC Rejected","",IF(AR5="","",ROUND(1.3224*Form!$D$10*AR5,2))))</f>
        <v/>
      </c>
      <c r="AT5" s="714" t="str">
        <f>IF(AQ5="","",IF(AR5="TEC Rejected","",IF(AR5="","",ROUND(AQ5*AS5,2))))</f>
        <v/>
      </c>
      <c r="AU5" s="713" t="str">
        <f>IF(AV5="","",IF('Annexure-I'!$E2="Indg","",IF('Annexure-I'!$E2="TEC Del","",IF('Annexure-I'!$E2=0,"",IF('CST-Calculation'!AU5&lt;&gt;0,'CST-Calculation'!AU5,'Annexure-I'!$E2)))))</f>
        <v/>
      </c>
      <c r="AV5" s="714" t="str">
        <f>IF('CST-Calculation'!AV5=0,"",'CST-Calculation'!AV5)</f>
        <v/>
      </c>
      <c r="AW5" s="714" t="str">
        <f>IF(AU5="","",IF(AV5="TEC Rejected","",IF(AV5="","",ROUND(1.3224*Form!$D$10*AV5,2))))</f>
        <v/>
      </c>
      <c r="AX5" s="714" t="str">
        <f>IF(AU5="","",IF(AV5="TEC Rejected","",IF(AV5="","",ROUND(AU5*AW5,2))))</f>
        <v/>
      </c>
      <c r="AY5" s="715" t="str">
        <f t="shared" ref="AY5" si="4">IF(F5="Indg","INDG",IF(F5="TEC Del","DELETED",IF(F5=0,"DELETED",IF(BD5=0,"NO OFFER",IF(BD5=I5,$H$3,IF(BD5=M5,$L$3,IF(BD5=Q5,$P$3,IF(BD5=U5,$T$3,IF(BD5=Y5,$X$3,IF(BD5=AC5,$AB$3,IF(BD5=AG5,$AF$3,IF(BD5=AK5,$AJ$3,IF(BD5=AO5,$AN$3,IF(BD5=AS5,$AR$3,IF(BD5=AW5,$AV$3)))))))))))))))</f>
        <v>ADRYS</v>
      </c>
      <c r="AZ5" s="716" t="str">
        <f t="shared" ref="AZ5" si="5">IF(F5=0,"DELETED",IF(COUNT(H5,L5,P5,T5,X5,AB5,AF5,AJ5,AN5,AR5,AV5)=0,"NO OFFER",IF(COUNT(H5,L5,P5,T5,X5,AB5,AF5,AJ5,AN5,AR5,AV5)=1,"SINGLE","MULTIPLE")))</f>
        <v>MULTIPLE</v>
      </c>
      <c r="BA5" s="716" t="str">
        <f t="shared" ref="BA5" si="6">IF(AND(IF(G5="",TRUE,G5&lt;=ROUNDUP(1.2*F5,0)),IF(K5="",TRUE,K5&lt;=ROUNDUP(1.2*F5,0)),IF(O5="",TRUE,O5&lt;=ROUNDUP(1.2*F5,0)),IF(S5="",TRUE,S5&lt;=ROUNDUP(1.2*F5,0)),IF(W5="",TRUE,W5&lt;=ROUNDUP(1.2*F5,0)),IF(AA5="",TRUE,AA5&lt;=ROUNDUP(1.2*F5,0)),IF(AE5="",TRUE,AE5&lt;=ROUNDUP(1.2*F5,0)),IF(AI5="",TRUE,AI5&lt;=ROUNDUP(1.2*F5,0)),IF(AM5="",TRUE,AM5&lt;=ROUNDUP(1.2*F5,0)),IF(AQ5="",TRUE,AQ5&lt;=ROUNDUP(1.2*F5,0)),IF(AU5="",TRUE,AU5&lt;=ROUNDUP(1.2*F5,0))),"&lt;= 20%","&gt; 20%")</f>
        <v>&lt;= 20%</v>
      </c>
      <c r="BB5" s="716">
        <f>IF(AY5="EST",ROUND(BD5/1.18,2),IF(AY5="ADRYS",ROUND(BD5/1.18,2),ROUND(BD5/(1.3224*Form!$D$10),2)))</f>
        <v>915</v>
      </c>
      <c r="BC5" s="714">
        <f>IF(OR(AY5="EST",AY5="ADRYS"),ROUND(BE5/1.18,2),ROUND(BE5/(1.3224*Form!$D$10),2))</f>
        <v>6405</v>
      </c>
      <c r="BD5" s="717">
        <f>IF(F5="Indg",0,IF(F5="TEC Del",0,IF(AND(IF(G5="",TRUE,G5&lt;=ROUNDUP(1.2*F5,0)),IF(K5="",TRUE,K5&lt;=ROUNDUP(1.2*F5,0)),IF(O5="",TRUE,O5&lt;=ROUNDUP(1.2*F5,0)),IF(S5="",TRUE,S5&lt;=ROUNDUP(1.2*F5,0)),IF(W5="",TRUE,W5&lt;=ROUNDUP(1.2*F5,0)),IF(AA5="",TRUE,AA5&lt;=ROUNDUP(1.2*F5,0)),IF(AE5="",TRUE,AE5&lt;=ROUNDUP(1.2*F5,0)),IF(AI5="",TRUE,AI5&lt;=ROUNDUP(1.2*F5,0)),IF(AM5="",TRUE,AM5&lt;=ROUNDUP(1.2*F5,0)),IF(AQ5="",TRUE,AQ5&lt;=ROUNDUP(1.2*F5,0)),IF(AU5="",TRUE,AU5&lt;=ROUNDUP(1.2*F5,0))),IF(F5=0,0,(IF(SUM(I5,M5,Q5,U5,Y5,AC5,AG5,AK5,AO5,AS5,AW5)=0,0,SMALL((I5,M5,Q5,U5,Y5,AC5,AG5,AK5,AO5,AS5,AW5),COUNTIF((I5:AW5),0)+1)))),IF(BE5=J5,I5,IF(BE5=N5,M5,IF(BE5=R5,Q5,IF(BE5=V5,U5,IF(BE5=Z5,Y5,IF(BE5=AD5,AC5,IF(BE5=AH5,AG5,IF(BE5=AL5,AK5,IF(BE5=AP5,AO5,IF(BE5=AT5,AS5,IF(BE5=AX5,AW5))))))))))))))</f>
        <v>1079.7</v>
      </c>
      <c r="BE5" s="714">
        <f>IF(F5="Indg",0,IF(F5="TEC Del",0,IF(AND(IF(G5="",TRUE,G5&lt;=ROUNDUP(1.2*F5,0)),IF(K5="",TRUE,K5&lt;=ROUNDUP(1.2*F5,0)),IF(O5="",TRUE,O5&lt;=ROUNDUP(1.2*F5,0)),IF(S5="",TRUE,S5&lt;=ROUNDUP(1.2*F5,0)),IF(W5="",TRUE,W5&lt;=ROUNDUP(1.2*F5,0)),IF(AA5="",TRUE,AA5&lt;=ROUNDUP(1.2*F5,0)),IF(AE5="",TRUE,AE5&lt;=ROUNDUP(1.2*F5,0)),IF(AI5="",TRUE,AI5&lt;=ROUNDUP(1.2*F5,0)),IF(AM5="",TRUE,AM5&lt;=ROUNDUP(1.2*F5,0)),IF(AQ5="",TRUE,AQ5&lt;=ROUNDUP(1.2*F5,0)),IF(AU5="",TRUE,AU5&lt;=ROUNDUP(1.2*F5,0))),ROUND(BD5*IF(BD5=I5,G5,IF(BD5=M5,K5,IF(BD5=Q5,O5,IF(BD5=U5,S5,IF(BD5=Y5,W5,IF(BD5=AC5,AA5,IF(BD5=AG5,AE5,IF(BD5=AK5,AI5,IF(BD5=AO5,AM5,IF(BD5=AS5,AQ5,IF(BD5=AW5,AU5))))))))))),2),(IF(SUM(J5,N5,R5,V5,Z5,AD5,AH5,AL5,AP5,AT5,AX5)=0,0,SMALL((J5,N5,R5,V5,Z5,AD5,AH5,AL5,AP5,AT5,AX5),COUNTIF((J5:AX5),0)+1))))))</f>
        <v>7557.9</v>
      </c>
      <c r="BF5" s="714">
        <f>IF('Annexure-I'!L2="",'Annexure-I'!F2,'Annexure-I'!L2)</f>
        <v>11</v>
      </c>
      <c r="BG5" s="714" t="str">
        <f>IF('Annexure-I'!M2="",'Annexure-I'!G2,'Annexure-I'!M2)</f>
        <v>CONTRACT-A1</v>
      </c>
      <c r="BH5" s="764">
        <f>IF('Annexure-I'!N2="",'Annexure-I'!H2,'Annexure-I'!N2)</f>
        <v>43298</v>
      </c>
      <c r="BI5" s="717">
        <f>IF('Annexure-I'!P2="",'Annexure-I'!J2,'Annexure-I'!P2)</f>
        <v>14.83</v>
      </c>
      <c r="BJ5" s="717">
        <f>IF('Annexure-I'!Q2="",'Annexure-I'!K2,'Annexure-I'!Q2)</f>
        <v>1623.41447376</v>
      </c>
      <c r="BK5" s="714">
        <f>'Annexure-I'!F2</f>
        <v>11</v>
      </c>
      <c r="BL5" s="718" t="str">
        <f>'Annexure-I'!G2</f>
        <v>CONTRACT-A1</v>
      </c>
      <c r="BM5" s="764">
        <f>IF('Annexure-I'!H2=0,"",'Annexure-I'!H2)</f>
        <v>43298</v>
      </c>
      <c r="BN5" s="717">
        <f>'Annexure-I'!J2</f>
        <v>14.83</v>
      </c>
      <c r="BO5" s="717">
        <f>'Annexure-I'!K2</f>
        <v>1623.41447376</v>
      </c>
      <c r="BP5" s="714">
        <f>IF(OR(AY5="EST",AY5="ADRYS"),ROUND((BC5*1.18)/(1.3224*Form!$D$10),2),BC5)</f>
        <v>69.040000000000006</v>
      </c>
      <c r="BQ5" s="714">
        <f>ROUND(BS5/(1.3224*Form!$D$10),2)</f>
        <v>103.81</v>
      </c>
      <c r="BR5" s="714">
        <f>IF(AY5="DELETED",0,BE5)</f>
        <v>7557.9</v>
      </c>
      <c r="BS5" s="714">
        <f>IF(BR5=0,0,ROUND(IF($BQ$1="LPP",ROUND(BJ5*F5,2),ROUND(BO5*F5,2)),2))</f>
        <v>11363.9</v>
      </c>
      <c r="BT5" s="719">
        <f t="shared" ref="BT5" si="7">IF(SUM(BR5:BS5)=0,0,(BR5-BS5)/BS5)</f>
        <v>-0.33492022985066749</v>
      </c>
      <c r="BU5" s="714"/>
      <c r="BV5" s="714">
        <f t="shared" ref="BV5:BV68" si="8">IF(F5="Indg",0,IF(F5="TEC Del",0,IF(CA5="Deleted",0,ROUND(F5*BU5,2))))</f>
        <v>0</v>
      </c>
      <c r="BW5" s="714">
        <f>IF(OR(AY5="EST",AY5="ADRYS"),ROUND(1.18*BU5,2),ROUND(BU5*1.3224*Form!$D$10,2))</f>
        <v>0</v>
      </c>
      <c r="BX5" s="714">
        <f t="shared" ref="BX5:BX68" si="9">IF(F5="Indg",0,IF(F5="TEC Del",0,IF(CA5="Deleted",0,ROUND(BW5*F5,2))))</f>
        <v>0</v>
      </c>
      <c r="BY5" s="719">
        <f t="shared" ref="BY5:BY68" si="10">IF((BX5)=0,0,(BX5-BS5)/BS5)</f>
        <v>0</v>
      </c>
      <c r="BZ5" s="714">
        <f t="shared" ref="BZ5:BZ68" si="11">IF(CA5="Deleted",0,ROUND(BO5*F5,2))</f>
        <v>11363.9</v>
      </c>
      <c r="CA5" s="720"/>
      <c r="CB5" s="720"/>
      <c r="CC5" s="4"/>
      <c r="CD5" s="4"/>
      <c r="CE5" s="4"/>
      <c r="CF5" s="4"/>
      <c r="CG5" s="4"/>
      <c r="CH5" s="4"/>
      <c r="CI5" s="721"/>
    </row>
    <row r="6" spans="1:96" s="579" customFormat="1" ht="45" x14ac:dyDescent="0.25">
      <c r="A6" s="712">
        <f>SUBTOTAL(2,$B$5:B6)</f>
        <v>2</v>
      </c>
      <c r="B6" s="754">
        <v>2</v>
      </c>
      <c r="C6" s="756" t="s">
        <v>670</v>
      </c>
      <c r="D6" s="756" t="s">
        <v>590</v>
      </c>
      <c r="E6" s="754">
        <v>38</v>
      </c>
      <c r="F6" s="658">
        <f>'Annexure-I'!E3</f>
        <v>38</v>
      </c>
      <c r="G6" s="784" t="str">
        <f>IF('CST-Calculation'!G6=0,"",'CST-Calculation'!G6)</f>
        <v/>
      </c>
      <c r="H6" s="784" t="str">
        <f>IF('CST-Calculation'!H6=0,"",'CST-Calculation'!H6)</f>
        <v/>
      </c>
      <c r="I6" s="714" t="str">
        <f>IF(G6="","",IF(H6="TEC Rejected","",IF(H6="","",ROUND(1.3224*Form!$D$10*H6,2))))</f>
        <v/>
      </c>
      <c r="J6" s="714" t="str">
        <f t="shared" si="0"/>
        <v/>
      </c>
      <c r="K6" s="713" t="str">
        <f>IF(L6="","",IF('CST-Calculation'!$F6="Indg","",IF('CST-Calculation'!$F6="TEC Del","",IF('CST-Calculation'!K6&gt;0,'CST-Calculation'!K6,IF('CST-Calculation'!$F6=0,"",'CST-Calculation'!$F6)))))</f>
        <v/>
      </c>
      <c r="L6" s="714" t="str">
        <f>IF('CST-Calculation'!L6=0,"",'CST-Calculation'!L6)</f>
        <v/>
      </c>
      <c r="M6" s="714" t="str">
        <f>IF(K6="","",IF(L6="TEC Rejected","",IF(L6="","",ROUND(1.3224*Form!$D$10*L6,2))))</f>
        <v/>
      </c>
      <c r="N6" s="714" t="str">
        <f t="shared" si="1"/>
        <v/>
      </c>
      <c r="O6" s="89">
        <f>IF(P6="","",IF('CST-Calculation'!$F6="Indg","",IF('CST-Calculation'!$F6="TEC Del","",IF('CST-Calculation'!O6&gt;0,'CST-Calculation'!O6,IF('CST-Calculation'!$F6=0,"",'CST-Calculation'!$F6)))))</f>
        <v>38</v>
      </c>
      <c r="P6" s="714">
        <f>IF('CST-Calculation'!P6=0,"",'CST-Calculation'!P6)</f>
        <v>17.100000000000001</v>
      </c>
      <c r="Q6" s="714">
        <f>IF(O6="","",IF(P6="TEC Rejected","",IF(P6="","",ROUND(1.3224*Form!$D$10*P6,2))))</f>
        <v>1871.91</v>
      </c>
      <c r="R6" s="714">
        <f t="shared" si="2"/>
        <v>71132.58</v>
      </c>
      <c r="S6" s="89">
        <f>IF(T6="","",IF('CST-Calculation'!$F6="Indg","",IF('CST-Calculation'!$F6="TEC Del","",IF('CST-Calculation'!S6&gt;0,'CST-Calculation'!S6,IF('CST-Calculation'!$F6=0,"",'CST-Calculation'!$F6)))))</f>
        <v>38</v>
      </c>
      <c r="T6" s="714">
        <f>IF('CST-Calculation'!T6=0,"",'CST-Calculation'!T6)</f>
        <v>27.5</v>
      </c>
      <c r="U6" s="714">
        <f>IF(S6="","",IF(T6="TEC Rejected","",IF(T6="","",ROUND(1.3224*Form!$D$10*T6,2))))</f>
        <v>3010.38</v>
      </c>
      <c r="V6" s="714">
        <f t="shared" si="3"/>
        <v>114394.44</v>
      </c>
      <c r="W6" s="713" t="str">
        <f>IF(X6="","",IF('CST-Calculation'!$F6="Indg","",IF('CST-Calculation'!$F6="TEC Del","",IF('CST-Calculation'!W6&gt;0,'CST-Calculation'!W6,IF('CST-Calculation'!$F6=0,"",'CST-Calculation'!$F6)))))</f>
        <v/>
      </c>
      <c r="X6" s="714" t="str">
        <f>IF('CST-Calculation'!X6=0,"",'CST-Calculation'!X6)</f>
        <v/>
      </c>
      <c r="Y6" s="714" t="str">
        <f>IF(W6="","",IF(X6="TEC Rejected","",IF(X6="","",ROUND(1.3224*Form!$D$10*X6,2))))</f>
        <v/>
      </c>
      <c r="Z6" s="714" t="str">
        <f t="shared" ref="Z6:Z69" si="12">IF(W6="","",IF(X6="TEC Rejected","",IF(X6="","",ROUND(W6*Y6,2))))</f>
        <v/>
      </c>
      <c r="AA6" s="713">
        <f>IF(AB6="","",IF('CST-Calculation'!$F6="Indg","",IF('CST-Calculation'!$F6="TEC Del","",IF('CST-Calculation'!AA6&gt;0,'CST-Calculation'!AA6,IF('CST-Calculation'!$F6=0,"",'CST-Calculation'!$F6)))))</f>
        <v>38</v>
      </c>
      <c r="AB6" s="714">
        <f>IF('CST-Calculation'!AB6=0,"",'CST-Calculation'!AB6)</f>
        <v>915</v>
      </c>
      <c r="AC6" s="714">
        <f t="shared" ref="AC6:AC69" si="13">IF(AA6="","",IF(AB6="TEC Rejected","",IF(AB6="","",ROUND(1.18*AB6,2))))</f>
        <v>1079.7</v>
      </c>
      <c r="AD6" s="714">
        <f t="shared" ref="AD6:AD69" si="14">IF(AA6="","",IF(AB6="TEC Rejected","",IF(AB6="","",ROUND(AA6*AC6,2))))</f>
        <v>41028.6</v>
      </c>
      <c r="AE6" s="713" t="str">
        <f>IF(AF6="","",IF('CST-Calculation'!$F6="Indg","",IF('CST-Calculation'!$F6="TEC Del","",IF('CST-Calculation'!AE6&gt;0,'CST-Calculation'!AE6,IF('CST-Calculation'!$F6=0,"",'CST-Calculation'!$F6)))))</f>
        <v/>
      </c>
      <c r="AF6" s="714" t="str">
        <f>IF('CST-Calculation'!AF6=0,"",'CST-Calculation'!AF6)</f>
        <v/>
      </c>
      <c r="AG6" s="714" t="str">
        <f>IF(AE6="","",IF(AF6="TEC Rejected","",IF(AF6="","",ROUND(1.3224*Form!$D$10*AF6,2))))</f>
        <v/>
      </c>
      <c r="AH6" s="714" t="str">
        <f t="shared" ref="AH6:AH69" si="15">IF(AE6="","",IF(AF6="TEC Rejected","",IF(AF6="","",ROUND(AE6*AG6,2))))</f>
        <v/>
      </c>
      <c r="AI6" s="713" t="str">
        <f>IF(AJ6="","",IF('CST-Calculation'!$F6="Indg","",IF('CST-Calculation'!$F6="TEC Del","",IF('CST-Calculation'!AI6&gt;0,'CST-Calculation'!AI6,IF('CST-Calculation'!$F6=0,"",'CST-Calculation'!$F6)))))</f>
        <v/>
      </c>
      <c r="AJ6" s="714" t="str">
        <f>IF('CST-Calculation'!AJ6=0,"",'CST-Calculation'!AJ6)</f>
        <v/>
      </c>
      <c r="AK6" s="714" t="str">
        <f t="shared" ref="AK6:AK69" si="16">IF(AI6="","",IF(AJ6="TEC Rejected","",IF(AJ6="","",ROUND(1.18*AJ6,2))))</f>
        <v/>
      </c>
      <c r="AL6" s="714" t="str">
        <f t="shared" ref="AL6:AL69" si="17">IF(AI6="","",IF(AJ6="TEC Rejected","",IF(AJ6="","",ROUND(AI6*AK6,2))))</f>
        <v/>
      </c>
      <c r="AM6" s="713" t="str">
        <f>IF(AN6="","",IF('CST-Calculation'!$F6="Indg","",IF('CST-Calculation'!$F6="TEC Del","",IF('CST-Calculation'!AM6&gt;0,'CST-Calculation'!AM6,IF('CST-Calculation'!$F6=0,"",'CST-Calculation'!$F6)))))</f>
        <v/>
      </c>
      <c r="AN6" s="714" t="str">
        <f>IF('CST-Calculation'!AN6=0,"",'CST-Calculation'!AN6)</f>
        <v/>
      </c>
      <c r="AO6" s="714" t="str">
        <f>IF(AM6="","",IF(AN6="TEC Rejected","",IF(AN6="","",ROUND(1.3224*Form!$D$10*AN6,2))))</f>
        <v/>
      </c>
      <c r="AP6" s="714" t="str">
        <f t="shared" ref="AP6:AP69" si="18">IF(AM6="","",IF(AN6="TEC Rejected","",IF(AN6="","",ROUND(AM6*AO6,2))))</f>
        <v/>
      </c>
      <c r="AQ6" s="713" t="str">
        <f>IF(AR6="","",IF('CST-Calculation'!$F6="Indg","",IF('CST-Calculation'!$F6="TEC Del","",IF('CST-Calculation'!AQ6&gt;0,'CST-Calculation'!AQ6,IF('CST-Calculation'!$F6=0,"",'CST-Calculation'!$F6)))))</f>
        <v/>
      </c>
      <c r="AR6" s="714" t="str">
        <f>IF('CST-Calculation'!AR6=0,"",'CST-Calculation'!AR6)</f>
        <v/>
      </c>
      <c r="AS6" s="714" t="str">
        <f>IF(AQ6="","",IF(AR6="TEC Rejected","",IF(AR6="","",ROUND(1.3224*Form!$D$10*AR6,2))))</f>
        <v/>
      </c>
      <c r="AT6" s="714" t="str">
        <f t="shared" ref="AT6:AT69" si="19">IF(AQ6="","",IF(AR6="TEC Rejected","",IF(AR6="","",ROUND(AQ6*AS6,2))))</f>
        <v/>
      </c>
      <c r="AU6" s="713" t="str">
        <f>IF(AV6="","",IF('CST-Calculation'!$F6="Indg","",IF('CST-Calculation'!$F6="TEC Del","",IF('CST-Calculation'!AU6&gt;0,'CST-Calculation'!AU6,IF('CST-Calculation'!$F6=0,"",'CST-Calculation'!$F6)))))</f>
        <v/>
      </c>
      <c r="AV6" s="714" t="str">
        <f>IF('CST-Calculation'!AV6=0,"",'CST-Calculation'!AV6)</f>
        <v/>
      </c>
      <c r="AW6" s="714" t="str">
        <f>IF(AU6="","",IF(AV6="TEC Rejected","",IF(AV6="","",ROUND(1.3224*Form!$D$10*AV6,2))))</f>
        <v/>
      </c>
      <c r="AX6" s="714" t="str">
        <f t="shared" ref="AX6:AX69" si="20">IF(AU6="","",IF(AV6="TEC Rejected","",IF(AV6="","",ROUND(AU6*AW6,2))))</f>
        <v/>
      </c>
      <c r="AY6" s="715" t="str">
        <f t="shared" ref="AY6:AY69" si="21">IF(F6="Indg","INDG",IF(F6="TEC Del","DELETED",IF(F6=0,"DELETED",IF(BD6=0,"NO OFFER",IF(BD6=I6,$H$3,IF(BD6=M6,$L$3,IF(BD6=Q6,$P$3,IF(BD6=U6,$T$3,IF(BD6=Y6,$X$3,IF(BD6=AC6,$AB$3,IF(BD6=AG6,$AF$3,IF(BD6=AK6,$AJ$3,IF(BD6=AO6,$AN$3,IF(BD6=AS6,$AR$3,IF(BD6=AW6,$AV$3)))))))))))))))</f>
        <v>ADRYS</v>
      </c>
      <c r="AZ6" s="716" t="str">
        <f t="shared" ref="AZ6:AZ69" si="22">IF(F6=0,"DELETED",IF(COUNT(H6,L6,P6,T6,X6,AB6,AF6,AJ6,AN6,AR6,AV6)=0,"NO OFFER",IF(COUNT(H6,L6,P6,T6,X6,AB6,AF6,AJ6,AN6,AR6,AV6)=1,"SINGLE","MULTIPLE")))</f>
        <v>MULTIPLE</v>
      </c>
      <c r="BA6" s="716" t="str">
        <f t="shared" ref="BA6:BA69" si="23">IF(AND(IF(G6="",TRUE,G6&lt;=ROUNDUP(1.2*F6,0)),IF(K6="",TRUE,K6&lt;=ROUNDUP(1.2*F6,0)),IF(O6="",TRUE,O6&lt;=ROUNDUP(1.2*F6,0)),IF(S6="",TRUE,S6&lt;=ROUNDUP(1.2*F6,0)),IF(W6="",TRUE,W6&lt;=ROUNDUP(1.2*F6,0)),IF(AA6="",TRUE,AA6&lt;=ROUNDUP(1.2*F6,0)),IF(AE6="",TRUE,AE6&lt;=ROUNDUP(1.2*F6,0)),IF(AI6="",TRUE,AI6&lt;=ROUNDUP(1.2*F6,0)),IF(AM6="",TRUE,AM6&lt;=ROUNDUP(1.2*F6,0)),IF(AQ6="",TRUE,AQ6&lt;=ROUNDUP(1.2*F6,0)),IF(AU6="",TRUE,AU6&lt;=ROUNDUP(1.2*F6,0))),"&lt;= 20%","&gt; 20%")</f>
        <v>&lt;= 20%</v>
      </c>
      <c r="BB6" s="716">
        <f>IF(AY6="EST",ROUND(BD6/1.18,2),IF(AY6="ADRYS",ROUND(BD6/1.18,2),ROUND(BD6/(1.3224*Form!$D$10),2)))</f>
        <v>915</v>
      </c>
      <c r="BC6" s="784">
        <f>IF(OR(AY6="EST",AY6="ADRYS"),ROUND(BE6/1.18,2),ROUND(BE6/(1.3224*Form!$D$10),2))</f>
        <v>34770</v>
      </c>
      <c r="BD6" s="717">
        <f>IF(F6="Indg",0,IF(F6="TEC Del",0,IF(AND(IF(G6="",TRUE,G6&lt;=ROUNDUP(1.2*F6,0)),IF(K6="",TRUE,K6&lt;=ROUNDUP(1.2*F6,0)),IF(O6="",TRUE,O6&lt;=ROUNDUP(1.2*F6,0)),IF(S6="",TRUE,S6&lt;=ROUNDUP(1.2*F6,0)),IF(W6="",TRUE,W6&lt;=ROUNDUP(1.2*F6,0)),IF(AA6="",TRUE,AA6&lt;=ROUNDUP(1.2*F6,0)),IF(AE6="",TRUE,AE6&lt;=ROUNDUP(1.2*F6,0)),IF(AI6="",TRUE,AI6&lt;=ROUNDUP(1.2*F6,0)),IF(AM6="",TRUE,AM6&lt;=ROUNDUP(1.2*F6,0)),IF(AQ6="",TRUE,AQ6&lt;=ROUNDUP(1.2*F6,0)),IF(AU6="",TRUE,AU6&lt;=ROUNDUP(1.2*F6,0))),IF(F6=0,0,(IF(SUM(I6,M6,Q6,U6,Y6,AC6,AG6,AK6,AO6,AS6,AW6)=0,0,SMALL((I6,M6,Q6,U6,Y6,AC6,AG6,AK6,AO6,AS6,AW6),COUNTIF((I6:AW6),0)+1)))),IF(BE6=J6,I6,IF(BE6=N6,M6,IF(BE6=R6,Q6,IF(BE6=V6,U6,IF(BE6=Z6,Y6,IF(BE6=AD6,AC6,IF(BE6=AH6,AG6,IF(BE6=AL6,AK6,IF(BE6=AP6,AO6,IF(BE6=AT6,AS6,IF(BE6=AX6,AW6))))))))))))))</f>
        <v>1079.7</v>
      </c>
      <c r="BE6" s="714">
        <f>IF(F6="Indg",0,IF(F6="TEC Del",0,IF(AND(IF(G6="",TRUE,G6&lt;=ROUNDUP(1.2*F6,0)),IF(K6="",TRUE,K6&lt;=ROUNDUP(1.2*F6,0)),IF(O6="",TRUE,O6&lt;=ROUNDUP(1.2*F6,0)),IF(S6="",TRUE,S6&lt;=ROUNDUP(1.2*F6,0)),IF(W6="",TRUE,W6&lt;=ROUNDUP(1.2*F6,0)),IF(AA6="",TRUE,AA6&lt;=ROUNDUP(1.2*F6,0)),IF(AE6="",TRUE,AE6&lt;=ROUNDUP(1.2*F6,0)),IF(AI6="",TRUE,AI6&lt;=ROUNDUP(1.2*F6,0)),IF(AM6="",TRUE,AM6&lt;=ROUNDUP(1.2*F6,0)),IF(AQ6="",TRUE,AQ6&lt;=ROUNDUP(1.2*F6,0)),IF(AU6="",TRUE,AU6&lt;=ROUNDUP(1.2*F6,0))),ROUND(BD6*IF(BD6=I6,G6,IF(BD6=M6,K6,IF(BD6=Q6,O6,IF(BD6=U6,S6,IF(BD6=Y6,W6,IF(BD6=AC6,AA6,IF(BD6=AG6,AE6,IF(BD6=AK6,AI6,IF(BD6=AO6,AM6,IF(BD6=AS6,AQ6,IF(BD6=AW6,AU6))))))))))),2),(IF(SUM(J6,N6,R6,V6,Z6,AD6,AH6,AL6,AP6,AT6,AX6)=0,0,SMALL((J6,N6,R6,V6,Z6,AD6,AH6,AL6,AP6,AT6,AX6),COUNTIF((J6:AX6),0)+1))))))</f>
        <v>41028.6</v>
      </c>
      <c r="BF6" s="714">
        <f>IF('Annexure-I'!L3="",'Annexure-I'!F3,'Annexure-I'!L3)</f>
        <v>16.16</v>
      </c>
      <c r="BG6" s="714" t="str">
        <f>IF('Annexure-I'!M3="",'Annexure-I'!G3,'Annexure-I'!M3)</f>
        <v>CONTRACT-A2</v>
      </c>
      <c r="BH6" s="764">
        <f>IF('Annexure-I'!N3="",'Annexure-I'!H3,'Annexure-I'!N3)</f>
        <v>40967</v>
      </c>
      <c r="BI6" s="717">
        <f>IF('Annexure-I'!P3="",'Annexure-I'!J3,'Annexure-I'!P3)</f>
        <v>29.61</v>
      </c>
      <c r="BJ6" s="717">
        <f>IF('Annexure-I'!Q3="",'Annexure-I'!K3,'Annexure-I'!Q3)</f>
        <v>3241.3555339200002</v>
      </c>
      <c r="BK6" s="714">
        <f>'Annexure-I'!F3</f>
        <v>16.16</v>
      </c>
      <c r="BL6" s="718" t="str">
        <f>'Annexure-I'!G3</f>
        <v>CONTRACT-A2</v>
      </c>
      <c r="BM6" s="764">
        <f>IF('Annexure-I'!H3=0,"",'Annexure-I'!H3)</f>
        <v>40967</v>
      </c>
      <c r="BN6" s="717">
        <f>'Annexure-I'!J3</f>
        <v>29.61</v>
      </c>
      <c r="BO6" s="717">
        <f>'Annexure-I'!K3</f>
        <v>3241.3555339200002</v>
      </c>
      <c r="BP6" s="714">
        <f>IF(OR(AY6="EST",AY6="ADRYS"),ROUND((BC6*1.18)/(1.3224*Form!$D$10),2),BC6)</f>
        <v>374.8</v>
      </c>
      <c r="BQ6" s="714">
        <f>ROUND(BS6/(1.3224*Form!$D$10),2)</f>
        <v>1125.18</v>
      </c>
      <c r="BR6" s="714">
        <f t="shared" ref="BR6:BR69" si="24">IF(AY6="DELETED",0,BE6)</f>
        <v>41028.6</v>
      </c>
      <c r="BS6" s="714">
        <f t="shared" ref="BS6:BS69" si="25">IF(BR6=0,0,ROUND(IF($BQ$1="LPP",ROUND(BJ6*F6,2),ROUND(BO6*F6,2)),2))</f>
        <v>123171.51</v>
      </c>
      <c r="BT6" s="719">
        <f t="shared" ref="BT6:BT69" si="26">IF(SUM(BR6:BS6)=0,0,(BR6-BS6)/BS6)</f>
        <v>-0.66689861965644492</v>
      </c>
      <c r="BU6" s="714"/>
      <c r="BV6" s="714">
        <f t="shared" si="8"/>
        <v>0</v>
      </c>
      <c r="BW6" s="714">
        <f>IF(OR(AY6="EST",AY6="ADRYS"),ROUND(1.18*BU6,2),ROUND(BU6*1.3224*Form!$D$10,2))</f>
        <v>0</v>
      </c>
      <c r="BX6" s="714">
        <f t="shared" si="9"/>
        <v>0</v>
      </c>
      <c r="BY6" s="719">
        <f t="shared" si="10"/>
        <v>0</v>
      </c>
      <c r="BZ6" s="714">
        <f t="shared" si="11"/>
        <v>123171.51</v>
      </c>
      <c r="CA6" s="720"/>
      <c r="CB6" s="720"/>
      <c r="CC6" s="4"/>
      <c r="CD6" s="4"/>
      <c r="CE6" s="4"/>
      <c r="CF6" s="4"/>
      <c r="CG6" s="4"/>
      <c r="CH6" s="4"/>
      <c r="CI6" s="721"/>
      <c r="CR6" s="643"/>
    </row>
    <row r="7" spans="1:96" s="579" customFormat="1" ht="45" x14ac:dyDescent="0.25">
      <c r="A7" s="712">
        <f>SUBTOTAL(2,$B$5:B7)</f>
        <v>3</v>
      </c>
      <c r="B7" s="754">
        <v>3</v>
      </c>
      <c r="C7" s="755" t="s">
        <v>671</v>
      </c>
      <c r="D7" s="755" t="s">
        <v>591</v>
      </c>
      <c r="E7" s="754">
        <v>12</v>
      </c>
      <c r="F7" s="658">
        <f>'Annexure-I'!E4</f>
        <v>12</v>
      </c>
      <c r="G7" s="784" t="str">
        <f>IF('CST-Calculation'!G7=0,"",'CST-Calculation'!G7)</f>
        <v/>
      </c>
      <c r="H7" s="784" t="str">
        <f>IF('CST-Calculation'!H7=0,"",'CST-Calculation'!H7)</f>
        <v/>
      </c>
      <c r="I7" s="714" t="str">
        <f>IF(G7="","",IF(H7="TEC Rejected","",IF(H7="","",ROUND(1.3224*Form!$D$10*H7,2))))</f>
        <v/>
      </c>
      <c r="J7" s="714" t="str">
        <f t="shared" si="0"/>
        <v/>
      </c>
      <c r="K7" s="713" t="str">
        <f>IF(L7="","",IF('CST-Calculation'!$F7="Indg","",IF('CST-Calculation'!$F7="TEC Del","",IF('CST-Calculation'!K7&gt;0,'CST-Calculation'!K7,IF('CST-Calculation'!$F7=0,"",'CST-Calculation'!$F7)))))</f>
        <v/>
      </c>
      <c r="L7" s="714" t="str">
        <f>IF('CST-Calculation'!L7=0,"",'CST-Calculation'!L7)</f>
        <v/>
      </c>
      <c r="M7" s="714" t="str">
        <f>IF(K7="","",IF(L7="TEC Rejected","",IF(L7="","",ROUND(1.3224*Form!$D$10*L7,2))))</f>
        <v/>
      </c>
      <c r="N7" s="714" t="str">
        <f t="shared" si="1"/>
        <v/>
      </c>
      <c r="O7" s="89">
        <f>IF(P7="","",IF('CST-Calculation'!$F7="Indg","",IF('CST-Calculation'!$F7="TEC Del","",IF('CST-Calculation'!O7&gt;0,'CST-Calculation'!O7,IF('CST-Calculation'!$F7=0,"",'CST-Calculation'!$F7)))))</f>
        <v>12</v>
      </c>
      <c r="P7" s="714">
        <f>IF('CST-Calculation'!P7=0,"",'CST-Calculation'!P7)</f>
        <v>16.5</v>
      </c>
      <c r="Q7" s="714">
        <f>IF(O7="","",IF(P7="TEC Rejected","",IF(P7="","",ROUND(1.3224*Form!$D$10*P7,2))))</f>
        <v>1806.23</v>
      </c>
      <c r="R7" s="714">
        <f t="shared" si="2"/>
        <v>21674.76</v>
      </c>
      <c r="S7" s="89">
        <f>IF(T7="","",IF('CST-Calculation'!$F7="Indg","",IF('CST-Calculation'!$F7="TEC Del","",IF('CST-Calculation'!S7&gt;0,'CST-Calculation'!S7,IF('CST-Calculation'!$F7=0,"",'CST-Calculation'!$F7)))))</f>
        <v>12</v>
      </c>
      <c r="T7" s="714">
        <f>IF('CST-Calculation'!T7=0,"",'CST-Calculation'!T7)</f>
        <v>22</v>
      </c>
      <c r="U7" s="714">
        <f>IF(S7="","",IF(T7="TEC Rejected","",IF(T7="","",ROUND(1.3224*Form!$D$10*T7,2))))</f>
        <v>2408.3000000000002</v>
      </c>
      <c r="V7" s="714">
        <f t="shared" si="3"/>
        <v>28899.599999999999</v>
      </c>
      <c r="W7" s="713" t="str">
        <f>IF(X7="","",IF('CST-Calculation'!$F7="Indg","",IF('CST-Calculation'!$F7="TEC Del","",IF('CST-Calculation'!W7&gt;0,'CST-Calculation'!W7,IF('CST-Calculation'!$F7=0,"",'CST-Calculation'!$F7)))))</f>
        <v/>
      </c>
      <c r="X7" s="714" t="str">
        <f>IF('CST-Calculation'!X7=0,"",'CST-Calculation'!X7)</f>
        <v/>
      </c>
      <c r="Y7" s="714" t="str">
        <f>IF(W7="","",IF(X7="TEC Rejected","",IF(X7="","",ROUND(1.3224*Form!$D$10*X7,2))))</f>
        <v/>
      </c>
      <c r="Z7" s="714" t="str">
        <f t="shared" si="12"/>
        <v/>
      </c>
      <c r="AA7" s="713">
        <f>IF(AB7="","",IF('CST-Calculation'!$F7="Indg","",IF('CST-Calculation'!$F7="TEC Del","",IF('CST-Calculation'!AA7&gt;0,'CST-Calculation'!AA7,IF('CST-Calculation'!$F7=0,"",'CST-Calculation'!$F7)))))</f>
        <v>12</v>
      </c>
      <c r="AB7" s="714">
        <f>IF('CST-Calculation'!AB7=0,"",'CST-Calculation'!AB7)</f>
        <v>915</v>
      </c>
      <c r="AC7" s="714">
        <f t="shared" si="13"/>
        <v>1079.7</v>
      </c>
      <c r="AD7" s="714">
        <f t="shared" si="14"/>
        <v>12956.4</v>
      </c>
      <c r="AE7" s="713" t="str">
        <f>IF(AF7="","",IF('CST-Calculation'!$F7="Indg","",IF('CST-Calculation'!$F7="TEC Del","",IF('CST-Calculation'!AE7&gt;0,'CST-Calculation'!AE7,IF('CST-Calculation'!$F7=0,"",'CST-Calculation'!$F7)))))</f>
        <v/>
      </c>
      <c r="AF7" s="714" t="str">
        <f>IF('CST-Calculation'!AF7=0,"",'CST-Calculation'!AF7)</f>
        <v/>
      </c>
      <c r="AG7" s="714" t="str">
        <f>IF(AE7="","",IF(AF7="TEC Rejected","",IF(AF7="","",ROUND(1.3224*Form!$D$10*AF7,2))))</f>
        <v/>
      </c>
      <c r="AH7" s="714" t="str">
        <f t="shared" si="15"/>
        <v/>
      </c>
      <c r="AI7" s="713" t="str">
        <f>IF(AJ7="","",IF('CST-Calculation'!$F7="Indg","",IF('CST-Calculation'!$F7="TEC Del","",IF('CST-Calculation'!AI7&gt;0,'CST-Calculation'!AI7,IF('CST-Calculation'!$F7=0,"",'CST-Calculation'!$F7)))))</f>
        <v/>
      </c>
      <c r="AJ7" s="714" t="str">
        <f>IF('CST-Calculation'!AJ7=0,"",'CST-Calculation'!AJ7)</f>
        <v/>
      </c>
      <c r="AK7" s="714" t="str">
        <f t="shared" si="16"/>
        <v/>
      </c>
      <c r="AL7" s="714" t="str">
        <f t="shared" si="17"/>
        <v/>
      </c>
      <c r="AM7" s="713" t="str">
        <f>IF(AN7="","",IF('CST-Calculation'!$F7="Indg","",IF('CST-Calculation'!$F7="TEC Del","",IF('CST-Calculation'!AM7&gt;0,'CST-Calculation'!AM7,IF('CST-Calculation'!$F7=0,"",'CST-Calculation'!$F7)))))</f>
        <v/>
      </c>
      <c r="AN7" s="714" t="str">
        <f>IF('CST-Calculation'!AN7=0,"",'CST-Calculation'!AN7)</f>
        <v/>
      </c>
      <c r="AO7" s="714" t="str">
        <f>IF(AM7="","",IF(AN7="TEC Rejected","",IF(AN7="","",ROUND(1.3224*Form!$D$10*AN7,2))))</f>
        <v/>
      </c>
      <c r="AP7" s="714" t="str">
        <f t="shared" si="18"/>
        <v/>
      </c>
      <c r="AQ7" s="713" t="str">
        <f>IF(AR7="","",IF('CST-Calculation'!$F7="Indg","",IF('CST-Calculation'!$F7="TEC Del","",IF('CST-Calculation'!AQ7&gt;0,'CST-Calculation'!AQ7,IF('CST-Calculation'!$F7=0,"",'CST-Calculation'!$F7)))))</f>
        <v/>
      </c>
      <c r="AR7" s="714" t="str">
        <f>IF('CST-Calculation'!AR7=0,"",'CST-Calculation'!AR7)</f>
        <v/>
      </c>
      <c r="AS7" s="714" t="str">
        <f>IF(AQ7="","",IF(AR7="TEC Rejected","",IF(AR7="","",ROUND(1.3224*Form!$D$10*AR7,2))))</f>
        <v/>
      </c>
      <c r="AT7" s="714" t="str">
        <f t="shared" si="19"/>
        <v/>
      </c>
      <c r="AU7" s="713" t="str">
        <f>IF(AV7="","",IF('CST-Calculation'!$F7="Indg","",IF('CST-Calculation'!$F7="TEC Del","",IF('CST-Calculation'!AU7&gt;0,'CST-Calculation'!AU7,IF('CST-Calculation'!$F7=0,"",'CST-Calculation'!$F7)))))</f>
        <v/>
      </c>
      <c r="AV7" s="714" t="str">
        <f>IF('CST-Calculation'!AV7=0,"",'CST-Calculation'!AV7)</f>
        <v/>
      </c>
      <c r="AW7" s="714" t="str">
        <f>IF(AU7="","",IF(AV7="TEC Rejected","",IF(AV7="","",ROUND(1.3224*Form!$D$10*AV7,2))))</f>
        <v/>
      </c>
      <c r="AX7" s="714" t="str">
        <f t="shared" si="20"/>
        <v/>
      </c>
      <c r="AY7" s="715" t="str">
        <f t="shared" si="21"/>
        <v>ADRYS</v>
      </c>
      <c r="AZ7" s="716" t="str">
        <f t="shared" si="22"/>
        <v>MULTIPLE</v>
      </c>
      <c r="BA7" s="716" t="str">
        <f t="shared" si="23"/>
        <v>&lt;= 20%</v>
      </c>
      <c r="BB7" s="716">
        <f>IF(AY7="EST",ROUND(BD7/1.18,2),IF(AY7="ADRYS",ROUND(BD7/1.18,2),ROUND(BD7/(1.3224*Form!$D$10),2)))</f>
        <v>915</v>
      </c>
      <c r="BC7" s="784">
        <f>IF(OR(AY7="EST",AY7="ADRYS"),ROUND(BE7/1.18,2),ROUND(BE7/(1.3224*Form!$D$10),2))</f>
        <v>10980</v>
      </c>
      <c r="BD7" s="717">
        <f>IF(F7="Indg",0,IF(F7="TEC Del",0,IF(AND(IF(G7="",TRUE,G7&lt;=ROUNDUP(1.2*F7,0)),IF(K7="",TRUE,K7&lt;=ROUNDUP(1.2*F7,0)),IF(O7="",TRUE,O7&lt;=ROUNDUP(1.2*F7,0)),IF(S7="",TRUE,S7&lt;=ROUNDUP(1.2*F7,0)),IF(W7="",TRUE,W7&lt;=ROUNDUP(1.2*F7,0)),IF(AA7="",TRUE,AA7&lt;=ROUNDUP(1.2*F7,0)),IF(AE7="",TRUE,AE7&lt;=ROUNDUP(1.2*F7,0)),IF(AI7="",TRUE,AI7&lt;=ROUNDUP(1.2*F7,0)),IF(AM7="",TRUE,AM7&lt;=ROUNDUP(1.2*F7,0)),IF(AQ7="",TRUE,AQ7&lt;=ROUNDUP(1.2*F7,0)),IF(AU7="",TRUE,AU7&lt;=ROUNDUP(1.2*F7,0))),IF(F7=0,0,(IF(SUM(I7,M7,Q7,U7,Y7,AC7,AG7,AK7,AO7,AS7,AW7)=0,0,SMALL((I7,M7,Q7,U7,Y7,AC7,AG7,AK7,AO7,AS7,AW7),COUNTIF((I7:AW7),0)+1)))),IF(BE7=J7,I7,IF(BE7=N7,M7,IF(BE7=R7,Q7,IF(BE7=V7,U7,IF(BE7=Z7,Y7,IF(BE7=AD7,AC7,IF(BE7=AH7,AG7,IF(BE7=AL7,AK7,IF(BE7=AP7,AO7,IF(BE7=AT7,AS7,IF(BE7=AX7,AW7))))))))))))))</f>
        <v>1079.7</v>
      </c>
      <c r="BE7" s="714">
        <f>IF(F7="Indg",0,IF(F7="TEC Del",0,IF(AND(IF(G7="",TRUE,G7&lt;=ROUNDUP(1.2*F7,0)),IF(K7="",TRUE,K7&lt;=ROUNDUP(1.2*F7,0)),IF(O7="",TRUE,O7&lt;=ROUNDUP(1.2*F7,0)),IF(S7="",TRUE,S7&lt;=ROUNDUP(1.2*F7,0)),IF(W7="",TRUE,W7&lt;=ROUNDUP(1.2*F7,0)),IF(AA7="",TRUE,AA7&lt;=ROUNDUP(1.2*F7,0)),IF(AE7="",TRUE,AE7&lt;=ROUNDUP(1.2*F7,0)),IF(AI7="",TRUE,AI7&lt;=ROUNDUP(1.2*F7,0)),IF(AM7="",TRUE,AM7&lt;=ROUNDUP(1.2*F7,0)),IF(AQ7="",TRUE,AQ7&lt;=ROUNDUP(1.2*F7,0)),IF(AU7="",TRUE,AU7&lt;=ROUNDUP(1.2*F7,0))),ROUND(BD7*IF(BD7=I7,G7,IF(BD7=M7,K7,IF(BD7=Q7,O7,IF(BD7=U7,S7,IF(BD7=Y7,W7,IF(BD7=AC7,AA7,IF(BD7=AG7,AE7,IF(BD7=AK7,AI7,IF(BD7=AO7,AM7,IF(BD7=AS7,AQ7,IF(BD7=AW7,AU7))))))))))),2),(IF(SUM(J7,N7,R7,V7,Z7,AD7,AH7,AL7,AP7,AT7,AX7)=0,0,SMALL((J7,N7,R7,V7,Z7,AD7,AH7,AL7,AP7,AT7,AX7),COUNTIF((J7:AX7),0)+1))))))</f>
        <v>12956.4</v>
      </c>
      <c r="BF7" s="714">
        <f>IF('Annexure-I'!L4="",'Annexure-I'!F4,'Annexure-I'!L4)</f>
        <v>22</v>
      </c>
      <c r="BG7" s="714" t="str">
        <f>IF('Annexure-I'!M4="",'Annexure-I'!G4,'Annexure-I'!M4)</f>
        <v>CONTRACT-A3</v>
      </c>
      <c r="BH7" s="764">
        <f>IF('Annexure-I'!N4="",'Annexure-I'!H4,'Annexure-I'!N4)</f>
        <v>43298</v>
      </c>
      <c r="BI7" s="717">
        <f>IF('Annexure-I'!P4="",'Annexure-I'!J4,'Annexure-I'!P4)</f>
        <v>29.65</v>
      </c>
      <c r="BJ7" s="717">
        <f>IF('Annexure-I'!Q4="",'Annexure-I'!K4,'Annexure-I'!Q4)</f>
        <v>3245.7342647999999</v>
      </c>
      <c r="BK7" s="714">
        <f>'Annexure-I'!F4</f>
        <v>22</v>
      </c>
      <c r="BL7" s="718" t="str">
        <f>'Annexure-I'!G4</f>
        <v>CONTRACT-A3</v>
      </c>
      <c r="BM7" s="764">
        <v>2021</v>
      </c>
      <c r="BN7" s="717">
        <f>'Annexure-I'!J4</f>
        <v>29.65</v>
      </c>
      <c r="BO7" s="717">
        <f>'Annexure-I'!K4</f>
        <v>3245.7342647999999</v>
      </c>
      <c r="BP7" s="714">
        <f>IF(OR(AY7="EST",AY7="ADRYS"),ROUND((BC7*1.18)/(1.3224*Form!$D$10),2),BC7)</f>
        <v>118.36</v>
      </c>
      <c r="BQ7" s="714">
        <f>ROUND(BS7/(1.3224*Form!$D$10),2)</f>
        <v>355.8</v>
      </c>
      <c r="BR7" s="714">
        <f t="shared" si="24"/>
        <v>12956.4</v>
      </c>
      <c r="BS7" s="714">
        <f t="shared" si="25"/>
        <v>38948.81</v>
      </c>
      <c r="BT7" s="719">
        <f t="shared" si="26"/>
        <v>-0.66734798829540609</v>
      </c>
      <c r="BU7" s="714"/>
      <c r="BV7" s="714">
        <f t="shared" si="8"/>
        <v>0</v>
      </c>
      <c r="BW7" s="714">
        <f>IF(OR(AY7="EST",AY7="ADRYS"),ROUND(1.18*BU7,2),ROUND(BU7*1.3224*Form!$D$10,2))</f>
        <v>0</v>
      </c>
      <c r="BX7" s="714">
        <f t="shared" si="9"/>
        <v>0</v>
      </c>
      <c r="BY7" s="719">
        <f>IF((BX7)=0,0,(BX7-BS7)/BS7)</f>
        <v>0</v>
      </c>
      <c r="BZ7" s="714">
        <f t="shared" si="11"/>
        <v>38948.81</v>
      </c>
      <c r="CA7" s="722"/>
      <c r="CB7" s="722"/>
      <c r="CC7" s="4"/>
      <c r="CD7" s="4"/>
      <c r="CE7" s="4"/>
      <c r="CF7" s="4"/>
      <c r="CG7" s="4"/>
      <c r="CH7" s="4"/>
      <c r="CI7" s="721"/>
    </row>
    <row r="8" spans="1:96" s="579" customFormat="1" ht="45" x14ac:dyDescent="0.25">
      <c r="A8" s="712">
        <f>SUBTOTAL(2,$B$5:B8)</f>
        <v>4</v>
      </c>
      <c r="B8" s="754">
        <v>4</v>
      </c>
      <c r="C8" s="756" t="s">
        <v>672</v>
      </c>
      <c r="D8" s="755" t="s">
        <v>461</v>
      </c>
      <c r="E8" s="754">
        <v>10</v>
      </c>
      <c r="F8" s="658">
        <f>'Annexure-I'!E5</f>
        <v>10</v>
      </c>
      <c r="G8" s="784" t="str">
        <f>IF('CST-Calculation'!G8=0,"",'CST-Calculation'!G8)</f>
        <v/>
      </c>
      <c r="H8" s="784" t="str">
        <f>IF('CST-Calculation'!H8=0,"",'CST-Calculation'!H8)</f>
        <v/>
      </c>
      <c r="I8" s="714" t="str">
        <f>IF(G8="","",IF(H8="TEC Rejected","",IF(H8="","",ROUND(1.3224*Form!$D$10*H8,2))))</f>
        <v/>
      </c>
      <c r="J8" s="714" t="str">
        <f t="shared" si="0"/>
        <v/>
      </c>
      <c r="K8" s="713" t="str">
        <f>IF(L8="","",IF('CST-Calculation'!$F8="Indg","",IF('CST-Calculation'!$F8="TEC Del","",IF('CST-Calculation'!K8&gt;0,'CST-Calculation'!K8,IF('CST-Calculation'!$F8=0,"",'CST-Calculation'!$F8)))))</f>
        <v/>
      </c>
      <c r="L8" s="714" t="str">
        <f>IF('CST-Calculation'!L8=0,"",'CST-Calculation'!L8)</f>
        <v/>
      </c>
      <c r="M8" s="714" t="str">
        <f>IF(K8="","",IF(L8="TEC Rejected","",IF(L8="","",ROUND(1.3224*Form!$D$10*L8,2))))</f>
        <v/>
      </c>
      <c r="N8" s="714" t="str">
        <f t="shared" si="1"/>
        <v/>
      </c>
      <c r="O8" s="89">
        <f>IF(P8="","",IF('CST-Calculation'!$F8="Indg","",IF('CST-Calculation'!$F8="TEC Del","",IF('CST-Calculation'!O8&gt;0,'CST-Calculation'!O8,IF('CST-Calculation'!$F8=0,"",'CST-Calculation'!$F8)))))</f>
        <v>10</v>
      </c>
      <c r="P8" s="714">
        <f>IF('CST-Calculation'!P8=0,"",'CST-Calculation'!P8)</f>
        <v>12.6</v>
      </c>
      <c r="Q8" s="714">
        <f>IF(O8="","",IF(P8="TEC Rejected","",IF(P8="","",ROUND(1.3224*Form!$D$10*P8,2))))</f>
        <v>1379.3</v>
      </c>
      <c r="R8" s="714">
        <f t="shared" si="2"/>
        <v>13793</v>
      </c>
      <c r="S8" s="89">
        <f>IF(T8="","",IF('CST-Calculation'!$F8="Indg","",IF('CST-Calculation'!$F8="TEC Del","",IF('CST-Calculation'!S8&gt;0,'CST-Calculation'!S8,IF('CST-Calculation'!$F8=0,"",'CST-Calculation'!$F8)))))</f>
        <v>10</v>
      </c>
      <c r="T8" s="714">
        <f>IF('CST-Calculation'!T8=0,"",'CST-Calculation'!T8)</f>
        <v>27.5</v>
      </c>
      <c r="U8" s="714">
        <f>IF(S8="","",IF(T8="TEC Rejected","",IF(T8="","",ROUND(1.3224*Form!$D$10*T8,2))))</f>
        <v>3010.38</v>
      </c>
      <c r="V8" s="714">
        <f t="shared" si="3"/>
        <v>30103.8</v>
      </c>
      <c r="W8" s="713" t="str">
        <f>IF(X8="","",IF('CST-Calculation'!$F8="Indg","",IF('CST-Calculation'!$F8="TEC Del","",IF('CST-Calculation'!W8&gt;0,'CST-Calculation'!W8,IF('CST-Calculation'!$F8=0,"",'CST-Calculation'!$F8)))))</f>
        <v/>
      </c>
      <c r="X8" s="714" t="str">
        <f>IF('CST-Calculation'!X8=0,"",'CST-Calculation'!X8)</f>
        <v/>
      </c>
      <c r="Y8" s="714" t="str">
        <f>IF(W8="","",IF(X8="TEC Rejected","",IF(X8="","",ROUND(1.3224*Form!$D$10*X8,2))))</f>
        <v/>
      </c>
      <c r="Z8" s="714" t="str">
        <f t="shared" si="12"/>
        <v/>
      </c>
      <c r="AA8" s="713">
        <f>IF(AB8="","",IF('CST-Calculation'!$F8="Indg","",IF('CST-Calculation'!$F8="TEC Del","",IF('CST-Calculation'!AA8&gt;0,'CST-Calculation'!AA8,IF('CST-Calculation'!$F8=0,"",'CST-Calculation'!$F8)))))</f>
        <v>10</v>
      </c>
      <c r="AB8" s="714">
        <f>IF('CST-Calculation'!AB8=0,"",'CST-Calculation'!AB8)</f>
        <v>1215</v>
      </c>
      <c r="AC8" s="714">
        <f t="shared" si="13"/>
        <v>1433.7</v>
      </c>
      <c r="AD8" s="714">
        <f t="shared" si="14"/>
        <v>14337</v>
      </c>
      <c r="AE8" s="713" t="str">
        <f>IF(AF8="","",IF('CST-Calculation'!$F8="Indg","",IF('CST-Calculation'!$F8="TEC Del","",IF('CST-Calculation'!AE8&gt;0,'CST-Calculation'!AE8,IF('CST-Calculation'!$F8=0,"",'CST-Calculation'!$F8)))))</f>
        <v/>
      </c>
      <c r="AF8" s="714" t="str">
        <f>IF('CST-Calculation'!AF8=0,"",'CST-Calculation'!AF8)</f>
        <v/>
      </c>
      <c r="AG8" s="714" t="str">
        <f>IF(AE8="","",IF(AF8="TEC Rejected","",IF(AF8="","",ROUND(1.3224*Form!$D$10*AF8,2))))</f>
        <v/>
      </c>
      <c r="AH8" s="714" t="str">
        <f t="shared" si="15"/>
        <v/>
      </c>
      <c r="AI8" s="713" t="str">
        <f>IF(AJ8="","",IF('CST-Calculation'!$F8="Indg","",IF('CST-Calculation'!$F8="TEC Del","",IF('CST-Calculation'!AI8&gt;0,'CST-Calculation'!AI8,IF('CST-Calculation'!$F8=0,"",'CST-Calculation'!$F8)))))</f>
        <v/>
      </c>
      <c r="AJ8" s="714" t="str">
        <f>IF('CST-Calculation'!AJ8=0,"",'CST-Calculation'!AJ8)</f>
        <v/>
      </c>
      <c r="AK8" s="714" t="str">
        <f t="shared" si="16"/>
        <v/>
      </c>
      <c r="AL8" s="714" t="str">
        <f t="shared" si="17"/>
        <v/>
      </c>
      <c r="AM8" s="713" t="str">
        <f>IF(AN8="","",IF('CST-Calculation'!$F8="Indg","",IF('CST-Calculation'!$F8="TEC Del","",IF('CST-Calculation'!AM8&gt;0,'CST-Calculation'!AM8,IF('CST-Calculation'!$F8=0,"",'CST-Calculation'!$F8)))))</f>
        <v/>
      </c>
      <c r="AN8" s="714" t="str">
        <f>IF('CST-Calculation'!AN8=0,"",'CST-Calculation'!AN8)</f>
        <v/>
      </c>
      <c r="AO8" s="714" t="str">
        <f>IF(AM8="","",IF(AN8="TEC Rejected","",IF(AN8="","",ROUND(1.3224*Form!$D$10*AN8,2))))</f>
        <v/>
      </c>
      <c r="AP8" s="714" t="str">
        <f t="shared" si="18"/>
        <v/>
      </c>
      <c r="AQ8" s="713" t="str">
        <f>IF(AR8="","",IF('CST-Calculation'!$F8="Indg","",IF('CST-Calculation'!$F8="TEC Del","",IF('CST-Calculation'!AQ8&gt;0,'CST-Calculation'!AQ8,IF('CST-Calculation'!$F8=0,"",'CST-Calculation'!$F8)))))</f>
        <v/>
      </c>
      <c r="AR8" s="714" t="str">
        <f>IF('CST-Calculation'!AR8=0,"",'CST-Calculation'!AR8)</f>
        <v/>
      </c>
      <c r="AS8" s="714" t="str">
        <f>IF(AQ8="","",IF(AR8="TEC Rejected","",IF(AR8="","",ROUND(1.3224*Form!$D$10*AR8,2))))</f>
        <v/>
      </c>
      <c r="AT8" s="714" t="str">
        <f t="shared" si="19"/>
        <v/>
      </c>
      <c r="AU8" s="713" t="str">
        <f>IF(AV8="","",IF('CST-Calculation'!$F8="Indg","",IF('CST-Calculation'!$F8="TEC Del","",IF('CST-Calculation'!AU8&gt;0,'CST-Calculation'!AU8,IF('CST-Calculation'!$F8=0,"",'CST-Calculation'!$F8)))))</f>
        <v/>
      </c>
      <c r="AV8" s="714" t="str">
        <f>IF('CST-Calculation'!AV8=0,"",'CST-Calculation'!AV8)</f>
        <v/>
      </c>
      <c r="AW8" s="714" t="str">
        <f>IF(AU8="","",IF(AV8="TEC Rejected","",IF(AV8="","",ROUND(1.3224*Form!$D$10*AV8,2))))</f>
        <v/>
      </c>
      <c r="AX8" s="714" t="str">
        <f t="shared" si="20"/>
        <v/>
      </c>
      <c r="AY8" s="715" t="str">
        <f t="shared" si="21"/>
        <v>GIS</v>
      </c>
      <c r="AZ8" s="716" t="str">
        <f t="shared" si="22"/>
        <v>MULTIPLE</v>
      </c>
      <c r="BA8" s="716" t="str">
        <f t="shared" si="23"/>
        <v>&lt;= 20%</v>
      </c>
      <c r="BB8" s="716">
        <f>IF(AY8="EST",ROUND(BD8/1.18,2),IF(AY8="ADRYS",ROUND(BD8/1.18,2),ROUND(BD8/(1.3224*Form!$D$10),2)))</f>
        <v>12.6</v>
      </c>
      <c r="BC8" s="784">
        <f>IF(OR(AY8="EST",AY8="ADRYS"),ROUND(BE8/1.18,2),ROUND(BE8/(1.3224*Form!$D$10),2))</f>
        <v>126</v>
      </c>
      <c r="BD8" s="717">
        <f>IF(F8="Indg",0,IF(F8="TEC Del",0,IF(AND(IF(G8="",TRUE,G8&lt;=ROUNDUP(1.2*F8,0)),IF(K8="",TRUE,K8&lt;=ROUNDUP(1.2*F8,0)),IF(O8="",TRUE,O8&lt;=ROUNDUP(1.2*F8,0)),IF(S8="",TRUE,S8&lt;=ROUNDUP(1.2*F8,0)),IF(W8="",TRUE,W8&lt;=ROUNDUP(1.2*F8,0)),IF(AA8="",TRUE,AA8&lt;=ROUNDUP(1.2*F8,0)),IF(AE8="",TRUE,AE8&lt;=ROUNDUP(1.2*F8,0)),IF(AI8="",TRUE,AI8&lt;=ROUNDUP(1.2*F8,0)),IF(AM8="",TRUE,AM8&lt;=ROUNDUP(1.2*F8,0)),IF(AQ8="",TRUE,AQ8&lt;=ROUNDUP(1.2*F8,0)),IF(AU8="",TRUE,AU8&lt;=ROUNDUP(1.2*F8,0))),IF(F8=0,0,(IF(SUM(I8,M8,Q8,U8,Y8,AC8,AG8,AK8,AO8,AS8,AW8)=0,0,SMALL((I8,M8,Q8,U8,Y8,AC8,AG8,AK8,AO8,AS8,AW8),COUNTIF((I8:AW8),0)+1)))),IF(BE8=J8,I8,IF(BE8=N8,M8,IF(BE8=R8,Q8,IF(BE8=V8,U8,IF(BE8=Z8,Y8,IF(BE8=AD8,AC8,IF(BE8=AH8,AG8,IF(BE8=AL8,AK8,IF(BE8=AP8,AO8,IF(BE8=AT8,AS8,IF(BE8=AX8,AW8))))))))))))))</f>
        <v>1379.3</v>
      </c>
      <c r="BE8" s="714">
        <f>IF(F8="Indg",0,IF(F8="TEC Del",0,IF(AND(IF(G8="",TRUE,G8&lt;=ROUNDUP(1.2*F8,0)),IF(K8="",TRUE,K8&lt;=ROUNDUP(1.2*F8,0)),IF(O8="",TRUE,O8&lt;=ROUNDUP(1.2*F8,0)),IF(S8="",TRUE,S8&lt;=ROUNDUP(1.2*F8,0)),IF(W8="",TRUE,W8&lt;=ROUNDUP(1.2*F8,0)),IF(AA8="",TRUE,AA8&lt;=ROUNDUP(1.2*F8,0)),IF(AE8="",TRUE,AE8&lt;=ROUNDUP(1.2*F8,0)),IF(AI8="",TRUE,AI8&lt;=ROUNDUP(1.2*F8,0)),IF(AM8="",TRUE,AM8&lt;=ROUNDUP(1.2*F8,0)),IF(AQ8="",TRUE,AQ8&lt;=ROUNDUP(1.2*F8,0)),IF(AU8="",TRUE,AU8&lt;=ROUNDUP(1.2*F8,0))),ROUND(BD8*IF(BD8=I8,G8,IF(BD8=M8,K8,IF(BD8=Q8,O8,IF(BD8=U8,S8,IF(BD8=Y8,W8,IF(BD8=AC8,AA8,IF(BD8=AG8,AE8,IF(BD8=AK8,AI8,IF(BD8=AO8,AM8,IF(BD8=AS8,AQ8,IF(BD8=AW8,AU8))))))))))),2),(IF(SUM(J8,N8,R8,V8,Z8,AD8,AH8,AL8,AP8,AT8,AX8)=0,0,SMALL((J8,N8,R8,V8,Z8,AD8,AH8,AL8,AP8,AT8,AX8),COUNTIF((J8:AX8),0)+1))))))</f>
        <v>13793</v>
      </c>
      <c r="BF8" s="714">
        <f>IF('Annexure-I'!L5="",'Annexure-I'!F5,'Annexure-I'!L5)</f>
        <v>7.93</v>
      </c>
      <c r="BG8" s="714" t="str">
        <f>IF('Annexure-I'!M5="",'Annexure-I'!G5,'Annexure-I'!M5)</f>
        <v>CONTRACT-A4</v>
      </c>
      <c r="BH8" s="764">
        <f>IF('Annexure-I'!N5="",'Annexure-I'!H5,'Annexure-I'!N5)</f>
        <v>40967</v>
      </c>
      <c r="BI8" s="717">
        <f>IF('Annexure-I'!P5="",'Annexure-I'!J5,'Annexure-I'!P5)</f>
        <v>14.53</v>
      </c>
      <c r="BJ8" s="717">
        <f>IF('Annexure-I'!Q5="",'Annexure-I'!K5,'Annexure-I'!Q5)</f>
        <v>1590.57399216</v>
      </c>
      <c r="BK8" s="714">
        <f>'Annexure-I'!F5</f>
        <v>7.93</v>
      </c>
      <c r="BL8" s="718" t="str">
        <f>'Annexure-I'!G5</f>
        <v>CONTRACT-A4</v>
      </c>
      <c r="BM8" s="764">
        <f>IF('Annexure-I'!H5=0,"",'Annexure-I'!H5)</f>
        <v>40967</v>
      </c>
      <c r="BN8" s="717">
        <f>'Annexure-I'!J5</f>
        <v>14.53</v>
      </c>
      <c r="BO8" s="717">
        <f>'Annexure-I'!K5</f>
        <v>1590.57399216</v>
      </c>
      <c r="BP8" s="714">
        <f>IF(OR(AY8="EST",AY8="ADRYS"),ROUND((BC8*1.18)/(1.3224*Form!$D$10),2),BC8)</f>
        <v>126</v>
      </c>
      <c r="BQ8" s="714">
        <f>ROUND(BS8/(1.3224*Form!$D$10),2)</f>
        <v>145.30000000000001</v>
      </c>
      <c r="BR8" s="714">
        <f t="shared" si="24"/>
        <v>13793</v>
      </c>
      <c r="BS8" s="714">
        <f t="shared" si="25"/>
        <v>15905.74</v>
      </c>
      <c r="BT8" s="719">
        <f t="shared" si="26"/>
        <v>-0.13282877753565692</v>
      </c>
      <c r="BU8" s="714"/>
      <c r="BV8" s="714">
        <f t="shared" si="8"/>
        <v>0</v>
      </c>
      <c r="BW8" s="714">
        <f>IF(OR(AY8="EST",AY8="ADRYS"),ROUND(1.18*BU8,2),ROUND(BU8*1.3224*Form!$D$10,2))</f>
        <v>0</v>
      </c>
      <c r="BX8" s="714">
        <f t="shared" si="9"/>
        <v>0</v>
      </c>
      <c r="BY8" s="719">
        <f>IF((BX8)=0,0,(BX8-BS8)/BS8)</f>
        <v>0</v>
      </c>
      <c r="BZ8" s="714">
        <f t="shared" si="11"/>
        <v>15905.74</v>
      </c>
      <c r="CA8" s="722"/>
      <c r="CB8" s="722"/>
      <c r="CC8" s="4"/>
      <c r="CD8" s="4"/>
      <c r="CE8" s="4"/>
      <c r="CF8" s="4"/>
      <c r="CG8" s="4"/>
      <c r="CH8" s="4"/>
      <c r="CI8" s="721"/>
    </row>
    <row r="9" spans="1:96" s="579" customFormat="1" ht="45" x14ac:dyDescent="0.25">
      <c r="A9" s="712">
        <f>SUBTOTAL(2,$B$5:B9)</f>
        <v>5</v>
      </c>
      <c r="B9" s="754">
        <v>5</v>
      </c>
      <c r="C9" s="755" t="s">
        <v>673</v>
      </c>
      <c r="D9" s="755" t="s">
        <v>591</v>
      </c>
      <c r="E9" s="754">
        <v>9</v>
      </c>
      <c r="F9" s="658">
        <f>'Annexure-I'!E6</f>
        <v>9</v>
      </c>
      <c r="G9" s="784" t="str">
        <f>IF('CST-Calculation'!G9=0,"",'CST-Calculation'!G9)</f>
        <v/>
      </c>
      <c r="H9" s="784" t="str">
        <f>IF('CST-Calculation'!H9=0,"",'CST-Calculation'!H9)</f>
        <v/>
      </c>
      <c r="I9" s="714" t="str">
        <f>IF(G9="","",IF(H9="TEC Rejected","",IF(H9="","",ROUND(1.3224*Form!$D$10*H9,2))))</f>
        <v/>
      </c>
      <c r="J9" s="714" t="str">
        <f t="shared" si="0"/>
        <v/>
      </c>
      <c r="K9" s="713" t="str">
        <f>IF(L9="","",IF('CST-Calculation'!$F9="Indg","",IF('CST-Calculation'!$F9="TEC Del","",IF('CST-Calculation'!K9&gt;0,'CST-Calculation'!K9,IF('CST-Calculation'!$F9=0,"",'CST-Calculation'!$F9)))))</f>
        <v/>
      </c>
      <c r="L9" s="714" t="str">
        <f>IF('CST-Calculation'!L9=0,"",'CST-Calculation'!L9)</f>
        <v/>
      </c>
      <c r="M9" s="714" t="str">
        <f>IF(K9="","",IF(L9="TEC Rejected","",IF(L9="","",ROUND(1.3224*Form!$D$10*L9,2))))</f>
        <v/>
      </c>
      <c r="N9" s="714" t="str">
        <f t="shared" si="1"/>
        <v/>
      </c>
      <c r="O9" s="89">
        <f>IF(P9="","",IF('CST-Calculation'!$F9="Indg","",IF('CST-Calculation'!$F9="TEC Del","",IF('CST-Calculation'!O9&gt;0,'CST-Calculation'!O9,IF('CST-Calculation'!$F9=0,"",'CST-Calculation'!$F9)))))</f>
        <v>9</v>
      </c>
      <c r="P9" s="714">
        <f>IF('CST-Calculation'!P9=0,"",'CST-Calculation'!P9)</f>
        <v>15</v>
      </c>
      <c r="Q9" s="714">
        <f>IF(O9="","",IF(P9="TEC Rejected","",IF(P9="","",ROUND(1.3224*Form!$D$10*P9,2))))</f>
        <v>1642.02</v>
      </c>
      <c r="R9" s="714">
        <f t="shared" si="2"/>
        <v>14778.18</v>
      </c>
      <c r="S9" s="89">
        <f>IF(T9="","",IF('CST-Calculation'!$F9="Indg","",IF('CST-Calculation'!$F9="TEC Del","",IF('CST-Calculation'!S9&gt;0,'CST-Calculation'!S9,IF('CST-Calculation'!$F9=0,"",'CST-Calculation'!$F9)))))</f>
        <v>9</v>
      </c>
      <c r="T9" s="714">
        <f>IF('CST-Calculation'!T9=0,"",'CST-Calculation'!T9)</f>
        <v>33</v>
      </c>
      <c r="U9" s="714">
        <f>IF(S9="","",IF(T9="TEC Rejected","",IF(T9="","",ROUND(1.3224*Form!$D$10*T9,2))))</f>
        <v>3612.45</v>
      </c>
      <c r="V9" s="714">
        <f t="shared" si="3"/>
        <v>32512.05</v>
      </c>
      <c r="W9" s="713" t="str">
        <f>IF(X9="","",IF('CST-Calculation'!$F9="Indg","",IF('CST-Calculation'!$F9="TEC Del","",IF('CST-Calculation'!W9&gt;0,'CST-Calculation'!W9,IF('CST-Calculation'!$F9=0,"",'CST-Calculation'!$F9)))))</f>
        <v/>
      </c>
      <c r="X9" s="714" t="str">
        <f>IF('CST-Calculation'!X9=0,"",'CST-Calculation'!X9)</f>
        <v/>
      </c>
      <c r="Y9" s="714" t="str">
        <f>IF(W9="","",IF(X9="TEC Rejected","",IF(X9="","",ROUND(1.3224*Form!$D$10*X9,2))))</f>
        <v/>
      </c>
      <c r="Z9" s="714" t="str">
        <f t="shared" si="12"/>
        <v/>
      </c>
      <c r="AA9" s="713">
        <f>IF(AB9="","",IF('CST-Calculation'!$F9="Indg","",IF('CST-Calculation'!$F9="TEC Del","",IF('CST-Calculation'!AA9&gt;0,'CST-Calculation'!AA9,IF('CST-Calculation'!$F9=0,"",'CST-Calculation'!$F9)))))</f>
        <v>9</v>
      </c>
      <c r="AB9" s="714">
        <f>IF('CST-Calculation'!AB9=0,"",'CST-Calculation'!AB9)</f>
        <v>915</v>
      </c>
      <c r="AC9" s="714">
        <f t="shared" si="13"/>
        <v>1079.7</v>
      </c>
      <c r="AD9" s="714">
        <f t="shared" si="14"/>
        <v>9717.2999999999993</v>
      </c>
      <c r="AE9" s="713" t="str">
        <f>IF(AF9="","",IF('CST-Calculation'!$F9="Indg","",IF('CST-Calculation'!$F9="TEC Del","",IF('CST-Calculation'!AE9&gt;0,'CST-Calculation'!AE9,IF('CST-Calculation'!$F9=0,"",'CST-Calculation'!$F9)))))</f>
        <v/>
      </c>
      <c r="AF9" s="714" t="str">
        <f>IF('CST-Calculation'!AF9=0,"",'CST-Calculation'!AF9)</f>
        <v/>
      </c>
      <c r="AG9" s="714" t="str">
        <f>IF(AE9="","",IF(AF9="TEC Rejected","",IF(AF9="","",ROUND(1.3224*Form!$D$10*AF9,2))))</f>
        <v/>
      </c>
      <c r="AH9" s="714" t="str">
        <f t="shared" si="15"/>
        <v/>
      </c>
      <c r="AI9" s="713" t="str">
        <f>IF(AJ9="","",IF('CST-Calculation'!$F9="Indg","",IF('CST-Calculation'!$F9="TEC Del","",IF('CST-Calculation'!AI9&gt;0,'CST-Calculation'!AI9,IF('CST-Calculation'!$F9=0,"",'CST-Calculation'!$F9)))))</f>
        <v/>
      </c>
      <c r="AJ9" s="714" t="str">
        <f>IF('CST-Calculation'!AJ9=0,"",'CST-Calculation'!AJ9)</f>
        <v/>
      </c>
      <c r="AK9" s="714" t="str">
        <f t="shared" si="16"/>
        <v/>
      </c>
      <c r="AL9" s="714" t="str">
        <f t="shared" si="17"/>
        <v/>
      </c>
      <c r="AM9" s="713" t="str">
        <f>IF(AN9="","",IF('CST-Calculation'!$F9="Indg","",IF('CST-Calculation'!$F9="TEC Del","",IF('CST-Calculation'!AM9&gt;0,'CST-Calculation'!AM9,IF('CST-Calculation'!$F9=0,"",'CST-Calculation'!$F9)))))</f>
        <v/>
      </c>
      <c r="AN9" s="714" t="str">
        <f>IF('CST-Calculation'!AN9=0,"",'CST-Calculation'!AN9)</f>
        <v/>
      </c>
      <c r="AO9" s="714" t="str">
        <f>IF(AM9="","",IF(AN9="TEC Rejected","",IF(AN9="","",ROUND(1.3224*Form!$D$10*AN9,2))))</f>
        <v/>
      </c>
      <c r="AP9" s="714" t="str">
        <f t="shared" si="18"/>
        <v/>
      </c>
      <c r="AQ9" s="713" t="str">
        <f>IF(AR9="","",IF('CST-Calculation'!$F9="Indg","",IF('CST-Calculation'!$F9="TEC Del","",IF('CST-Calculation'!AQ9&gt;0,'CST-Calculation'!AQ9,IF('CST-Calculation'!$F9=0,"",'CST-Calculation'!$F9)))))</f>
        <v/>
      </c>
      <c r="AR9" s="714" t="str">
        <f>IF('CST-Calculation'!AR9=0,"",'CST-Calculation'!AR9)</f>
        <v/>
      </c>
      <c r="AS9" s="714" t="str">
        <f>IF(AQ9="","",IF(AR9="TEC Rejected","",IF(AR9="","",ROUND(1.3224*Form!$D$10*AR9,2))))</f>
        <v/>
      </c>
      <c r="AT9" s="714" t="str">
        <f t="shared" si="19"/>
        <v/>
      </c>
      <c r="AU9" s="713" t="str">
        <f>IF(AV9="","",IF('CST-Calculation'!$F9="Indg","",IF('CST-Calculation'!$F9="TEC Del","",IF('CST-Calculation'!AU9&gt;0,'CST-Calculation'!AU9,IF('CST-Calculation'!$F9=0,"",'CST-Calculation'!$F9)))))</f>
        <v/>
      </c>
      <c r="AV9" s="714" t="str">
        <f>IF('CST-Calculation'!AV9=0,"",'CST-Calculation'!AV9)</f>
        <v/>
      </c>
      <c r="AW9" s="714" t="str">
        <f>IF(AU9="","",IF(AV9="TEC Rejected","",IF(AV9="","",ROUND(1.3224*Form!$D$10*AV9,2))))</f>
        <v/>
      </c>
      <c r="AX9" s="714" t="str">
        <f t="shared" si="20"/>
        <v/>
      </c>
      <c r="AY9" s="715" t="str">
        <f t="shared" si="21"/>
        <v>ADRYS</v>
      </c>
      <c r="AZ9" s="716" t="str">
        <f t="shared" si="22"/>
        <v>MULTIPLE</v>
      </c>
      <c r="BA9" s="716" t="str">
        <f t="shared" si="23"/>
        <v>&lt;= 20%</v>
      </c>
      <c r="BB9" s="716">
        <f>IF(AY9="EST",ROUND(BD9/1.18,2),IF(AY9="ADRYS",ROUND(BD9/1.18,2),ROUND(BD9/(1.3224*Form!$D$10),2)))</f>
        <v>915</v>
      </c>
      <c r="BC9" s="784">
        <f>IF(OR(AY9="EST",AY9="ADRYS"),ROUND(BE9/1.18,2),ROUND(BE9/(1.3224*Form!$D$10),2))</f>
        <v>8235</v>
      </c>
      <c r="BD9" s="717">
        <f>IF(F9="Indg",0,IF(F9="TEC Del",0,IF(AND(IF(G9="",TRUE,G9&lt;=ROUNDUP(1.2*F9,0)),IF(K9="",TRUE,K9&lt;=ROUNDUP(1.2*F9,0)),IF(O9="",TRUE,O9&lt;=ROUNDUP(1.2*F9,0)),IF(S9="",TRUE,S9&lt;=ROUNDUP(1.2*F9,0)),IF(W9="",TRUE,W9&lt;=ROUNDUP(1.2*F9,0)),IF(AA9="",TRUE,AA9&lt;=ROUNDUP(1.2*F9,0)),IF(AE9="",TRUE,AE9&lt;=ROUNDUP(1.2*F9,0)),IF(AI9="",TRUE,AI9&lt;=ROUNDUP(1.2*F9,0)),IF(AM9="",TRUE,AM9&lt;=ROUNDUP(1.2*F9,0)),IF(AQ9="",TRUE,AQ9&lt;=ROUNDUP(1.2*F9,0)),IF(AU9="",TRUE,AU9&lt;=ROUNDUP(1.2*F9,0))),IF(F9=0,0,(IF(SUM(I9,M9,Q9,U9,Y9,AC9,AG9,AK9,AO9,AS9,AW9)=0,0,SMALL((I9,M9,Q9,U9,Y9,AC9,AG9,AK9,AO9,AS9,AW9),COUNTIF((I9:AW9),0)+1)))),IF(BE9=J9,I9,IF(BE9=N9,M9,IF(BE9=R9,Q9,IF(BE9=V9,U9,IF(BE9=Z9,Y9,IF(BE9=AD9,AC9,IF(BE9=AH9,AG9,IF(BE9=AL9,AK9,IF(BE9=AP9,AO9,IF(BE9=AT9,AS9,IF(BE9=AX9,AW9))))))))))))))</f>
        <v>1079.7</v>
      </c>
      <c r="BE9" s="714">
        <f>IF(F9="Indg",0,IF(F9="TEC Del",0,IF(AND(IF(G9="",TRUE,G9&lt;=ROUNDUP(1.2*F9,0)),IF(K9="",TRUE,K9&lt;=ROUNDUP(1.2*F9,0)),IF(O9="",TRUE,O9&lt;=ROUNDUP(1.2*F9,0)),IF(S9="",TRUE,S9&lt;=ROUNDUP(1.2*F9,0)),IF(W9="",TRUE,W9&lt;=ROUNDUP(1.2*F9,0)),IF(AA9="",TRUE,AA9&lt;=ROUNDUP(1.2*F9,0)),IF(AE9="",TRUE,AE9&lt;=ROUNDUP(1.2*F9,0)),IF(AI9="",TRUE,AI9&lt;=ROUNDUP(1.2*F9,0)),IF(AM9="",TRUE,AM9&lt;=ROUNDUP(1.2*F9,0)),IF(AQ9="",TRUE,AQ9&lt;=ROUNDUP(1.2*F9,0)),IF(AU9="",TRUE,AU9&lt;=ROUNDUP(1.2*F9,0))),ROUND(BD9*IF(BD9=I9,G9,IF(BD9=M9,K9,IF(BD9=Q9,O9,IF(BD9=U9,S9,IF(BD9=Y9,W9,IF(BD9=AC9,AA9,IF(BD9=AG9,AE9,IF(BD9=AK9,AI9,IF(BD9=AO9,AM9,IF(BD9=AS9,AQ9,IF(BD9=AW9,AU9))))))))))),2),(IF(SUM(J9,N9,R9,V9,Z9,AD9,AH9,AL9,AP9,AT9,AX9)=0,0,SMALL((J9,N9,R9,V9,Z9,AD9,AH9,AL9,AP9,AT9,AX9),COUNTIF((J9:AX9),0)+1))))))</f>
        <v>9717.2999999999993</v>
      </c>
      <c r="BF9" s="714">
        <f>IF('Annexure-I'!L6="",'Annexure-I'!F6,'Annexure-I'!L6)</f>
        <v>14</v>
      </c>
      <c r="BG9" s="714" t="str">
        <f>IF('Annexure-I'!M6="",'Annexure-I'!G6,'Annexure-I'!M6)</f>
        <v>CONTRACT-A5</v>
      </c>
      <c r="BH9" s="764">
        <f>IF('Annexure-I'!N6="",'Annexure-I'!H6,'Annexure-I'!N6)</f>
        <v>43298</v>
      </c>
      <c r="BI9" s="717">
        <f>IF('Annexure-I'!P6="",'Annexure-I'!J6,'Annexure-I'!P6)</f>
        <v>18.87</v>
      </c>
      <c r="BJ9" s="717">
        <f>IF('Annexure-I'!Q6="",'Annexure-I'!K6,'Annexure-I'!Q6)</f>
        <v>2065.6662926400004</v>
      </c>
      <c r="BK9" s="714">
        <f>'Annexure-I'!F6</f>
        <v>14</v>
      </c>
      <c r="BL9" s="718" t="str">
        <f>'Annexure-I'!G6</f>
        <v>CONTRACT-A5</v>
      </c>
      <c r="BM9" s="764">
        <f>IF('Annexure-I'!H6=0,"",'Annexure-I'!H6)</f>
        <v>43298</v>
      </c>
      <c r="BN9" s="717">
        <f>'Annexure-I'!J6</f>
        <v>18.87</v>
      </c>
      <c r="BO9" s="717">
        <f>'Annexure-I'!K6</f>
        <v>2065.6662926400004</v>
      </c>
      <c r="BP9" s="714">
        <f>IF(OR(AY9="EST",AY9="ADRYS"),ROUND((BC9*1.18)/(1.3224*Form!$D$10),2),BC9)</f>
        <v>88.77</v>
      </c>
      <c r="BQ9" s="714">
        <f>ROUND(BS9/(1.3224*Form!$D$10),2)</f>
        <v>169.83</v>
      </c>
      <c r="BR9" s="714">
        <f t="shared" si="24"/>
        <v>9717.2999999999993</v>
      </c>
      <c r="BS9" s="714">
        <f t="shared" si="25"/>
        <v>18591</v>
      </c>
      <c r="BT9" s="719">
        <f t="shared" si="26"/>
        <v>-0.47731160238825243</v>
      </c>
      <c r="BU9" s="714"/>
      <c r="BV9" s="714">
        <f t="shared" si="8"/>
        <v>0</v>
      </c>
      <c r="BW9" s="714">
        <f>IF(OR(AY9="EST",AY9="ADRYS"),ROUND(1.18*BU9,2),ROUND(BU9*1.3224*Form!$D$10,2))</f>
        <v>0</v>
      </c>
      <c r="BX9" s="714">
        <f t="shared" si="9"/>
        <v>0</v>
      </c>
      <c r="BY9" s="719">
        <f>IF((BX9)=0,0,(BX9-BS9)/BS9)</f>
        <v>0</v>
      </c>
      <c r="BZ9" s="714">
        <f t="shared" si="11"/>
        <v>18591</v>
      </c>
      <c r="CA9" s="720"/>
      <c r="CB9" s="720"/>
      <c r="CC9" s="4"/>
      <c r="CD9" s="4"/>
      <c r="CE9" s="4"/>
      <c r="CF9" s="4"/>
      <c r="CG9" s="4"/>
      <c r="CH9" s="4"/>
      <c r="CI9" s="721"/>
    </row>
    <row r="10" spans="1:96" s="579" customFormat="1" ht="45" x14ac:dyDescent="0.25">
      <c r="A10" s="712">
        <f>SUBTOTAL(2,$B$5:B10)</f>
        <v>6</v>
      </c>
      <c r="B10" s="754">
        <v>6</v>
      </c>
      <c r="C10" s="756" t="s">
        <v>674</v>
      </c>
      <c r="D10" s="755" t="s">
        <v>123</v>
      </c>
      <c r="E10" s="754">
        <v>11</v>
      </c>
      <c r="F10" s="658">
        <f>'Annexure-I'!E7</f>
        <v>11</v>
      </c>
      <c r="G10" s="784" t="str">
        <f>IF('CST-Calculation'!G10=0,"",'CST-Calculation'!G10)</f>
        <v/>
      </c>
      <c r="H10" s="784" t="str">
        <f>IF('CST-Calculation'!H10=0,"",'CST-Calculation'!H10)</f>
        <v/>
      </c>
      <c r="I10" s="714" t="str">
        <f>IF(G10="","",IF(H10="TEC Rejected","",IF(H10="","",ROUND(1.3224*Form!$D$10*H10,2))))</f>
        <v/>
      </c>
      <c r="J10" s="714" t="str">
        <f t="shared" si="0"/>
        <v/>
      </c>
      <c r="K10" s="713" t="str">
        <f>IF(L10="","",IF('CST-Calculation'!$F10="Indg","",IF('CST-Calculation'!$F10="TEC Del","",IF('CST-Calculation'!K10&gt;0,'CST-Calculation'!K10,IF('CST-Calculation'!$F10=0,"",'CST-Calculation'!$F10)))))</f>
        <v/>
      </c>
      <c r="L10" s="714" t="str">
        <f>IF('CST-Calculation'!L10=0,"",'CST-Calculation'!L10)</f>
        <v/>
      </c>
      <c r="M10" s="714" t="str">
        <f>IF(K10="","",IF(L10="TEC Rejected","",IF(L10="","",ROUND(1.3224*Form!$D$10*L10,2))))</f>
        <v/>
      </c>
      <c r="N10" s="714" t="str">
        <f t="shared" si="1"/>
        <v/>
      </c>
      <c r="O10" s="89">
        <f>IF(P10="","",IF('CST-Calculation'!$F10="Indg","",IF('CST-Calculation'!$F10="TEC Del","",IF('CST-Calculation'!O10&gt;0,'CST-Calculation'!O10,IF('CST-Calculation'!$F10=0,"",'CST-Calculation'!$F10)))))</f>
        <v>11</v>
      </c>
      <c r="P10" s="714">
        <f>IF('CST-Calculation'!P10=0,"",'CST-Calculation'!P10)</f>
        <v>3</v>
      </c>
      <c r="Q10" s="714">
        <f>IF(O10="","",IF(P10="TEC Rejected","",IF(P10="","",ROUND(1.3224*Form!$D$10*P10,2))))</f>
        <v>328.4</v>
      </c>
      <c r="R10" s="714">
        <f t="shared" si="2"/>
        <v>3612.4</v>
      </c>
      <c r="S10" s="89">
        <f>IF(T10="","",IF('CST-Calculation'!$F10="Indg","",IF('CST-Calculation'!$F10="TEC Del","",IF('CST-Calculation'!S10&gt;0,'CST-Calculation'!S10,IF('CST-Calculation'!$F10=0,"",'CST-Calculation'!$F10)))))</f>
        <v>11</v>
      </c>
      <c r="T10" s="714">
        <f>IF('CST-Calculation'!T10=0,"",'CST-Calculation'!T10)</f>
        <v>16.5</v>
      </c>
      <c r="U10" s="714">
        <f>IF(S10="","",IF(T10="TEC Rejected","",IF(T10="","",ROUND(1.3224*Form!$D$10*T10,2))))</f>
        <v>1806.23</v>
      </c>
      <c r="V10" s="714">
        <f t="shared" si="3"/>
        <v>19868.53</v>
      </c>
      <c r="W10" s="713" t="str">
        <f>IF(X10="","",IF('CST-Calculation'!$F10="Indg","",IF('CST-Calculation'!$F10="TEC Del","",IF('CST-Calculation'!W10&gt;0,'CST-Calculation'!W10,IF('CST-Calculation'!$F10=0,"",'CST-Calculation'!$F10)))))</f>
        <v/>
      </c>
      <c r="X10" s="714" t="str">
        <f>IF('CST-Calculation'!X10=0,"",'CST-Calculation'!X10)</f>
        <v/>
      </c>
      <c r="Y10" s="714" t="str">
        <f>IF(W10="","",IF(X10="TEC Rejected","",IF(X10="","",ROUND(1.3224*Form!$D$10*X10,2))))</f>
        <v/>
      </c>
      <c r="Z10" s="714" t="str">
        <f t="shared" si="12"/>
        <v/>
      </c>
      <c r="AA10" s="713">
        <f>IF(AB10="","",IF('CST-Calculation'!$F10="Indg","",IF('CST-Calculation'!$F10="TEC Del","",IF('CST-Calculation'!AA10&gt;0,'CST-Calculation'!AA10,IF('CST-Calculation'!$F10=0,"",'CST-Calculation'!$F10)))))</f>
        <v>11</v>
      </c>
      <c r="AB10" s="714">
        <f>IF('CST-Calculation'!AB10=0,"",'CST-Calculation'!AB10)</f>
        <v>165</v>
      </c>
      <c r="AC10" s="714">
        <f t="shared" si="13"/>
        <v>194.7</v>
      </c>
      <c r="AD10" s="714">
        <f t="shared" si="14"/>
        <v>2141.6999999999998</v>
      </c>
      <c r="AE10" s="713" t="str">
        <f>IF(AF10="","",IF('CST-Calculation'!$F10="Indg","",IF('CST-Calculation'!$F10="TEC Del","",IF('CST-Calculation'!AE10&gt;0,'CST-Calculation'!AE10,IF('CST-Calculation'!$F10=0,"",'CST-Calculation'!$F10)))))</f>
        <v/>
      </c>
      <c r="AF10" s="714" t="str">
        <f>IF('CST-Calculation'!AF10=0,"",'CST-Calculation'!AF10)</f>
        <v/>
      </c>
      <c r="AG10" s="714" t="str">
        <f>IF(AE10="","",IF(AF10="TEC Rejected","",IF(AF10="","",ROUND(1.3224*Form!$D$10*AF10,2))))</f>
        <v/>
      </c>
      <c r="AH10" s="714" t="str">
        <f t="shared" si="15"/>
        <v/>
      </c>
      <c r="AI10" s="713" t="str">
        <f>IF(AJ10="","",IF('CST-Calculation'!$F10="Indg","",IF('CST-Calculation'!$F10="TEC Del","",IF('CST-Calculation'!AI10&gt;0,'CST-Calculation'!AI10,IF('CST-Calculation'!$F10=0,"",'CST-Calculation'!$F10)))))</f>
        <v/>
      </c>
      <c r="AJ10" s="714" t="str">
        <f>IF('CST-Calculation'!AJ10=0,"",'CST-Calculation'!AJ10)</f>
        <v/>
      </c>
      <c r="AK10" s="714" t="str">
        <f t="shared" si="16"/>
        <v/>
      </c>
      <c r="AL10" s="714" t="str">
        <f t="shared" si="17"/>
        <v/>
      </c>
      <c r="AM10" s="713" t="str">
        <f>IF(AN10="","",IF('CST-Calculation'!$F10="Indg","",IF('CST-Calculation'!$F10="TEC Del","",IF('CST-Calculation'!AM10&gt;0,'CST-Calculation'!AM10,IF('CST-Calculation'!$F10=0,"",'CST-Calculation'!$F10)))))</f>
        <v/>
      </c>
      <c r="AN10" s="714" t="str">
        <f>IF('CST-Calculation'!AN10=0,"",'CST-Calculation'!AN10)</f>
        <v/>
      </c>
      <c r="AO10" s="714" t="str">
        <f>IF(AM10="","",IF(AN10="TEC Rejected","",IF(AN10="","",ROUND(1.3224*Form!$D$10*AN10,2))))</f>
        <v/>
      </c>
      <c r="AP10" s="714" t="str">
        <f t="shared" si="18"/>
        <v/>
      </c>
      <c r="AQ10" s="713" t="str">
        <f>IF(AR10="","",IF('CST-Calculation'!$F10="Indg","",IF('CST-Calculation'!$F10="TEC Del","",IF('CST-Calculation'!AQ10&gt;0,'CST-Calculation'!AQ10,IF('CST-Calculation'!$F10=0,"",'CST-Calculation'!$F10)))))</f>
        <v/>
      </c>
      <c r="AR10" s="714" t="str">
        <f>IF('CST-Calculation'!AR10=0,"",'CST-Calculation'!AR10)</f>
        <v/>
      </c>
      <c r="AS10" s="714" t="str">
        <f>IF(AQ10="","",IF(AR10="TEC Rejected","",IF(AR10="","",ROUND(1.3224*Form!$D$10*AR10,2))))</f>
        <v/>
      </c>
      <c r="AT10" s="714" t="str">
        <f t="shared" si="19"/>
        <v/>
      </c>
      <c r="AU10" s="713" t="str">
        <f>IF(AV10="","",IF('CST-Calculation'!$F10="Indg","",IF('CST-Calculation'!$F10="TEC Del","",IF('CST-Calculation'!AU10&gt;0,'CST-Calculation'!AU10,IF('CST-Calculation'!$F10=0,"",'CST-Calculation'!$F10)))))</f>
        <v/>
      </c>
      <c r="AV10" s="714" t="str">
        <f>IF('CST-Calculation'!AV10=0,"",'CST-Calculation'!AV10)</f>
        <v/>
      </c>
      <c r="AW10" s="714" t="str">
        <f>IF(AU10="","",IF(AV10="TEC Rejected","",IF(AV10="","",ROUND(1.3224*Form!$D$10*AV10,2))))</f>
        <v/>
      </c>
      <c r="AX10" s="714" t="str">
        <f t="shared" si="20"/>
        <v/>
      </c>
      <c r="AY10" s="715" t="str">
        <f t="shared" si="21"/>
        <v>ADRYS</v>
      </c>
      <c r="AZ10" s="716" t="str">
        <f t="shared" si="22"/>
        <v>MULTIPLE</v>
      </c>
      <c r="BA10" s="716" t="str">
        <f t="shared" si="23"/>
        <v>&lt;= 20%</v>
      </c>
      <c r="BB10" s="716">
        <f>IF(AY10="EST",ROUND(BD10/1.18,2),IF(AY10="ADRYS",ROUND(BD10/1.18,2),ROUND(BD10/(1.3224*Form!$D$10),2)))</f>
        <v>165</v>
      </c>
      <c r="BC10" s="784">
        <f>IF(OR(AY10="EST",AY10="ADRYS"),ROUND(BE10/1.18,2),ROUND(BE10/(1.3224*Form!$D$10),2))</f>
        <v>1815</v>
      </c>
      <c r="BD10" s="717">
        <f>IF(F10="Indg",0,IF(F10="TEC Del",0,IF(AND(IF(G10="",TRUE,G10&lt;=ROUNDUP(1.2*F10,0)),IF(K10="",TRUE,K10&lt;=ROUNDUP(1.2*F10,0)),IF(O10="",TRUE,O10&lt;=ROUNDUP(1.2*F10,0)),IF(S10="",TRUE,S10&lt;=ROUNDUP(1.2*F10,0)),IF(W10="",TRUE,W10&lt;=ROUNDUP(1.2*F10,0)),IF(AA10="",TRUE,AA10&lt;=ROUNDUP(1.2*F10,0)),IF(AE10="",TRUE,AE10&lt;=ROUNDUP(1.2*F10,0)),IF(AI10="",TRUE,AI10&lt;=ROUNDUP(1.2*F10,0)),IF(AM10="",TRUE,AM10&lt;=ROUNDUP(1.2*F10,0)),IF(AQ10="",TRUE,AQ10&lt;=ROUNDUP(1.2*F10,0)),IF(AU10="",TRUE,AU10&lt;=ROUNDUP(1.2*F10,0))),IF(F10=0,0,(IF(SUM(I10,M10,Q10,U10,Y10,AC10,AG10,AK10,AO10,AS10,AW10)=0,0,SMALL((I10,M10,Q10,U10,Y10,AC10,AG10,AK10,AO10,AS10,AW10),COUNTIF((I10:AW10),0)+1)))),IF(BE10=J10,I10,IF(BE10=N10,M10,IF(BE10=R10,Q10,IF(BE10=V10,U10,IF(BE10=Z10,Y10,IF(BE10=AD10,AC10,IF(BE10=AH10,AG10,IF(BE10=AL10,AK10,IF(BE10=AP10,AO10,IF(BE10=AT10,AS10,IF(BE10=AX10,AW10))))))))))))))</f>
        <v>194.7</v>
      </c>
      <c r="BE10" s="714">
        <f>IF(F10="Indg",0,IF(F10="TEC Del",0,IF(AND(IF(G10="",TRUE,G10&lt;=ROUNDUP(1.2*F10,0)),IF(K10="",TRUE,K10&lt;=ROUNDUP(1.2*F10,0)),IF(O10="",TRUE,O10&lt;=ROUNDUP(1.2*F10,0)),IF(S10="",TRUE,S10&lt;=ROUNDUP(1.2*F10,0)),IF(W10="",TRUE,W10&lt;=ROUNDUP(1.2*F10,0)),IF(AA10="",TRUE,AA10&lt;=ROUNDUP(1.2*F10,0)),IF(AE10="",TRUE,AE10&lt;=ROUNDUP(1.2*F10,0)),IF(AI10="",TRUE,AI10&lt;=ROUNDUP(1.2*F10,0)),IF(AM10="",TRUE,AM10&lt;=ROUNDUP(1.2*F10,0)),IF(AQ10="",TRUE,AQ10&lt;=ROUNDUP(1.2*F10,0)),IF(AU10="",TRUE,AU10&lt;=ROUNDUP(1.2*F10,0))),ROUND(BD10*IF(BD10=I10,G10,IF(BD10=M10,K10,IF(BD10=Q10,O10,IF(BD10=U10,S10,IF(BD10=Y10,W10,IF(BD10=AC10,AA10,IF(BD10=AG10,AE10,IF(BD10=AK10,AI10,IF(BD10=AO10,AM10,IF(BD10=AS10,AQ10,IF(BD10=AW10,AU10))))))))))),2),(IF(SUM(J10,N10,R10,V10,Z10,AD10,AH10,AL10,AP10,AT10,AX10)=0,0,SMALL((J10,N10,R10,V10,Z10,AD10,AH10,AL10,AP10,AT10,AX10),COUNTIF((J10:AX10),0)+1))))))</f>
        <v>2141.6999999999998</v>
      </c>
      <c r="BF10" s="714">
        <f>IF('Annexure-I'!L7="",'Annexure-I'!F7,'Annexure-I'!L7)</f>
        <v>12.02</v>
      </c>
      <c r="BG10" s="714" t="str">
        <f>IF('Annexure-I'!M7="",'Annexure-I'!G7,'Annexure-I'!M7)</f>
        <v>CONTRACT-A6</v>
      </c>
      <c r="BH10" s="764">
        <f>IF('Annexure-I'!N7="",'Annexure-I'!H7,'Annexure-I'!N7)</f>
        <v>41789</v>
      </c>
      <c r="BI10" s="717">
        <f>IF('Annexure-I'!P7="",'Annexure-I'!J7,'Annexure-I'!P7)</f>
        <v>19.79</v>
      </c>
      <c r="BJ10" s="717">
        <f>IF('Annexure-I'!Q7="",'Annexure-I'!K7,'Annexure-I'!Q7)</f>
        <v>2166.3771028800002</v>
      </c>
      <c r="BK10" s="714">
        <f>'Annexure-I'!F7</f>
        <v>12.02</v>
      </c>
      <c r="BL10" s="718" t="str">
        <f>'Annexure-I'!G7</f>
        <v>CONTRACT-A6</v>
      </c>
      <c r="BM10" s="764">
        <f>IF('Annexure-I'!H7=0,"",'Annexure-I'!H7)</f>
        <v>41789</v>
      </c>
      <c r="BN10" s="717">
        <f>'Annexure-I'!J7</f>
        <v>19.79</v>
      </c>
      <c r="BO10" s="717">
        <f>'Annexure-I'!K7</f>
        <v>2166.3771028800002</v>
      </c>
      <c r="BP10" s="714">
        <f>IF(OR(AY10="EST",AY10="ADRYS"),ROUND((BC10*1.18)/(1.3224*Form!$D$10),2),BC10)</f>
        <v>19.559999999999999</v>
      </c>
      <c r="BQ10" s="714">
        <f>ROUND(BS10/(1.3224*Form!$D$10),2)</f>
        <v>217.69</v>
      </c>
      <c r="BR10" s="714">
        <f t="shared" si="24"/>
        <v>2141.6999999999998</v>
      </c>
      <c r="BS10" s="714">
        <f t="shared" si="25"/>
        <v>23830.15</v>
      </c>
      <c r="BT10" s="719">
        <f t="shared" si="26"/>
        <v>-0.91012645744991116</v>
      </c>
      <c r="BU10" s="714"/>
      <c r="BV10" s="714">
        <f t="shared" si="8"/>
        <v>0</v>
      </c>
      <c r="BW10" s="714">
        <f>IF(OR(AY10="EST",AY10="ADRYS"),ROUND(1.18*BU10,2),ROUND(BU10*1.3224*Form!$D$10,2))</f>
        <v>0</v>
      </c>
      <c r="BX10" s="714">
        <f t="shared" si="9"/>
        <v>0</v>
      </c>
      <c r="BY10" s="719">
        <f>IF((BX10)=0,0,(BX10-BS10)/BS10)</f>
        <v>0</v>
      </c>
      <c r="BZ10" s="714">
        <f t="shared" si="11"/>
        <v>23830.15</v>
      </c>
      <c r="CA10" s="720"/>
      <c r="CB10" s="720"/>
      <c r="CC10" s="4"/>
      <c r="CD10" s="4"/>
      <c r="CE10" s="4"/>
      <c r="CF10" s="4"/>
      <c r="CG10" s="4"/>
      <c r="CH10" s="4"/>
      <c r="CI10" s="721"/>
    </row>
    <row r="11" spans="1:96" s="579" customFormat="1" ht="45" x14ac:dyDescent="0.25">
      <c r="A11" s="712">
        <f>SUBTOTAL(2,$B$5:B11)</f>
        <v>7</v>
      </c>
      <c r="B11" s="754">
        <v>7</v>
      </c>
      <c r="C11" s="755" t="s">
        <v>675</v>
      </c>
      <c r="D11" s="755" t="s">
        <v>124</v>
      </c>
      <c r="E11" s="754">
        <v>6</v>
      </c>
      <c r="F11" s="658">
        <f>'Annexure-I'!E8</f>
        <v>6</v>
      </c>
      <c r="G11" s="784" t="str">
        <f>IF('CST-Calculation'!G11=0,"",'CST-Calculation'!G11)</f>
        <v/>
      </c>
      <c r="H11" s="784" t="str">
        <f>IF('CST-Calculation'!H11=0,"",'CST-Calculation'!H11)</f>
        <v/>
      </c>
      <c r="I11" s="714" t="str">
        <f>IF(G11="","",IF(H11="TEC Rejected","",IF(H11="","",ROUND(1.3224*Form!$D$10*H11,2))))</f>
        <v/>
      </c>
      <c r="J11" s="714" t="str">
        <f t="shared" si="0"/>
        <v/>
      </c>
      <c r="K11" s="713" t="str">
        <f>IF(L11="","",IF('CST-Calculation'!$F11="Indg","",IF('CST-Calculation'!$F11="TEC Del","",IF('CST-Calculation'!K11&gt;0,'CST-Calculation'!K11,IF('CST-Calculation'!$F11=0,"",'CST-Calculation'!$F11)))))</f>
        <v/>
      </c>
      <c r="L11" s="714" t="str">
        <f>IF('CST-Calculation'!L11=0,"",'CST-Calculation'!L11)</f>
        <v/>
      </c>
      <c r="M11" s="714" t="str">
        <f>IF(K11="","",IF(L11="TEC Rejected","",IF(L11="","",ROUND(1.3224*Form!$D$10*L11,2))))</f>
        <v/>
      </c>
      <c r="N11" s="714" t="str">
        <f t="shared" si="1"/>
        <v/>
      </c>
      <c r="O11" s="89">
        <f>IF(P11="","",IF('CST-Calculation'!$F11="Indg","",IF('CST-Calculation'!$F11="TEC Del","",IF('CST-Calculation'!O11&gt;0,'CST-Calculation'!O11,IF('CST-Calculation'!$F11=0,"",'CST-Calculation'!$F11)))))</f>
        <v>6</v>
      </c>
      <c r="P11" s="714">
        <f>IF('CST-Calculation'!P11=0,"",'CST-Calculation'!P11)</f>
        <v>9</v>
      </c>
      <c r="Q11" s="714">
        <f>IF(O11="","",IF(P11="TEC Rejected","",IF(P11="","",ROUND(1.3224*Form!$D$10*P11,2))))</f>
        <v>985.21</v>
      </c>
      <c r="R11" s="714">
        <f t="shared" si="2"/>
        <v>5911.26</v>
      </c>
      <c r="S11" s="89">
        <f>IF(T11="","",IF('CST-Calculation'!$F11="Indg","",IF('CST-Calculation'!$F11="TEC Del","",IF('CST-Calculation'!S11&gt;0,'CST-Calculation'!S11,IF('CST-Calculation'!$F11=0,"",'CST-Calculation'!$F11)))))</f>
        <v>6</v>
      </c>
      <c r="T11" s="714">
        <f>IF('CST-Calculation'!T11=0,"",'CST-Calculation'!T11)</f>
        <v>19.5</v>
      </c>
      <c r="U11" s="714">
        <f>IF(S11="","",IF(T11="TEC Rejected","",IF(T11="","",ROUND(1.3224*Form!$D$10*T11,2))))</f>
        <v>2134.63</v>
      </c>
      <c r="V11" s="714">
        <f t="shared" si="3"/>
        <v>12807.78</v>
      </c>
      <c r="W11" s="713" t="str">
        <f>IF(X11="","",IF('CST-Calculation'!$F11="Indg","",IF('CST-Calculation'!$F11="TEC Del","",IF('CST-Calculation'!W11&gt;0,'CST-Calculation'!W11,IF('CST-Calculation'!$F11=0,"",'CST-Calculation'!$F11)))))</f>
        <v/>
      </c>
      <c r="X11" s="714" t="str">
        <f>IF('CST-Calculation'!X11=0,"",'CST-Calculation'!X11)</f>
        <v/>
      </c>
      <c r="Y11" s="714" t="str">
        <f>IF(W11="","",IF(X11="TEC Rejected","",IF(X11="","",ROUND(1.3224*Form!$D$10*X11,2))))</f>
        <v/>
      </c>
      <c r="Z11" s="714" t="str">
        <f t="shared" si="12"/>
        <v/>
      </c>
      <c r="AA11" s="713">
        <f>IF(AB11="","",IF('CST-Calculation'!$F11="Indg","",IF('CST-Calculation'!$F11="TEC Del","",IF('CST-Calculation'!AA11&gt;0,'CST-Calculation'!AA11,IF('CST-Calculation'!$F11=0,"",'CST-Calculation'!$F11)))))</f>
        <v>6</v>
      </c>
      <c r="AB11" s="714">
        <f>IF('CST-Calculation'!AB11=0,"",'CST-Calculation'!AB11)</f>
        <v>315</v>
      </c>
      <c r="AC11" s="714">
        <f t="shared" si="13"/>
        <v>371.7</v>
      </c>
      <c r="AD11" s="714">
        <f t="shared" si="14"/>
        <v>2230.1999999999998</v>
      </c>
      <c r="AE11" s="713" t="str">
        <f>IF(AF11="","",IF('CST-Calculation'!$F11="Indg","",IF('CST-Calculation'!$F11="TEC Del","",IF('CST-Calculation'!AE11&gt;0,'CST-Calculation'!AE11,IF('CST-Calculation'!$F11=0,"",'CST-Calculation'!$F11)))))</f>
        <v/>
      </c>
      <c r="AF11" s="714" t="str">
        <f>IF('CST-Calculation'!AF11=0,"",'CST-Calculation'!AF11)</f>
        <v/>
      </c>
      <c r="AG11" s="714" t="str">
        <f>IF(AE11="","",IF(AF11="TEC Rejected","",IF(AF11="","",ROUND(1.3224*Form!$D$10*AF11,2))))</f>
        <v/>
      </c>
      <c r="AH11" s="714" t="str">
        <f t="shared" si="15"/>
        <v/>
      </c>
      <c r="AI11" s="713" t="str">
        <f>IF(AJ11="","",IF('CST-Calculation'!$F11="Indg","",IF('CST-Calculation'!$F11="TEC Del","",IF('CST-Calculation'!AI11&gt;0,'CST-Calculation'!AI11,IF('CST-Calculation'!$F11=0,"",'CST-Calculation'!$F11)))))</f>
        <v/>
      </c>
      <c r="AJ11" s="714" t="str">
        <f>IF('CST-Calculation'!AJ11=0,"",'CST-Calculation'!AJ11)</f>
        <v/>
      </c>
      <c r="AK11" s="714" t="str">
        <f t="shared" si="16"/>
        <v/>
      </c>
      <c r="AL11" s="714" t="str">
        <f t="shared" si="17"/>
        <v/>
      </c>
      <c r="AM11" s="713" t="str">
        <f>IF(AN11="","",IF('CST-Calculation'!$F11="Indg","",IF('CST-Calculation'!$F11="TEC Del","",IF('CST-Calculation'!AM11&gt;0,'CST-Calculation'!AM11,IF('CST-Calculation'!$F11=0,"",'CST-Calculation'!$F11)))))</f>
        <v/>
      </c>
      <c r="AN11" s="714" t="str">
        <f>IF('CST-Calculation'!AN11=0,"",'CST-Calculation'!AN11)</f>
        <v/>
      </c>
      <c r="AO11" s="714" t="str">
        <f>IF(AM11="","",IF(AN11="TEC Rejected","",IF(AN11="","",ROUND(1.3224*Form!$D$10*AN11,2))))</f>
        <v/>
      </c>
      <c r="AP11" s="714" t="str">
        <f t="shared" si="18"/>
        <v/>
      </c>
      <c r="AQ11" s="713" t="str">
        <f>IF(AR11="","",IF('CST-Calculation'!$F11="Indg","",IF('CST-Calculation'!$F11="TEC Del","",IF('CST-Calculation'!AQ11&gt;0,'CST-Calculation'!AQ11,IF('CST-Calculation'!$F11=0,"",'CST-Calculation'!$F11)))))</f>
        <v/>
      </c>
      <c r="AR11" s="714" t="str">
        <f>IF('CST-Calculation'!AR11=0,"",'CST-Calculation'!AR11)</f>
        <v/>
      </c>
      <c r="AS11" s="714" t="str">
        <f>IF(AQ11="","",IF(AR11="TEC Rejected","",IF(AR11="","",ROUND(1.3224*Form!$D$10*AR11,2))))</f>
        <v/>
      </c>
      <c r="AT11" s="714" t="str">
        <f t="shared" si="19"/>
        <v/>
      </c>
      <c r="AU11" s="713" t="str">
        <f>IF(AV11="","",IF('CST-Calculation'!$F11="Indg","",IF('CST-Calculation'!$F11="TEC Del","",IF('CST-Calculation'!AU11&gt;0,'CST-Calculation'!AU11,IF('CST-Calculation'!$F11=0,"",'CST-Calculation'!$F11)))))</f>
        <v/>
      </c>
      <c r="AV11" s="714" t="str">
        <f>IF('CST-Calculation'!AV11=0,"",'CST-Calculation'!AV11)</f>
        <v/>
      </c>
      <c r="AW11" s="714" t="str">
        <f>IF(AU11="","",IF(AV11="TEC Rejected","",IF(AV11="","",ROUND(1.3224*Form!$D$10*AV11,2))))</f>
        <v/>
      </c>
      <c r="AX11" s="714" t="str">
        <f t="shared" si="20"/>
        <v/>
      </c>
      <c r="AY11" s="715" t="str">
        <f t="shared" si="21"/>
        <v>ADRYS</v>
      </c>
      <c r="AZ11" s="716" t="str">
        <f t="shared" si="22"/>
        <v>MULTIPLE</v>
      </c>
      <c r="BA11" s="716" t="str">
        <f t="shared" si="23"/>
        <v>&lt;= 20%</v>
      </c>
      <c r="BB11" s="716">
        <f>IF(AY11="EST",ROUND(BD11/1.18,2),IF(AY11="ADRYS",ROUND(BD11/1.18,2),ROUND(BD11/(1.3224*Form!$D$10),2)))</f>
        <v>315</v>
      </c>
      <c r="BC11" s="784">
        <f>IF(OR(AY11="EST",AY11="ADRYS"),ROUND(BE11/1.18,2),ROUND(BE11/(1.3224*Form!$D$10),2))</f>
        <v>1890</v>
      </c>
      <c r="BD11" s="717">
        <f>IF(F11="Indg",0,IF(F11="TEC Del",0,IF(AND(IF(G11="",TRUE,G11&lt;=ROUNDUP(1.2*F11,0)),IF(K11="",TRUE,K11&lt;=ROUNDUP(1.2*F11,0)),IF(O11="",TRUE,O11&lt;=ROUNDUP(1.2*F11,0)),IF(S11="",TRUE,S11&lt;=ROUNDUP(1.2*F11,0)),IF(W11="",TRUE,W11&lt;=ROUNDUP(1.2*F11,0)),IF(AA11="",TRUE,AA11&lt;=ROUNDUP(1.2*F11,0)),IF(AE11="",TRUE,AE11&lt;=ROUNDUP(1.2*F11,0)),IF(AI11="",TRUE,AI11&lt;=ROUNDUP(1.2*F11,0)),IF(AM11="",TRUE,AM11&lt;=ROUNDUP(1.2*F11,0)),IF(AQ11="",TRUE,AQ11&lt;=ROUNDUP(1.2*F11,0)),IF(AU11="",TRUE,AU11&lt;=ROUNDUP(1.2*F11,0))),IF(F11=0,0,(IF(SUM(I11,M11,Q11,U11,Y11,AC11,AG11,AK11,AO11,AS11,AW11)=0,0,SMALL((I11,M11,Q11,U11,Y11,AC11,AG11,AK11,AO11,AS11,AW11),COUNTIF((I11:AW11),0)+1)))),IF(BE11=J11,I11,IF(BE11=N11,M11,IF(BE11=R11,Q11,IF(BE11=V11,U11,IF(BE11=Z11,Y11,IF(BE11=AD11,AC11,IF(BE11=AH11,AG11,IF(BE11=AL11,AK11,IF(BE11=AP11,AO11,IF(BE11=AT11,AS11,IF(BE11=AX11,AW11))))))))))))))</f>
        <v>371.7</v>
      </c>
      <c r="BE11" s="714">
        <f>IF(F11="Indg",0,IF(F11="TEC Del",0,IF(AND(IF(G11="",TRUE,G11&lt;=ROUNDUP(1.2*F11,0)),IF(K11="",TRUE,K11&lt;=ROUNDUP(1.2*F11,0)),IF(O11="",TRUE,O11&lt;=ROUNDUP(1.2*F11,0)),IF(S11="",TRUE,S11&lt;=ROUNDUP(1.2*F11,0)),IF(W11="",TRUE,W11&lt;=ROUNDUP(1.2*F11,0)),IF(AA11="",TRUE,AA11&lt;=ROUNDUP(1.2*F11,0)),IF(AE11="",TRUE,AE11&lt;=ROUNDUP(1.2*F11,0)),IF(AI11="",TRUE,AI11&lt;=ROUNDUP(1.2*F11,0)),IF(AM11="",TRUE,AM11&lt;=ROUNDUP(1.2*F11,0)),IF(AQ11="",TRUE,AQ11&lt;=ROUNDUP(1.2*F11,0)),IF(AU11="",TRUE,AU11&lt;=ROUNDUP(1.2*F11,0))),ROUND(BD11*IF(BD11=I11,G11,IF(BD11=M11,K11,IF(BD11=Q11,O11,IF(BD11=U11,S11,IF(BD11=Y11,W11,IF(BD11=AC11,AA11,IF(BD11=AG11,AE11,IF(BD11=AK11,AI11,IF(BD11=AO11,AM11,IF(BD11=AS11,AQ11,IF(BD11=AW11,AU11))))))))))),2),(IF(SUM(J11,N11,R11,V11,Z11,AD11,AH11,AL11,AP11,AT11,AX11)=0,0,SMALL((J11,N11,R11,V11,Z11,AD11,AH11,AL11,AP11,AT11,AX11),COUNTIF((J11:AX11),0)+1))))))</f>
        <v>2230.1999999999998</v>
      </c>
      <c r="BF11" s="714">
        <f>IF('Annexure-I'!L8="",'Annexure-I'!F8,'Annexure-I'!L8)</f>
        <v>280</v>
      </c>
      <c r="BG11" s="714" t="str">
        <f>IF('Annexure-I'!M8="",'Annexure-I'!G8,'Annexure-I'!M8)</f>
        <v>CONTRACT-A7</v>
      </c>
      <c r="BH11" s="764">
        <f>IF('Annexure-I'!N8="",'Annexure-I'!H8,'Annexure-I'!N8)</f>
        <v>44760</v>
      </c>
      <c r="BI11" s="717">
        <f>IF('Annexure-I'!P8="",'Annexure-I'!J8,'Annexure-I'!P8)</f>
        <v>309.29000000000002</v>
      </c>
      <c r="BJ11" s="717">
        <f>IF('Annexure-I'!Q8="",'Annexure-I'!K8,'Annexure-I'!Q8)</f>
        <v>364.9622</v>
      </c>
      <c r="BK11" s="714">
        <f>'Annexure-I'!F8</f>
        <v>280</v>
      </c>
      <c r="BL11" s="718" t="str">
        <f>'Annexure-I'!G8</f>
        <v>CONTRACT-A7</v>
      </c>
      <c r="BM11" s="764">
        <f>IF('Annexure-I'!H8=0,"",'Annexure-I'!H8)</f>
        <v>44760</v>
      </c>
      <c r="BN11" s="717">
        <f>'Annexure-I'!J8</f>
        <v>309.29000000000002</v>
      </c>
      <c r="BO11" s="717">
        <f>'Annexure-I'!K8</f>
        <v>364.9622</v>
      </c>
      <c r="BP11" s="714">
        <f>IF(OR(AY11="EST",AY11="ADRYS"),ROUND((BC11*1.18)/(1.3224*Form!$D$10),2),BC11)</f>
        <v>20.37</v>
      </c>
      <c r="BQ11" s="714">
        <f>ROUND(BS11/(1.3224*Form!$D$10),2)</f>
        <v>20</v>
      </c>
      <c r="BR11" s="714">
        <f t="shared" si="24"/>
        <v>2230.1999999999998</v>
      </c>
      <c r="BS11" s="714">
        <f t="shared" si="25"/>
        <v>2189.77</v>
      </c>
      <c r="BT11" s="719">
        <f t="shared" si="26"/>
        <v>1.8463126264402122E-2</v>
      </c>
      <c r="BU11" s="714"/>
      <c r="BV11" s="714">
        <f t="shared" si="8"/>
        <v>0</v>
      </c>
      <c r="BW11" s="714">
        <f>IF(OR(AY11="EST",AY11="ADRYS"),ROUND(1.18*BU11,2),ROUND(BU11*1.3224*Form!$D$10,2))</f>
        <v>0</v>
      </c>
      <c r="BX11" s="714">
        <f t="shared" si="9"/>
        <v>0</v>
      </c>
      <c r="BY11" s="719">
        <f>IF((BX11)=0,0,(BX11-BS11)/BS11)</f>
        <v>0</v>
      </c>
      <c r="BZ11" s="714">
        <f t="shared" si="11"/>
        <v>2189.77</v>
      </c>
      <c r="CA11" s="722"/>
      <c r="CB11" s="722"/>
      <c r="CC11" s="4"/>
      <c r="CD11" s="4"/>
      <c r="CE11" s="4"/>
      <c r="CF11" s="4"/>
      <c r="CG11" s="4"/>
      <c r="CH11" s="4"/>
      <c r="CI11" s="721"/>
    </row>
    <row r="12" spans="1:96" s="579" customFormat="1" ht="45" x14ac:dyDescent="0.25">
      <c r="A12" s="712">
        <f>SUBTOTAL(2,$B$5:B12)</f>
        <v>8</v>
      </c>
      <c r="B12" s="754">
        <v>8</v>
      </c>
      <c r="C12" s="756" t="s">
        <v>676</v>
      </c>
      <c r="D12" s="755" t="s">
        <v>124</v>
      </c>
      <c r="E12" s="754">
        <v>16</v>
      </c>
      <c r="F12" s="658">
        <f>'Annexure-I'!E9</f>
        <v>16</v>
      </c>
      <c r="G12" s="784" t="str">
        <f>IF('CST-Calculation'!G12=0,"",'CST-Calculation'!G12)</f>
        <v/>
      </c>
      <c r="H12" s="784" t="str">
        <f>IF('CST-Calculation'!H12=0,"",'CST-Calculation'!H12)</f>
        <v/>
      </c>
      <c r="I12" s="714" t="str">
        <f>IF(G12="","",IF(H12="TEC Rejected","",IF(H12="","",ROUND(1.3224*Form!$D$10*H12,2))))</f>
        <v/>
      </c>
      <c r="J12" s="714" t="str">
        <f t="shared" si="0"/>
        <v/>
      </c>
      <c r="K12" s="713" t="str">
        <f>IF(L12="","",IF('CST-Calculation'!$F12="Indg","",IF('CST-Calculation'!$F12="TEC Del","",IF('CST-Calculation'!K12&gt;0,'CST-Calculation'!K12,IF('CST-Calculation'!$F12=0,"",'CST-Calculation'!$F12)))))</f>
        <v/>
      </c>
      <c r="L12" s="714" t="str">
        <f>IF('CST-Calculation'!L12=0,"",'CST-Calculation'!L12)</f>
        <v/>
      </c>
      <c r="M12" s="714" t="str">
        <f>IF(K12="","",IF(L12="TEC Rejected","",IF(L12="","",ROUND(1.3224*Form!$D$10*L12,2))))</f>
        <v/>
      </c>
      <c r="N12" s="714" t="str">
        <f t="shared" si="1"/>
        <v/>
      </c>
      <c r="O12" s="89">
        <f>IF(P12="","",IF('CST-Calculation'!$F12="Indg","",IF('CST-Calculation'!$F12="TEC Del","",IF('CST-Calculation'!O12&gt;0,'CST-Calculation'!O12,IF('CST-Calculation'!$F12=0,"",'CST-Calculation'!$F12)))))</f>
        <v>16</v>
      </c>
      <c r="P12" s="714">
        <f>IF('CST-Calculation'!P12=0,"",'CST-Calculation'!P12)</f>
        <v>18</v>
      </c>
      <c r="Q12" s="714">
        <f>IF(O12="","",IF(P12="TEC Rejected","",IF(P12="","",ROUND(1.3224*Form!$D$10*P12,2))))</f>
        <v>1970.43</v>
      </c>
      <c r="R12" s="714">
        <f t="shared" si="2"/>
        <v>31526.880000000001</v>
      </c>
      <c r="S12" s="89">
        <f>IF(T12="","",IF('CST-Calculation'!$F12="Indg","",IF('CST-Calculation'!$F12="TEC Del","",IF('CST-Calculation'!S12&gt;0,'CST-Calculation'!S12,IF('CST-Calculation'!$F12=0,"",'CST-Calculation'!$F12)))))</f>
        <v>16</v>
      </c>
      <c r="T12" s="714">
        <f>IF('CST-Calculation'!T12=0,"",'CST-Calculation'!T12)</f>
        <v>39.6</v>
      </c>
      <c r="U12" s="714">
        <f>IF(S12="","",IF(T12="TEC Rejected","",IF(T12="","",ROUND(1.3224*Form!$D$10*T12,2))))</f>
        <v>4334.9399999999996</v>
      </c>
      <c r="V12" s="714">
        <f t="shared" si="3"/>
        <v>69359.039999999994</v>
      </c>
      <c r="W12" s="713" t="str">
        <f>IF(X12="","",IF('CST-Calculation'!$F12="Indg","",IF('CST-Calculation'!$F12="TEC Del","",IF('CST-Calculation'!W12&gt;0,'CST-Calculation'!W12,IF('CST-Calculation'!$F12=0,"",'CST-Calculation'!$F12)))))</f>
        <v/>
      </c>
      <c r="X12" s="714" t="str">
        <f>IF('CST-Calculation'!X12=0,"",'CST-Calculation'!X12)</f>
        <v/>
      </c>
      <c r="Y12" s="714" t="str">
        <f>IF(W12="","",IF(X12="TEC Rejected","",IF(X12="","",ROUND(1.3224*Form!$D$10*X12,2))))</f>
        <v/>
      </c>
      <c r="Z12" s="714" t="str">
        <f t="shared" si="12"/>
        <v/>
      </c>
      <c r="AA12" s="713">
        <f>IF(AB12="","",IF('CST-Calculation'!$F12="Indg","",IF('CST-Calculation'!$F12="TEC Del","",IF('CST-Calculation'!AA12&gt;0,'CST-Calculation'!AA12,IF('CST-Calculation'!$F12=0,"",'CST-Calculation'!$F12)))))</f>
        <v>16</v>
      </c>
      <c r="AB12" s="714">
        <f>IF('CST-Calculation'!AB12=0,"",'CST-Calculation'!AB12)</f>
        <v>2865</v>
      </c>
      <c r="AC12" s="714">
        <f t="shared" si="13"/>
        <v>3380.7</v>
      </c>
      <c r="AD12" s="714">
        <f t="shared" si="14"/>
        <v>54091.199999999997</v>
      </c>
      <c r="AE12" s="713" t="str">
        <f>IF(AF12="","",IF('CST-Calculation'!$F12="Indg","",IF('CST-Calculation'!$F12="TEC Del","",IF('CST-Calculation'!AE12&gt;0,'CST-Calculation'!AE12,IF('CST-Calculation'!$F12=0,"",'CST-Calculation'!$F12)))))</f>
        <v/>
      </c>
      <c r="AF12" s="714" t="str">
        <f>IF('CST-Calculation'!AF12=0,"",'CST-Calculation'!AF12)</f>
        <v/>
      </c>
      <c r="AG12" s="714" t="str">
        <f>IF(AE12="","",IF(AF12="TEC Rejected","",IF(AF12="","",ROUND(1.3224*Form!$D$10*AF12,2))))</f>
        <v/>
      </c>
      <c r="AH12" s="714" t="str">
        <f t="shared" si="15"/>
        <v/>
      </c>
      <c r="AI12" s="713" t="str">
        <f>IF(AJ12="","",IF('CST-Calculation'!$F12="Indg","",IF('CST-Calculation'!$F12="TEC Del","",IF('CST-Calculation'!AI12&gt;0,'CST-Calculation'!AI12,IF('CST-Calculation'!$F12=0,"",'CST-Calculation'!$F12)))))</f>
        <v/>
      </c>
      <c r="AJ12" s="714" t="str">
        <f>IF('CST-Calculation'!AJ12=0,"",'CST-Calculation'!AJ12)</f>
        <v/>
      </c>
      <c r="AK12" s="714" t="str">
        <f t="shared" si="16"/>
        <v/>
      </c>
      <c r="AL12" s="714" t="str">
        <f t="shared" si="17"/>
        <v/>
      </c>
      <c r="AM12" s="713" t="str">
        <f>IF(AN12="","",IF('CST-Calculation'!$F12="Indg","",IF('CST-Calculation'!$F12="TEC Del","",IF('CST-Calculation'!AM12&gt;0,'CST-Calculation'!AM12,IF('CST-Calculation'!$F12=0,"",'CST-Calculation'!$F12)))))</f>
        <v/>
      </c>
      <c r="AN12" s="714" t="str">
        <f>IF('CST-Calculation'!AN12=0,"",'CST-Calculation'!AN12)</f>
        <v/>
      </c>
      <c r="AO12" s="714" t="str">
        <f>IF(AM12="","",IF(AN12="TEC Rejected","",IF(AN12="","",ROUND(1.3224*Form!$D$10*AN12,2))))</f>
        <v/>
      </c>
      <c r="AP12" s="714" t="str">
        <f t="shared" si="18"/>
        <v/>
      </c>
      <c r="AQ12" s="713" t="str">
        <f>IF(AR12="","",IF('CST-Calculation'!$F12="Indg","",IF('CST-Calculation'!$F12="TEC Del","",IF('CST-Calculation'!AQ12&gt;0,'CST-Calculation'!AQ12,IF('CST-Calculation'!$F12=0,"",'CST-Calculation'!$F12)))))</f>
        <v/>
      </c>
      <c r="AR12" s="714" t="str">
        <f>IF('CST-Calculation'!AR12=0,"",'CST-Calculation'!AR12)</f>
        <v/>
      </c>
      <c r="AS12" s="714" t="str">
        <f>IF(AQ12="","",IF(AR12="TEC Rejected","",IF(AR12="","",ROUND(1.3224*Form!$D$10*AR12,2))))</f>
        <v/>
      </c>
      <c r="AT12" s="714" t="str">
        <f t="shared" si="19"/>
        <v/>
      </c>
      <c r="AU12" s="713" t="str">
        <f>IF(AV12="","",IF('CST-Calculation'!$F12="Indg","",IF('CST-Calculation'!$F12="TEC Del","",IF('CST-Calculation'!AU12&gt;0,'CST-Calculation'!AU12,IF('CST-Calculation'!$F12=0,"",'CST-Calculation'!$F12)))))</f>
        <v/>
      </c>
      <c r="AV12" s="714" t="str">
        <f>IF('CST-Calculation'!AV12=0,"",'CST-Calculation'!AV12)</f>
        <v/>
      </c>
      <c r="AW12" s="714" t="str">
        <f>IF(AU12="","",IF(AV12="TEC Rejected","",IF(AV12="","",ROUND(1.3224*Form!$D$10*AV12,2))))</f>
        <v/>
      </c>
      <c r="AX12" s="714" t="str">
        <f t="shared" si="20"/>
        <v/>
      </c>
      <c r="AY12" s="715" t="str">
        <f t="shared" si="21"/>
        <v>GIS</v>
      </c>
      <c r="AZ12" s="716" t="str">
        <f t="shared" si="22"/>
        <v>MULTIPLE</v>
      </c>
      <c r="BA12" s="716" t="str">
        <f t="shared" si="23"/>
        <v>&lt;= 20%</v>
      </c>
      <c r="BB12" s="716">
        <f>IF(AY12="EST",ROUND(BD12/1.18,2),IF(AY12="ADRYS",ROUND(BD12/1.18,2),ROUND(BD12/(1.3224*Form!$D$10),2)))</f>
        <v>18</v>
      </c>
      <c r="BC12" s="784">
        <f>IF(OR(AY12="EST",AY12="ADRYS"),ROUND(BE12/1.18,2),ROUND(BE12/(1.3224*Form!$D$10),2))</f>
        <v>288</v>
      </c>
      <c r="BD12" s="717">
        <f>IF(F12="Indg",0,IF(F12="TEC Del",0,IF(AND(IF(G12="",TRUE,G12&lt;=ROUNDUP(1.2*F12,0)),IF(K12="",TRUE,K12&lt;=ROUNDUP(1.2*F12,0)),IF(O12="",TRUE,O12&lt;=ROUNDUP(1.2*F12,0)),IF(S12="",TRUE,S12&lt;=ROUNDUP(1.2*F12,0)),IF(W12="",TRUE,W12&lt;=ROUNDUP(1.2*F12,0)),IF(AA12="",TRUE,AA12&lt;=ROUNDUP(1.2*F12,0)),IF(AE12="",TRUE,AE12&lt;=ROUNDUP(1.2*F12,0)),IF(AI12="",TRUE,AI12&lt;=ROUNDUP(1.2*F12,0)),IF(AM12="",TRUE,AM12&lt;=ROUNDUP(1.2*F12,0)),IF(AQ12="",TRUE,AQ12&lt;=ROUNDUP(1.2*F12,0)),IF(AU12="",TRUE,AU12&lt;=ROUNDUP(1.2*F12,0))),IF(F12=0,0,(IF(SUM(I12,M12,Q12,U12,Y12,AC12,AG12,AK12,AO12,AS12,AW12)=0,0,SMALL((I12,M12,Q12,U12,Y12,AC12,AG12,AK12,AO12,AS12,AW12),COUNTIF((I12:AW12),0)+1)))),IF(BE12=J12,I12,IF(BE12=N12,M12,IF(BE12=R12,Q12,IF(BE12=V12,U12,IF(BE12=Z12,Y12,IF(BE12=AD12,AC12,IF(BE12=AH12,AG12,IF(BE12=AL12,AK12,IF(BE12=AP12,AO12,IF(BE12=AT12,AS12,IF(BE12=AX12,AW12))))))))))))))</f>
        <v>1970.43</v>
      </c>
      <c r="BE12" s="714">
        <f>IF(F12="Indg",0,IF(F12="TEC Del",0,IF(AND(IF(G12="",TRUE,G12&lt;=ROUNDUP(1.2*F12,0)),IF(K12="",TRUE,K12&lt;=ROUNDUP(1.2*F12,0)),IF(O12="",TRUE,O12&lt;=ROUNDUP(1.2*F12,0)),IF(S12="",TRUE,S12&lt;=ROUNDUP(1.2*F12,0)),IF(W12="",TRUE,W12&lt;=ROUNDUP(1.2*F12,0)),IF(AA12="",TRUE,AA12&lt;=ROUNDUP(1.2*F12,0)),IF(AE12="",TRUE,AE12&lt;=ROUNDUP(1.2*F12,0)),IF(AI12="",TRUE,AI12&lt;=ROUNDUP(1.2*F12,0)),IF(AM12="",TRUE,AM12&lt;=ROUNDUP(1.2*F12,0)),IF(AQ12="",TRUE,AQ12&lt;=ROUNDUP(1.2*F12,0)),IF(AU12="",TRUE,AU12&lt;=ROUNDUP(1.2*F12,0))),ROUND(BD12*IF(BD12=I12,G12,IF(BD12=M12,K12,IF(BD12=Q12,O12,IF(BD12=U12,S12,IF(BD12=Y12,W12,IF(BD12=AC12,AA12,IF(BD12=AG12,AE12,IF(BD12=AK12,AI12,IF(BD12=AO12,AM12,IF(BD12=AS12,AQ12,IF(BD12=AW12,AU12))))))))))),2),(IF(SUM(J12,N12,R12,V12,Z12,AD12,AH12,AL12,AP12,AT12,AX12)=0,0,SMALL((J12,N12,R12,V12,Z12,AD12,AH12,AL12,AP12,AT12,AX12),COUNTIF((J12:AX12),0)+1))))))</f>
        <v>31526.880000000001</v>
      </c>
      <c r="BF12" s="714">
        <f>IF('Annexure-I'!L9="",'Annexure-I'!F9,'Annexure-I'!L9)</f>
        <v>57.75</v>
      </c>
      <c r="BG12" s="714" t="str">
        <f>IF('Annexure-I'!M9="",'Annexure-I'!G9,'Annexure-I'!M9)</f>
        <v>CONTRACT-A8</v>
      </c>
      <c r="BH12" s="764">
        <f>IF('Annexure-I'!N9="",'Annexure-I'!H9,'Annexure-I'!N9)</f>
        <v>40724</v>
      </c>
      <c r="BI12" s="717">
        <f>IF('Annexure-I'!P9="",'Annexure-I'!J9,'Annexure-I'!P9)</f>
        <v>111.94</v>
      </c>
      <c r="BJ12" s="717">
        <f>IF('Annexure-I'!Q9="",'Annexure-I'!K9,'Annexure-I'!Q9)</f>
        <v>12253.878367680001</v>
      </c>
      <c r="BK12" s="714">
        <f>'Annexure-I'!F9</f>
        <v>57.75</v>
      </c>
      <c r="BL12" s="718" t="str">
        <f>'Annexure-I'!G9</f>
        <v>CONTRACT-A8</v>
      </c>
      <c r="BM12" s="764">
        <f>IF('Annexure-I'!H9=0,"",'Annexure-I'!H9)</f>
        <v>40724</v>
      </c>
      <c r="BN12" s="717">
        <f>'Annexure-I'!J9</f>
        <v>111.94</v>
      </c>
      <c r="BO12" s="717">
        <f>'Annexure-I'!K9</f>
        <v>12253.878367680001</v>
      </c>
      <c r="BP12" s="714">
        <f>IF(OR(AY12="EST",AY12="ADRYS"),ROUND((BC12*1.18)/(1.3224*Form!$D$10),2),BC12)</f>
        <v>288</v>
      </c>
      <c r="BQ12" s="714">
        <f>ROUND(BS12/(1.3224*Form!$D$10),2)</f>
        <v>1791.04</v>
      </c>
      <c r="BR12" s="714">
        <f t="shared" si="24"/>
        <v>31526.880000000001</v>
      </c>
      <c r="BS12" s="714">
        <f t="shared" si="25"/>
        <v>196062.05</v>
      </c>
      <c r="BT12" s="719">
        <f t="shared" si="26"/>
        <v>-0.83919947792038285</v>
      </c>
      <c r="BU12" s="714"/>
      <c r="BV12" s="714">
        <f t="shared" si="8"/>
        <v>0</v>
      </c>
      <c r="BW12" s="714">
        <f>IF(OR(AY12="EST",AY12="ADRYS"),ROUND(1.18*BU12,2),ROUND(BU12*1.3224*Form!$D$10,2))</f>
        <v>0</v>
      </c>
      <c r="BX12" s="714">
        <f t="shared" si="9"/>
        <v>0</v>
      </c>
      <c r="BY12" s="719">
        <f t="shared" si="10"/>
        <v>0</v>
      </c>
      <c r="BZ12" s="714">
        <f t="shared" si="11"/>
        <v>196062.05</v>
      </c>
      <c r="CA12" s="720"/>
      <c r="CB12" s="720"/>
      <c r="CC12" s="4"/>
      <c r="CD12" s="4"/>
      <c r="CE12" s="4"/>
      <c r="CF12" s="4"/>
      <c r="CG12" s="4"/>
      <c r="CH12" s="4"/>
      <c r="CI12" s="721"/>
    </row>
    <row r="13" spans="1:96" s="579" customFormat="1" ht="45" x14ac:dyDescent="0.25">
      <c r="A13" s="712">
        <f>SUBTOTAL(2,$B$5:B13)</f>
        <v>9</v>
      </c>
      <c r="B13" s="754">
        <v>9</v>
      </c>
      <c r="C13" s="755" t="s">
        <v>677</v>
      </c>
      <c r="D13" s="755" t="s">
        <v>124</v>
      </c>
      <c r="E13" s="754">
        <v>17</v>
      </c>
      <c r="F13" s="658">
        <f>'Annexure-I'!E10</f>
        <v>17</v>
      </c>
      <c r="G13" s="784" t="str">
        <f>IF('CST-Calculation'!G13=0,"",'CST-Calculation'!G13)</f>
        <v/>
      </c>
      <c r="H13" s="784" t="str">
        <f>IF('CST-Calculation'!H13=0,"",'CST-Calculation'!H13)</f>
        <v/>
      </c>
      <c r="I13" s="714" t="str">
        <f>IF(G13="","",IF(H13="TEC Rejected","",IF(H13="","",ROUND(1.3224*Form!$D$10*H13,2))))</f>
        <v/>
      </c>
      <c r="J13" s="714" t="str">
        <f t="shared" si="0"/>
        <v/>
      </c>
      <c r="K13" s="713" t="str">
        <f>IF(L13="","",IF('CST-Calculation'!$F13="Indg","",IF('CST-Calculation'!$F13="TEC Del","",IF('CST-Calculation'!K13&gt;0,'CST-Calculation'!K13,IF('CST-Calculation'!$F13=0,"",'CST-Calculation'!$F13)))))</f>
        <v/>
      </c>
      <c r="L13" s="714" t="str">
        <f>IF('CST-Calculation'!L13=0,"",'CST-Calculation'!L13)</f>
        <v/>
      </c>
      <c r="M13" s="714" t="str">
        <f>IF(K13="","",IF(L13="TEC Rejected","",IF(L13="","",ROUND(1.3224*Form!$D$10*L13,2))))</f>
        <v/>
      </c>
      <c r="N13" s="714" t="str">
        <f t="shared" si="1"/>
        <v/>
      </c>
      <c r="O13" s="89">
        <f>IF(P13="","",IF('CST-Calculation'!$F13="Indg","",IF('CST-Calculation'!$F13="TEC Del","",IF('CST-Calculation'!O13&gt;0,'CST-Calculation'!O13,IF('CST-Calculation'!$F13=0,"",'CST-Calculation'!$F13)))))</f>
        <v>17</v>
      </c>
      <c r="P13" s="714">
        <f>IF('CST-Calculation'!P13=0,"",'CST-Calculation'!P13)</f>
        <v>6.6</v>
      </c>
      <c r="Q13" s="714">
        <f>IF(O13="","",IF(P13="TEC Rejected","",IF(P13="","",ROUND(1.3224*Form!$D$10*P13,2))))</f>
        <v>722.49</v>
      </c>
      <c r="R13" s="714">
        <f t="shared" si="2"/>
        <v>12282.33</v>
      </c>
      <c r="S13" s="89" t="str">
        <f>IF(T13="","",IF('CST-Calculation'!$F13="Indg","",IF('CST-Calculation'!$F13="TEC Del","",IF('CST-Calculation'!S13&gt;0,'CST-Calculation'!S13,IF('CST-Calculation'!$F13=0,"",'CST-Calculation'!$F13)))))</f>
        <v/>
      </c>
      <c r="T13" s="714" t="str">
        <f>IF('CST-Calculation'!T13=0,"",'CST-Calculation'!T13)</f>
        <v/>
      </c>
      <c r="U13" s="714" t="str">
        <f>IF(S13="","",IF(T13="TEC Rejected","",IF(T13="","",ROUND(1.3224*Form!$D$10*T13,2))))</f>
        <v/>
      </c>
      <c r="V13" s="714" t="str">
        <f t="shared" si="3"/>
        <v/>
      </c>
      <c r="W13" s="713" t="str">
        <f>IF(X13="","",IF('CST-Calculation'!$F13="Indg","",IF('CST-Calculation'!$F13="TEC Del","",IF('CST-Calculation'!W13&gt;0,'CST-Calculation'!W13,IF('CST-Calculation'!$F13=0,"",'CST-Calculation'!$F13)))))</f>
        <v/>
      </c>
      <c r="X13" s="714" t="str">
        <f>IF('CST-Calculation'!X13=0,"",'CST-Calculation'!X13)</f>
        <v/>
      </c>
      <c r="Y13" s="714" t="str">
        <f>IF(W13="","",IF(X13="TEC Rejected","",IF(X13="","",ROUND(1.3224*Form!$D$10*X13,2))))</f>
        <v/>
      </c>
      <c r="Z13" s="714" t="str">
        <f t="shared" si="12"/>
        <v/>
      </c>
      <c r="AA13" s="713">
        <f>IF(AB13="","",IF('CST-Calculation'!$F13="Indg","",IF('CST-Calculation'!$F13="TEC Del","",IF('CST-Calculation'!AA13&gt;0,'CST-Calculation'!AA13,IF('CST-Calculation'!$F13=0,"",'CST-Calculation'!$F13)))))</f>
        <v>17</v>
      </c>
      <c r="AB13" s="714">
        <f>IF('CST-Calculation'!AB13=0,"",'CST-Calculation'!AB13)</f>
        <v>465</v>
      </c>
      <c r="AC13" s="714">
        <f t="shared" si="13"/>
        <v>548.70000000000005</v>
      </c>
      <c r="AD13" s="714">
        <f t="shared" si="14"/>
        <v>9327.9</v>
      </c>
      <c r="AE13" s="713" t="str">
        <f>IF(AF13="","",IF('CST-Calculation'!$F13="Indg","",IF('CST-Calculation'!$F13="TEC Del","",IF('CST-Calculation'!AE13&gt;0,'CST-Calculation'!AE13,IF('CST-Calculation'!$F13=0,"",'CST-Calculation'!$F13)))))</f>
        <v/>
      </c>
      <c r="AF13" s="714" t="str">
        <f>IF('CST-Calculation'!AF13=0,"",'CST-Calculation'!AF13)</f>
        <v/>
      </c>
      <c r="AG13" s="714" t="str">
        <f>IF(AE13="","",IF(AF13="TEC Rejected","",IF(AF13="","",ROUND(1.3224*Form!$D$10*AF13,2))))</f>
        <v/>
      </c>
      <c r="AH13" s="714" t="str">
        <f t="shared" si="15"/>
        <v/>
      </c>
      <c r="AI13" s="713" t="str">
        <f>IF(AJ13="","",IF('CST-Calculation'!$F13="Indg","",IF('CST-Calculation'!$F13="TEC Del","",IF('CST-Calculation'!AI13&gt;0,'CST-Calculation'!AI13,IF('CST-Calculation'!$F13=0,"",'CST-Calculation'!$F13)))))</f>
        <v/>
      </c>
      <c r="AJ13" s="714" t="str">
        <f>IF('CST-Calculation'!AJ13=0,"",'CST-Calculation'!AJ13)</f>
        <v/>
      </c>
      <c r="AK13" s="714" t="str">
        <f t="shared" si="16"/>
        <v/>
      </c>
      <c r="AL13" s="714" t="str">
        <f t="shared" si="17"/>
        <v/>
      </c>
      <c r="AM13" s="713" t="str">
        <f>IF(AN13="","",IF('CST-Calculation'!$F13="Indg","",IF('CST-Calculation'!$F13="TEC Del","",IF('CST-Calculation'!AM13&gt;0,'CST-Calculation'!AM13,IF('CST-Calculation'!$F13=0,"",'CST-Calculation'!$F13)))))</f>
        <v/>
      </c>
      <c r="AN13" s="714" t="str">
        <f>IF('CST-Calculation'!AN13=0,"",'CST-Calculation'!AN13)</f>
        <v/>
      </c>
      <c r="AO13" s="714" t="str">
        <f>IF(AM13="","",IF(AN13="TEC Rejected","",IF(AN13="","",ROUND(1.3224*Form!$D$10*AN13,2))))</f>
        <v/>
      </c>
      <c r="AP13" s="714" t="str">
        <f t="shared" si="18"/>
        <v/>
      </c>
      <c r="AQ13" s="713" t="str">
        <f>IF(AR13="","",IF('CST-Calculation'!$F13="Indg","",IF('CST-Calculation'!$F13="TEC Del","",IF('CST-Calculation'!AQ13&gt;0,'CST-Calculation'!AQ13,IF('CST-Calculation'!$F13=0,"",'CST-Calculation'!$F13)))))</f>
        <v/>
      </c>
      <c r="AR13" s="714" t="str">
        <f>IF('CST-Calculation'!AR13=0,"",'CST-Calculation'!AR13)</f>
        <v/>
      </c>
      <c r="AS13" s="714" t="str">
        <f>IF(AQ13="","",IF(AR13="TEC Rejected","",IF(AR13="","",ROUND(1.3224*Form!$D$10*AR13,2))))</f>
        <v/>
      </c>
      <c r="AT13" s="714" t="str">
        <f t="shared" si="19"/>
        <v/>
      </c>
      <c r="AU13" s="713" t="str">
        <f>IF(AV13="","",IF('CST-Calculation'!$F13="Indg","",IF('CST-Calculation'!$F13="TEC Del","",IF('CST-Calculation'!AU13&gt;0,'CST-Calculation'!AU13,IF('CST-Calculation'!$F13=0,"",'CST-Calculation'!$F13)))))</f>
        <v/>
      </c>
      <c r="AV13" s="714" t="str">
        <f>IF('CST-Calculation'!AV13=0,"",'CST-Calculation'!AV13)</f>
        <v/>
      </c>
      <c r="AW13" s="714" t="str">
        <f>IF(AU13="","",IF(AV13="TEC Rejected","",IF(AV13="","",ROUND(1.3224*Form!$D$10*AV13,2))))</f>
        <v/>
      </c>
      <c r="AX13" s="714" t="str">
        <f t="shared" si="20"/>
        <v/>
      </c>
      <c r="AY13" s="715" t="str">
        <f t="shared" si="21"/>
        <v>ADRYS</v>
      </c>
      <c r="AZ13" s="716" t="str">
        <f t="shared" si="22"/>
        <v>MULTIPLE</v>
      </c>
      <c r="BA13" s="716" t="str">
        <f t="shared" si="23"/>
        <v>&lt;= 20%</v>
      </c>
      <c r="BB13" s="716">
        <f>IF(AY13="EST",ROUND(BD13/1.18,2),IF(AY13="ADRYS",ROUND(BD13/1.18,2),ROUND(BD13/(1.3224*Form!$D$10),2)))</f>
        <v>465</v>
      </c>
      <c r="BC13" s="784">
        <f>IF(OR(AY13="EST",AY13="ADRYS"),ROUND(BE13/1.18,2),ROUND(BE13/(1.3224*Form!$D$10),2))</f>
        <v>7905</v>
      </c>
      <c r="BD13" s="717">
        <f>IF(F13="Indg",0,IF(F13="TEC Del",0,IF(AND(IF(G13="",TRUE,G13&lt;=ROUNDUP(1.2*F13,0)),IF(K13="",TRUE,K13&lt;=ROUNDUP(1.2*F13,0)),IF(O13="",TRUE,O13&lt;=ROUNDUP(1.2*F13,0)),IF(S13="",TRUE,S13&lt;=ROUNDUP(1.2*F13,0)),IF(W13="",TRUE,W13&lt;=ROUNDUP(1.2*F13,0)),IF(AA13="",TRUE,AA13&lt;=ROUNDUP(1.2*F13,0)),IF(AE13="",TRUE,AE13&lt;=ROUNDUP(1.2*F13,0)),IF(AI13="",TRUE,AI13&lt;=ROUNDUP(1.2*F13,0)),IF(AM13="",TRUE,AM13&lt;=ROUNDUP(1.2*F13,0)),IF(AQ13="",TRUE,AQ13&lt;=ROUNDUP(1.2*F13,0)),IF(AU13="",TRUE,AU13&lt;=ROUNDUP(1.2*F13,0))),IF(F13=0,0,(IF(SUM(I13,M13,Q13,U13,Y13,AC13,AG13,AK13,AO13,AS13,AW13)=0,0,SMALL((I13,M13,Q13,U13,Y13,AC13,AG13,AK13,AO13,AS13,AW13),COUNTIF((I13:AW13),0)+1)))),IF(BE13=J13,I13,IF(BE13=N13,M13,IF(BE13=R13,Q13,IF(BE13=V13,U13,IF(BE13=Z13,Y13,IF(BE13=AD13,AC13,IF(BE13=AH13,AG13,IF(BE13=AL13,AK13,IF(BE13=AP13,AO13,IF(BE13=AT13,AS13,IF(BE13=AX13,AW13))))))))))))))</f>
        <v>548.70000000000005</v>
      </c>
      <c r="BE13" s="714">
        <f>IF(F13="Indg",0,IF(F13="TEC Del",0,IF(AND(IF(G13="",TRUE,G13&lt;=ROUNDUP(1.2*F13,0)),IF(K13="",TRUE,K13&lt;=ROUNDUP(1.2*F13,0)),IF(O13="",TRUE,O13&lt;=ROUNDUP(1.2*F13,0)),IF(S13="",TRUE,S13&lt;=ROUNDUP(1.2*F13,0)),IF(W13="",TRUE,W13&lt;=ROUNDUP(1.2*F13,0)),IF(AA13="",TRUE,AA13&lt;=ROUNDUP(1.2*F13,0)),IF(AE13="",TRUE,AE13&lt;=ROUNDUP(1.2*F13,0)),IF(AI13="",TRUE,AI13&lt;=ROUNDUP(1.2*F13,0)),IF(AM13="",TRUE,AM13&lt;=ROUNDUP(1.2*F13,0)),IF(AQ13="",TRUE,AQ13&lt;=ROUNDUP(1.2*F13,0)),IF(AU13="",TRUE,AU13&lt;=ROUNDUP(1.2*F13,0))),ROUND(BD13*IF(BD13=I13,G13,IF(BD13=M13,K13,IF(BD13=Q13,O13,IF(BD13=U13,S13,IF(BD13=Y13,W13,IF(BD13=AC13,AA13,IF(BD13=AG13,AE13,IF(BD13=AK13,AI13,IF(BD13=AO13,AM13,IF(BD13=AS13,AQ13,IF(BD13=AW13,AU13))))))))))),2),(IF(SUM(J13,N13,R13,V13,Z13,AD13,AH13,AL13,AP13,AT13,AX13)=0,0,SMALL((J13,N13,R13,V13,Z13,AD13,AH13,AL13,AP13,AT13,AX13),COUNTIF((J13:AX13),0)+1))))))</f>
        <v>9327.9</v>
      </c>
      <c r="BF13" s="714">
        <f>IF('Annexure-I'!L10="",'Annexure-I'!F10,'Annexure-I'!L10)</f>
        <v>6</v>
      </c>
      <c r="BG13" s="714" t="str">
        <f>IF('Annexure-I'!M10="",'Annexure-I'!G10,'Annexure-I'!M10)</f>
        <v>CONTRACT-A9</v>
      </c>
      <c r="BH13" s="764">
        <f>IF('Annexure-I'!N10="",'Annexure-I'!H10,'Annexure-I'!N10)</f>
        <v>43298</v>
      </c>
      <c r="BI13" s="717">
        <f>IF('Annexure-I'!P10="",'Annexure-I'!J10,'Annexure-I'!P10)</f>
        <v>8.09</v>
      </c>
      <c r="BJ13" s="717">
        <f>IF('Annexure-I'!Q10="",'Annexure-I'!K10,'Annexure-I'!Q10)</f>
        <v>885.5983204800001</v>
      </c>
      <c r="BK13" s="714">
        <f>'Annexure-I'!F10</f>
        <v>6</v>
      </c>
      <c r="BL13" s="718" t="str">
        <f>'Annexure-I'!G10</f>
        <v>CONTRACT-A9</v>
      </c>
      <c r="BM13" s="764">
        <f>IF('Annexure-I'!H10=0,"",'Annexure-I'!H10)</f>
        <v>43298</v>
      </c>
      <c r="BN13" s="717">
        <f>'Annexure-I'!J10</f>
        <v>8.09</v>
      </c>
      <c r="BO13" s="717">
        <f>'Annexure-I'!K10</f>
        <v>885.5983204800001</v>
      </c>
      <c r="BP13" s="714">
        <f>IF(OR(AY13="EST",AY13="ADRYS"),ROUND((BC13*1.18)/(1.3224*Form!$D$10),2),BC13)</f>
        <v>85.21</v>
      </c>
      <c r="BQ13" s="714">
        <f>ROUND(BS13/(1.3224*Form!$D$10),2)</f>
        <v>137.53</v>
      </c>
      <c r="BR13" s="714">
        <f t="shared" si="24"/>
        <v>9327.9</v>
      </c>
      <c r="BS13" s="714">
        <f t="shared" si="25"/>
        <v>15055.17</v>
      </c>
      <c r="BT13" s="719">
        <f t="shared" si="26"/>
        <v>-0.38041881958157897</v>
      </c>
      <c r="BU13" s="714"/>
      <c r="BV13" s="714">
        <f t="shared" si="8"/>
        <v>0</v>
      </c>
      <c r="BW13" s="714">
        <f>IF(OR(AY13="EST",AY13="ADRYS"),ROUND(1.18*BU13,2),ROUND(BU13*1.3224*Form!$D$10,2))</f>
        <v>0</v>
      </c>
      <c r="BX13" s="714">
        <f t="shared" si="9"/>
        <v>0</v>
      </c>
      <c r="BY13" s="719">
        <f t="shared" si="10"/>
        <v>0</v>
      </c>
      <c r="BZ13" s="714">
        <f t="shared" si="11"/>
        <v>15055.17</v>
      </c>
      <c r="CA13" s="720"/>
      <c r="CB13" s="720"/>
      <c r="CC13" s="4"/>
      <c r="CD13" s="4"/>
      <c r="CE13" s="4"/>
      <c r="CF13" s="4"/>
      <c r="CG13" s="4"/>
      <c r="CH13" s="4"/>
      <c r="CI13" s="721"/>
    </row>
    <row r="14" spans="1:96" s="579" customFormat="1" ht="45" x14ac:dyDescent="0.25">
      <c r="A14" s="712">
        <f>SUBTOTAL(2,$B$5:B14)</f>
        <v>10</v>
      </c>
      <c r="B14" s="754">
        <v>10</v>
      </c>
      <c r="C14" s="756" t="s">
        <v>678</v>
      </c>
      <c r="D14" s="755" t="s">
        <v>591</v>
      </c>
      <c r="E14" s="754">
        <v>30</v>
      </c>
      <c r="F14" s="658">
        <f>'Annexure-I'!E11</f>
        <v>30</v>
      </c>
      <c r="G14" s="784" t="str">
        <f>IF('CST-Calculation'!G14=0,"",'CST-Calculation'!G14)</f>
        <v/>
      </c>
      <c r="H14" s="784" t="str">
        <f>IF('CST-Calculation'!H14=0,"",'CST-Calculation'!H14)</f>
        <v/>
      </c>
      <c r="I14" s="714" t="str">
        <f>IF(G14="","",IF(H14="TEC Rejected","",IF(H14="","",ROUND(1.3224*Form!$D$10*H14,2))))</f>
        <v/>
      </c>
      <c r="J14" s="714" t="str">
        <f t="shared" si="0"/>
        <v/>
      </c>
      <c r="K14" s="713" t="str">
        <f>IF(L14="","",IF('CST-Calculation'!$F14="Indg","",IF('CST-Calculation'!$F14="TEC Del","",IF('CST-Calculation'!K14&gt;0,'CST-Calculation'!K14,IF('CST-Calculation'!$F14=0,"",'CST-Calculation'!$F14)))))</f>
        <v/>
      </c>
      <c r="L14" s="714" t="str">
        <f>IF('CST-Calculation'!L14=0,"",'CST-Calculation'!L14)</f>
        <v/>
      </c>
      <c r="M14" s="714" t="str">
        <f>IF(K14="","",IF(L14="TEC Rejected","",IF(L14="","",ROUND(1.3224*Form!$D$10*L14,2))))</f>
        <v/>
      </c>
      <c r="N14" s="714" t="str">
        <f t="shared" si="1"/>
        <v/>
      </c>
      <c r="O14" s="89">
        <f>IF(P14="","",IF('CST-Calculation'!$F14="Indg","",IF('CST-Calculation'!$F14="TEC Del","",IF('CST-Calculation'!O14&gt;0,'CST-Calculation'!O14,IF('CST-Calculation'!$F14=0,"",'CST-Calculation'!$F14)))))</f>
        <v>30</v>
      </c>
      <c r="P14" s="714">
        <f>IF('CST-Calculation'!P14=0,"",'CST-Calculation'!P14)</f>
        <v>7.5</v>
      </c>
      <c r="Q14" s="714">
        <f>IF(O14="","",IF(P14="TEC Rejected","",IF(P14="","",ROUND(1.3224*Form!$D$10*P14,2))))</f>
        <v>821.01</v>
      </c>
      <c r="R14" s="714">
        <f t="shared" si="2"/>
        <v>24630.3</v>
      </c>
      <c r="S14" s="89">
        <f>IF(T14="","",IF('CST-Calculation'!$F14="Indg","",IF('CST-Calculation'!$F14="TEC Del","",IF('CST-Calculation'!S14&gt;0,'CST-Calculation'!S14,IF('CST-Calculation'!$F14=0,"",'CST-Calculation'!$F14)))))</f>
        <v>30</v>
      </c>
      <c r="T14" s="714">
        <f>IF('CST-Calculation'!T14=0,"",'CST-Calculation'!T14)</f>
        <v>36</v>
      </c>
      <c r="U14" s="714">
        <f>IF(S14="","",IF(T14="TEC Rejected","",IF(T14="","",ROUND(1.3224*Form!$D$10*T14,2))))</f>
        <v>3940.86</v>
      </c>
      <c r="V14" s="714">
        <f t="shared" si="3"/>
        <v>118225.8</v>
      </c>
      <c r="W14" s="713" t="str">
        <f>IF(X14="","",IF('CST-Calculation'!$F14="Indg","",IF('CST-Calculation'!$F14="TEC Del","",IF('CST-Calculation'!W14&gt;0,'CST-Calculation'!W14,IF('CST-Calculation'!$F14=0,"",'CST-Calculation'!$F14)))))</f>
        <v/>
      </c>
      <c r="X14" s="714" t="str">
        <f>IF('CST-Calculation'!X14=0,"",'CST-Calculation'!X14)</f>
        <v/>
      </c>
      <c r="Y14" s="714" t="str">
        <f>IF(W14="","",IF(X14="TEC Rejected","",IF(X14="","",ROUND(1.3224*Form!$D$10*X14,2))))</f>
        <v/>
      </c>
      <c r="Z14" s="714" t="str">
        <f t="shared" si="12"/>
        <v/>
      </c>
      <c r="AA14" s="713">
        <f>IF(AB14="","",IF('CST-Calculation'!$F14="Indg","",IF('CST-Calculation'!$F14="TEC Del","",IF('CST-Calculation'!AA14&gt;0,'CST-Calculation'!AA14,IF('CST-Calculation'!$F14=0,"",'CST-Calculation'!$F14)))))</f>
        <v>30</v>
      </c>
      <c r="AB14" s="714">
        <f>IF('CST-Calculation'!AB14=0,"",'CST-Calculation'!AB14)</f>
        <v>1065</v>
      </c>
      <c r="AC14" s="714">
        <f t="shared" si="13"/>
        <v>1256.7</v>
      </c>
      <c r="AD14" s="714">
        <f t="shared" si="14"/>
        <v>37701</v>
      </c>
      <c r="AE14" s="713" t="str">
        <f>IF(AF14="","",IF('CST-Calculation'!$F14="Indg","",IF('CST-Calculation'!$F14="TEC Del","",IF('CST-Calculation'!AE14&gt;0,'CST-Calculation'!AE14,IF('CST-Calculation'!$F14=0,"",'CST-Calculation'!$F14)))))</f>
        <v/>
      </c>
      <c r="AF14" s="714" t="str">
        <f>IF('CST-Calculation'!AF14=0,"",'CST-Calculation'!AF14)</f>
        <v/>
      </c>
      <c r="AG14" s="714" t="str">
        <f>IF(AE14="","",IF(AF14="TEC Rejected","",IF(AF14="","",ROUND(1.3224*Form!$D$10*AF14,2))))</f>
        <v/>
      </c>
      <c r="AH14" s="714" t="str">
        <f t="shared" si="15"/>
        <v/>
      </c>
      <c r="AI14" s="713" t="str">
        <f>IF(AJ14="","",IF('CST-Calculation'!$F14="Indg","",IF('CST-Calculation'!$F14="TEC Del","",IF('CST-Calculation'!AI14&gt;0,'CST-Calculation'!AI14,IF('CST-Calculation'!$F14=0,"",'CST-Calculation'!$F14)))))</f>
        <v/>
      </c>
      <c r="AJ14" s="714" t="str">
        <f>IF('CST-Calculation'!AJ14=0,"",'CST-Calculation'!AJ14)</f>
        <v/>
      </c>
      <c r="AK14" s="714" t="str">
        <f t="shared" si="16"/>
        <v/>
      </c>
      <c r="AL14" s="714" t="str">
        <f t="shared" si="17"/>
        <v/>
      </c>
      <c r="AM14" s="713" t="str">
        <f>IF(AN14="","",IF('CST-Calculation'!$F14="Indg","",IF('CST-Calculation'!$F14="TEC Del","",IF('CST-Calculation'!AM14&gt;0,'CST-Calculation'!AM14,IF('CST-Calculation'!$F14=0,"",'CST-Calculation'!$F14)))))</f>
        <v/>
      </c>
      <c r="AN14" s="714" t="str">
        <f>IF('CST-Calculation'!AN14=0,"",'CST-Calculation'!AN14)</f>
        <v/>
      </c>
      <c r="AO14" s="714" t="str">
        <f>IF(AM14="","",IF(AN14="TEC Rejected","",IF(AN14="","",ROUND(1.3224*Form!$D$10*AN14,2))))</f>
        <v/>
      </c>
      <c r="AP14" s="714" t="str">
        <f t="shared" si="18"/>
        <v/>
      </c>
      <c r="AQ14" s="713" t="str">
        <f>IF(AR14="","",IF('CST-Calculation'!$F14="Indg","",IF('CST-Calculation'!$F14="TEC Del","",IF('CST-Calculation'!AQ14&gt;0,'CST-Calculation'!AQ14,IF('CST-Calculation'!$F14=0,"",'CST-Calculation'!$F14)))))</f>
        <v/>
      </c>
      <c r="AR14" s="714" t="str">
        <f>IF('CST-Calculation'!AR14=0,"",'CST-Calculation'!AR14)</f>
        <v/>
      </c>
      <c r="AS14" s="714" t="str">
        <f>IF(AQ14="","",IF(AR14="TEC Rejected","",IF(AR14="","",ROUND(1.3224*Form!$D$10*AR14,2))))</f>
        <v/>
      </c>
      <c r="AT14" s="714" t="str">
        <f t="shared" si="19"/>
        <v/>
      </c>
      <c r="AU14" s="713" t="str">
        <f>IF(AV14="","",IF('CST-Calculation'!$F14="Indg","",IF('CST-Calculation'!$F14="TEC Del","",IF('CST-Calculation'!AU14&gt;0,'CST-Calculation'!AU14,IF('CST-Calculation'!$F14=0,"",'CST-Calculation'!$F14)))))</f>
        <v/>
      </c>
      <c r="AV14" s="714" t="str">
        <f>IF('CST-Calculation'!AV14=0,"",'CST-Calculation'!AV14)</f>
        <v/>
      </c>
      <c r="AW14" s="714" t="str">
        <f>IF(AU14="","",IF(AV14="TEC Rejected","",IF(AV14="","",ROUND(1.3224*Form!$D$10*AV14,2))))</f>
        <v/>
      </c>
      <c r="AX14" s="714" t="str">
        <f t="shared" si="20"/>
        <v/>
      </c>
      <c r="AY14" s="715" t="str">
        <f t="shared" si="21"/>
        <v>GIS</v>
      </c>
      <c r="AZ14" s="716" t="str">
        <f t="shared" si="22"/>
        <v>MULTIPLE</v>
      </c>
      <c r="BA14" s="716" t="str">
        <f t="shared" si="23"/>
        <v>&lt;= 20%</v>
      </c>
      <c r="BB14" s="716">
        <f>IF(AY14="EST",ROUND(BD14/1.18,2),IF(AY14="ADRYS",ROUND(BD14/1.18,2),ROUND(BD14/(1.3224*Form!$D$10),2)))</f>
        <v>7.5</v>
      </c>
      <c r="BC14" s="784">
        <f>IF(OR(AY14="EST",AY14="ADRYS"),ROUND(BE14/1.18,2),ROUND(BE14/(1.3224*Form!$D$10),2))</f>
        <v>225</v>
      </c>
      <c r="BD14" s="717">
        <f>IF(F14="Indg",0,IF(F14="TEC Del",0,IF(AND(IF(G14="",TRUE,G14&lt;=ROUNDUP(1.2*F14,0)),IF(K14="",TRUE,K14&lt;=ROUNDUP(1.2*F14,0)),IF(O14="",TRUE,O14&lt;=ROUNDUP(1.2*F14,0)),IF(S14="",TRUE,S14&lt;=ROUNDUP(1.2*F14,0)),IF(W14="",TRUE,W14&lt;=ROUNDUP(1.2*F14,0)),IF(AA14="",TRUE,AA14&lt;=ROUNDUP(1.2*F14,0)),IF(AE14="",TRUE,AE14&lt;=ROUNDUP(1.2*F14,0)),IF(AI14="",TRUE,AI14&lt;=ROUNDUP(1.2*F14,0)),IF(AM14="",TRUE,AM14&lt;=ROUNDUP(1.2*F14,0)),IF(AQ14="",TRUE,AQ14&lt;=ROUNDUP(1.2*F14,0)),IF(AU14="",TRUE,AU14&lt;=ROUNDUP(1.2*F14,0))),IF(F14=0,0,(IF(SUM(I14,M14,Q14,U14,Y14,AC14,AG14,AK14,AO14,AS14,AW14)=0,0,SMALL((I14,M14,Q14,U14,Y14,AC14,AG14,AK14,AO14,AS14,AW14),COUNTIF((I14:AW14),0)+1)))),IF(BE14=J14,I14,IF(BE14=N14,M14,IF(BE14=R14,Q14,IF(BE14=V14,U14,IF(BE14=Z14,Y14,IF(BE14=AD14,AC14,IF(BE14=AH14,AG14,IF(BE14=AL14,AK14,IF(BE14=AP14,AO14,IF(BE14=AT14,AS14,IF(BE14=AX14,AW14))))))))))))))</f>
        <v>821.01</v>
      </c>
      <c r="BE14" s="714">
        <f>IF(F14="Indg",0,IF(F14="TEC Del",0,IF(AND(IF(G14="",TRUE,G14&lt;=ROUNDUP(1.2*F14,0)),IF(K14="",TRUE,K14&lt;=ROUNDUP(1.2*F14,0)),IF(O14="",TRUE,O14&lt;=ROUNDUP(1.2*F14,0)),IF(S14="",TRUE,S14&lt;=ROUNDUP(1.2*F14,0)),IF(W14="",TRUE,W14&lt;=ROUNDUP(1.2*F14,0)),IF(AA14="",TRUE,AA14&lt;=ROUNDUP(1.2*F14,0)),IF(AE14="",TRUE,AE14&lt;=ROUNDUP(1.2*F14,0)),IF(AI14="",TRUE,AI14&lt;=ROUNDUP(1.2*F14,0)),IF(AM14="",TRUE,AM14&lt;=ROUNDUP(1.2*F14,0)),IF(AQ14="",TRUE,AQ14&lt;=ROUNDUP(1.2*F14,0)),IF(AU14="",TRUE,AU14&lt;=ROUNDUP(1.2*F14,0))),ROUND(BD14*IF(BD14=I14,G14,IF(BD14=M14,K14,IF(BD14=Q14,O14,IF(BD14=U14,S14,IF(BD14=Y14,W14,IF(BD14=AC14,AA14,IF(BD14=AG14,AE14,IF(BD14=AK14,AI14,IF(BD14=AO14,AM14,IF(BD14=AS14,AQ14,IF(BD14=AW14,AU14))))))))))),2),(IF(SUM(J14,N14,R14,V14,Z14,AD14,AH14,AL14,AP14,AT14,AX14)=0,0,SMALL((J14,N14,R14,V14,Z14,AD14,AH14,AL14,AP14,AT14,AX14),COUNTIF((J14:AX14),0)+1))))))</f>
        <v>24630.3</v>
      </c>
      <c r="BF14" s="714">
        <f>IF('Annexure-I'!L11="",'Annexure-I'!F11,'Annexure-I'!L11)</f>
        <v>18.809999999999999</v>
      </c>
      <c r="BG14" s="714" t="str">
        <f>IF('Annexure-I'!M11="",'Annexure-I'!G11,'Annexure-I'!M11)</f>
        <v>CONTRACT-A10</v>
      </c>
      <c r="BH14" s="764">
        <f>IF('Annexure-I'!N11="",'Annexure-I'!H11,'Annexure-I'!N11)</f>
        <v>41891</v>
      </c>
      <c r="BI14" s="717">
        <f>IF('Annexure-I'!P11="",'Annexure-I'!J11,'Annexure-I'!P11)</f>
        <v>30.96</v>
      </c>
      <c r="BJ14" s="717">
        <f>IF('Annexure-I'!Q11="",'Annexure-I'!K11,'Annexure-I'!Q11)</f>
        <v>3389.1377011200002</v>
      </c>
      <c r="BK14" s="714">
        <f>'Annexure-I'!F11</f>
        <v>18.809999999999999</v>
      </c>
      <c r="BL14" s="718" t="str">
        <f>'Annexure-I'!G11</f>
        <v>CONTRACT-A10</v>
      </c>
      <c r="BM14" s="764">
        <f>IF('Annexure-I'!H11=0,"",'Annexure-I'!H11)</f>
        <v>41891</v>
      </c>
      <c r="BN14" s="717">
        <f>'Annexure-I'!J11</f>
        <v>30.96</v>
      </c>
      <c r="BO14" s="717">
        <f>'Annexure-I'!K11</f>
        <v>3389.1377011200002</v>
      </c>
      <c r="BP14" s="714">
        <f>IF(OR(AY14="EST",AY14="ADRYS"),ROUND((BC14*1.18)/(1.3224*Form!$D$10),2),BC14)</f>
        <v>225</v>
      </c>
      <c r="BQ14" s="714">
        <f>ROUND(BS14/(1.3224*Form!$D$10),2)</f>
        <v>928.8</v>
      </c>
      <c r="BR14" s="714">
        <f t="shared" si="24"/>
        <v>24630.3</v>
      </c>
      <c r="BS14" s="714">
        <f t="shared" si="25"/>
        <v>101674.13</v>
      </c>
      <c r="BT14" s="719">
        <f t="shared" si="26"/>
        <v>-0.75775253744487414</v>
      </c>
      <c r="BU14" s="714"/>
      <c r="BV14" s="714">
        <f t="shared" si="8"/>
        <v>0</v>
      </c>
      <c r="BW14" s="714">
        <f>IF(OR(AY14="EST",AY14="ADRYS"),ROUND(1.18*BU14,2),ROUND(BU14*1.3224*Form!$D$10,2))</f>
        <v>0</v>
      </c>
      <c r="BX14" s="714">
        <f t="shared" si="9"/>
        <v>0</v>
      </c>
      <c r="BY14" s="719">
        <f t="shared" si="10"/>
        <v>0</v>
      </c>
      <c r="BZ14" s="714">
        <f t="shared" si="11"/>
        <v>101674.13</v>
      </c>
      <c r="CA14" s="720"/>
      <c r="CB14" s="720"/>
      <c r="CC14" s="4"/>
      <c r="CD14" s="4"/>
      <c r="CE14" s="4"/>
      <c r="CF14" s="4"/>
      <c r="CG14" s="4"/>
      <c r="CH14" s="4"/>
      <c r="CI14" s="721"/>
    </row>
    <row r="15" spans="1:96" s="579" customFormat="1" ht="45" x14ac:dyDescent="0.25">
      <c r="A15" s="712">
        <f>SUBTOTAL(2,$B$5:B15)</f>
        <v>11</v>
      </c>
      <c r="B15" s="754">
        <v>11</v>
      </c>
      <c r="C15" s="755" t="s">
        <v>679</v>
      </c>
      <c r="D15" s="755" t="s">
        <v>462</v>
      </c>
      <c r="E15" s="754">
        <v>4</v>
      </c>
      <c r="F15" s="658">
        <f>'Annexure-I'!E12</f>
        <v>4</v>
      </c>
      <c r="G15" s="784" t="str">
        <f>IF('CST-Calculation'!G15=0,"",'CST-Calculation'!G15)</f>
        <v/>
      </c>
      <c r="H15" s="784" t="str">
        <f>IF('CST-Calculation'!H15=0,"",'CST-Calculation'!H15)</f>
        <v/>
      </c>
      <c r="I15" s="714" t="str">
        <f>IF(G15="","",IF(H15="TEC Rejected","",IF(H15="","",ROUND(1.3224*Form!$D$10*H15,2))))</f>
        <v/>
      </c>
      <c r="J15" s="714" t="str">
        <f t="shared" si="0"/>
        <v/>
      </c>
      <c r="K15" s="713" t="str">
        <f>IF(L15="","",IF('CST-Calculation'!$F15="Indg","",IF('CST-Calculation'!$F15="TEC Del","",IF('CST-Calculation'!K15&gt;0,'CST-Calculation'!K15,IF('CST-Calculation'!$F15=0,"",'CST-Calculation'!$F15)))))</f>
        <v/>
      </c>
      <c r="L15" s="714" t="str">
        <f>IF('CST-Calculation'!L15=0,"",'CST-Calculation'!L15)</f>
        <v/>
      </c>
      <c r="M15" s="714" t="str">
        <f>IF(K15="","",IF(L15="TEC Rejected","",IF(L15="","",ROUND(1.3224*Form!$D$10*L15,2))))</f>
        <v/>
      </c>
      <c r="N15" s="714" t="str">
        <f t="shared" si="1"/>
        <v/>
      </c>
      <c r="O15" s="89" t="str">
        <f>IF(P15="","",IF('CST-Calculation'!$F15="Indg","",IF('CST-Calculation'!$F15="TEC Del","",IF('CST-Calculation'!O15&gt;0,'CST-Calculation'!O15,IF('CST-Calculation'!$F15=0,"",'CST-Calculation'!$F15)))))</f>
        <v/>
      </c>
      <c r="P15" s="714" t="str">
        <f>IF('CST-Calculation'!P15=0,"",'CST-Calculation'!P15)</f>
        <v/>
      </c>
      <c r="Q15" s="714" t="str">
        <f>IF(O15="","",IF(P15="TEC Rejected","",IF(P15="","",ROUND(1.3224*Form!$D$10*P15,2))))</f>
        <v/>
      </c>
      <c r="R15" s="714" t="str">
        <f t="shared" si="2"/>
        <v/>
      </c>
      <c r="S15" s="89" t="str">
        <f>IF(T15="","",IF('CST-Calculation'!$F15="Indg","",IF('CST-Calculation'!$F15="TEC Del","",IF('CST-Calculation'!S15&gt;0,'CST-Calculation'!S15,IF('CST-Calculation'!$F15=0,"",'CST-Calculation'!$F15)))))</f>
        <v/>
      </c>
      <c r="T15" s="714" t="str">
        <f>IF('CST-Calculation'!T15=0,"",'CST-Calculation'!T15)</f>
        <v/>
      </c>
      <c r="U15" s="714" t="str">
        <f>IF(S15="","",IF(T15="TEC Rejected","",IF(T15="","",ROUND(1.3224*Form!$D$10*T15,2))))</f>
        <v/>
      </c>
      <c r="V15" s="714" t="str">
        <f t="shared" si="3"/>
        <v/>
      </c>
      <c r="W15" s="713" t="str">
        <f>IF(X15="","",IF('CST-Calculation'!$F15="Indg","",IF('CST-Calculation'!$F15="TEC Del","",IF('CST-Calculation'!W15&gt;0,'CST-Calculation'!W15,IF('CST-Calculation'!$F15=0,"",'CST-Calculation'!$F15)))))</f>
        <v/>
      </c>
      <c r="X15" s="714" t="str">
        <f>IF('CST-Calculation'!X15=0,"",'CST-Calculation'!X15)</f>
        <v/>
      </c>
      <c r="Y15" s="714" t="str">
        <f>IF(W15="","",IF(X15="TEC Rejected","",IF(X15="","",ROUND(1.3224*Form!$D$10*X15,2))))</f>
        <v/>
      </c>
      <c r="Z15" s="714" t="str">
        <f t="shared" si="12"/>
        <v/>
      </c>
      <c r="AA15" s="713" t="str">
        <f>IF(AB15="","",IF('CST-Calculation'!$F15="Indg","",IF('CST-Calculation'!$F15="TEC Del","",IF('CST-Calculation'!AA15&gt;0,'CST-Calculation'!AA15,IF('CST-Calculation'!$F15=0,"",'CST-Calculation'!$F15)))))</f>
        <v/>
      </c>
      <c r="AB15" s="714" t="str">
        <f>IF('CST-Calculation'!AB15=0,"",'CST-Calculation'!AB15)</f>
        <v/>
      </c>
      <c r="AC15" s="714" t="str">
        <f t="shared" si="13"/>
        <v/>
      </c>
      <c r="AD15" s="714" t="str">
        <f t="shared" si="14"/>
        <v/>
      </c>
      <c r="AE15" s="713" t="str">
        <f>IF(AF15="","",IF('CST-Calculation'!$F15="Indg","",IF('CST-Calculation'!$F15="TEC Del","",IF('CST-Calculation'!AE15&gt;0,'CST-Calculation'!AE15,IF('CST-Calculation'!$F15=0,"",'CST-Calculation'!$F15)))))</f>
        <v/>
      </c>
      <c r="AF15" s="714" t="str">
        <f>IF('CST-Calculation'!AF15=0,"",'CST-Calculation'!AF15)</f>
        <v/>
      </c>
      <c r="AG15" s="714" t="str">
        <f>IF(AE15="","",IF(AF15="TEC Rejected","",IF(AF15="","",ROUND(1.3224*Form!$D$10*AF15,2))))</f>
        <v/>
      </c>
      <c r="AH15" s="714" t="str">
        <f t="shared" si="15"/>
        <v/>
      </c>
      <c r="AI15" s="713" t="str">
        <f>IF(AJ15="","",IF('CST-Calculation'!$F15="Indg","",IF('CST-Calculation'!$F15="TEC Del","",IF('CST-Calculation'!AI15&gt;0,'CST-Calculation'!AI15,IF('CST-Calculation'!$F15=0,"",'CST-Calculation'!$F15)))))</f>
        <v/>
      </c>
      <c r="AJ15" s="714" t="str">
        <f>IF('CST-Calculation'!AJ15=0,"",'CST-Calculation'!AJ15)</f>
        <v/>
      </c>
      <c r="AK15" s="714" t="str">
        <f t="shared" si="16"/>
        <v/>
      </c>
      <c r="AL15" s="714" t="str">
        <f t="shared" si="17"/>
        <v/>
      </c>
      <c r="AM15" s="713" t="str">
        <f>IF(AN15="","",IF('CST-Calculation'!$F15="Indg","",IF('CST-Calculation'!$F15="TEC Del","",IF('CST-Calculation'!AM15&gt;0,'CST-Calculation'!AM15,IF('CST-Calculation'!$F15=0,"",'CST-Calculation'!$F15)))))</f>
        <v/>
      </c>
      <c r="AN15" s="714" t="str">
        <f>IF('CST-Calculation'!AN15=0,"",'CST-Calculation'!AN15)</f>
        <v/>
      </c>
      <c r="AO15" s="714" t="str">
        <f>IF(AM15="","",IF(AN15="TEC Rejected","",IF(AN15="","",ROUND(1.3224*Form!$D$10*AN15,2))))</f>
        <v/>
      </c>
      <c r="AP15" s="714" t="str">
        <f t="shared" si="18"/>
        <v/>
      </c>
      <c r="AQ15" s="713" t="str">
        <f>IF(AR15="","",IF('CST-Calculation'!$F15="Indg","",IF('CST-Calculation'!$F15="TEC Del","",IF('CST-Calculation'!AQ15&gt;0,'CST-Calculation'!AQ15,IF('CST-Calculation'!$F15=0,"",'CST-Calculation'!$F15)))))</f>
        <v/>
      </c>
      <c r="AR15" s="714" t="str">
        <f>IF('CST-Calculation'!AR15=0,"",'CST-Calculation'!AR15)</f>
        <v/>
      </c>
      <c r="AS15" s="714" t="str">
        <f>IF(AQ15="","",IF(AR15="TEC Rejected","",IF(AR15="","",ROUND(1.3224*Form!$D$10*AR15,2))))</f>
        <v/>
      </c>
      <c r="AT15" s="714" t="str">
        <f t="shared" si="19"/>
        <v/>
      </c>
      <c r="AU15" s="713" t="str">
        <f>IF(AV15="","",IF('CST-Calculation'!$F15="Indg","",IF('CST-Calculation'!$F15="TEC Del","",IF('CST-Calculation'!AU15&gt;0,'CST-Calculation'!AU15,IF('CST-Calculation'!$F15=0,"",'CST-Calculation'!$F15)))))</f>
        <v/>
      </c>
      <c r="AV15" s="714" t="str">
        <f>IF('CST-Calculation'!AV15=0,"",'CST-Calculation'!AV15)</f>
        <v/>
      </c>
      <c r="AW15" s="714" t="str">
        <f>IF(AU15="","",IF(AV15="TEC Rejected","",IF(AV15="","",ROUND(1.3224*Form!$D$10*AV15,2))))</f>
        <v/>
      </c>
      <c r="AX15" s="714" t="str">
        <f t="shared" si="20"/>
        <v/>
      </c>
      <c r="AY15" s="715" t="str">
        <f t="shared" si="21"/>
        <v>NO OFFER</v>
      </c>
      <c r="AZ15" s="716" t="str">
        <f t="shared" si="22"/>
        <v>NO OFFER</v>
      </c>
      <c r="BA15" s="716" t="str">
        <f t="shared" si="23"/>
        <v>&lt;= 20%</v>
      </c>
      <c r="BB15" s="716">
        <f>IF(AY15="EST",ROUND(BD15/1.18,2),IF(AY15="ADRYS",ROUND(BD15/1.18,2),ROUND(BD15/(1.3224*Form!$D$10),2)))</f>
        <v>0</v>
      </c>
      <c r="BC15" s="784">
        <f>IF(OR(AY15="EST",AY15="ADRYS"),ROUND(BE15/1.18,2),ROUND(BE15/(1.3224*Form!$D$10),2))</f>
        <v>0</v>
      </c>
      <c r="BD15" s="717">
        <f>IF(F15="Indg",0,IF(F15="TEC Del",0,IF(AND(IF(G15="",TRUE,G15&lt;=ROUNDUP(1.2*F15,0)),IF(K15="",TRUE,K15&lt;=ROUNDUP(1.2*F15,0)),IF(O15="",TRUE,O15&lt;=ROUNDUP(1.2*F15,0)),IF(S15="",TRUE,S15&lt;=ROUNDUP(1.2*F15,0)),IF(W15="",TRUE,W15&lt;=ROUNDUP(1.2*F15,0)),IF(AA15="",TRUE,AA15&lt;=ROUNDUP(1.2*F15,0)),IF(AE15="",TRUE,AE15&lt;=ROUNDUP(1.2*F15,0)),IF(AI15="",TRUE,AI15&lt;=ROUNDUP(1.2*F15,0)),IF(AM15="",TRUE,AM15&lt;=ROUNDUP(1.2*F15,0)),IF(AQ15="",TRUE,AQ15&lt;=ROUNDUP(1.2*F15,0)),IF(AU15="",TRUE,AU15&lt;=ROUNDUP(1.2*F15,0))),IF(F15=0,0,(IF(SUM(I15,M15,Q15,U15,Y15,AC15,AG15,AK15,AO15,AS15,AW15)=0,0,SMALL((I15,M15,Q15,U15,Y15,AC15,AG15,AK15,AO15,AS15,AW15),COUNTIF((I15:AW15),0)+1)))),IF(BE15=J15,I15,IF(BE15=N15,M15,IF(BE15=R15,Q15,IF(BE15=V15,U15,IF(BE15=Z15,Y15,IF(BE15=AD15,AC15,IF(BE15=AH15,AG15,IF(BE15=AL15,AK15,IF(BE15=AP15,AO15,IF(BE15=AT15,AS15,IF(BE15=AX15,AW15))))))))))))))</f>
        <v>0</v>
      </c>
      <c r="BE15" s="714">
        <f>IF(F15="Indg",0,IF(F15="TEC Del",0,IF(AND(IF(G15="",TRUE,G15&lt;=ROUNDUP(1.2*F15,0)),IF(K15="",TRUE,K15&lt;=ROUNDUP(1.2*F15,0)),IF(O15="",TRUE,O15&lt;=ROUNDUP(1.2*F15,0)),IF(S15="",TRUE,S15&lt;=ROUNDUP(1.2*F15,0)),IF(W15="",TRUE,W15&lt;=ROUNDUP(1.2*F15,0)),IF(AA15="",TRUE,AA15&lt;=ROUNDUP(1.2*F15,0)),IF(AE15="",TRUE,AE15&lt;=ROUNDUP(1.2*F15,0)),IF(AI15="",TRUE,AI15&lt;=ROUNDUP(1.2*F15,0)),IF(AM15="",TRUE,AM15&lt;=ROUNDUP(1.2*F15,0)),IF(AQ15="",TRUE,AQ15&lt;=ROUNDUP(1.2*F15,0)),IF(AU15="",TRUE,AU15&lt;=ROUNDUP(1.2*F15,0))),ROUND(BD15*IF(BD15=I15,G15,IF(BD15=M15,K15,IF(BD15=Q15,O15,IF(BD15=U15,S15,IF(BD15=Y15,W15,IF(BD15=AC15,AA15,IF(BD15=AG15,AE15,IF(BD15=AK15,AI15,IF(BD15=AO15,AM15,IF(BD15=AS15,AQ15,IF(BD15=AW15,AU15))))))))))),2),(IF(SUM(J15,N15,R15,V15,Z15,AD15,AH15,AL15,AP15,AT15,AX15)=0,0,SMALL((J15,N15,R15,V15,Z15,AD15,AH15,AL15,AP15,AT15,AX15),COUNTIF((J15:AX15),0)+1))))))</f>
        <v>0</v>
      </c>
      <c r="BF15" s="714">
        <f>IF('Annexure-I'!L12="",'Annexure-I'!F12,'Annexure-I'!L12)</f>
        <v>46</v>
      </c>
      <c r="BG15" s="714" t="str">
        <f>IF('Annexure-I'!M12="",'Annexure-I'!G12,'Annexure-I'!M12)</f>
        <v>CONTRACT-A11</v>
      </c>
      <c r="BH15" s="764">
        <f>IF('Annexure-I'!N12="",'Annexure-I'!H12,'Annexure-I'!N12)</f>
        <v>43298</v>
      </c>
      <c r="BI15" s="717">
        <f>IF('Annexure-I'!P12="",'Annexure-I'!J12,'Annexure-I'!P12)</f>
        <v>62</v>
      </c>
      <c r="BJ15" s="717">
        <f>IF('Annexure-I'!Q12="",'Annexure-I'!K12,'Annexure-I'!Q12)</f>
        <v>6787.0328639999998</v>
      </c>
      <c r="BK15" s="714">
        <f>'Annexure-I'!F12</f>
        <v>46</v>
      </c>
      <c r="BL15" s="718" t="str">
        <f>'Annexure-I'!G12</f>
        <v>CONTRACT-A11</v>
      </c>
      <c r="BM15" s="764">
        <f>IF('Annexure-I'!H12=0,"",'Annexure-I'!H12)</f>
        <v>43298</v>
      </c>
      <c r="BN15" s="717">
        <f>'Annexure-I'!J12</f>
        <v>62</v>
      </c>
      <c r="BO15" s="717">
        <f>'Annexure-I'!K12</f>
        <v>6787.0328639999998</v>
      </c>
      <c r="BP15" s="714">
        <f>IF(OR(AY15="EST",AY15="ADRYS"),ROUND((BC15*1.18)/(1.3224*Form!$D$10),2),BC15)</f>
        <v>0</v>
      </c>
      <c r="BQ15" s="714">
        <f>ROUND(BS15/(1.3224*Form!$D$10),2)</f>
        <v>0</v>
      </c>
      <c r="BR15" s="714">
        <f t="shared" si="24"/>
        <v>0</v>
      </c>
      <c r="BS15" s="714">
        <f t="shared" si="25"/>
        <v>0</v>
      </c>
      <c r="BT15" s="719">
        <f t="shared" si="26"/>
        <v>0</v>
      </c>
      <c r="BU15" s="714"/>
      <c r="BV15" s="714">
        <f t="shared" si="8"/>
        <v>0</v>
      </c>
      <c r="BW15" s="714">
        <f>IF(OR(AY15="EST",AY15="ADRYS"),ROUND(1.18*BU15,2),ROUND(BU15*1.3224*Form!$D$10,2))</f>
        <v>0</v>
      </c>
      <c r="BX15" s="714">
        <f t="shared" si="9"/>
        <v>0</v>
      </c>
      <c r="BY15" s="719">
        <f t="shared" si="10"/>
        <v>0</v>
      </c>
      <c r="BZ15" s="714">
        <f t="shared" si="11"/>
        <v>27148.13</v>
      </c>
      <c r="CA15" s="720"/>
      <c r="CB15" s="720"/>
      <c r="CC15" s="4"/>
      <c r="CD15" s="4"/>
      <c r="CE15" s="4"/>
      <c r="CF15" s="4"/>
      <c r="CG15" s="4"/>
      <c r="CH15" s="4"/>
      <c r="CI15" s="721"/>
    </row>
    <row r="16" spans="1:96" s="579" customFormat="1" ht="45" x14ac:dyDescent="0.25">
      <c r="A16" s="712">
        <f>SUBTOTAL(2,$B$5:B16)</f>
        <v>12</v>
      </c>
      <c r="B16" s="754">
        <v>12</v>
      </c>
      <c r="C16" s="756" t="s">
        <v>680</v>
      </c>
      <c r="D16" s="755" t="s">
        <v>591</v>
      </c>
      <c r="E16" s="754">
        <v>12</v>
      </c>
      <c r="F16" s="658">
        <f>'Annexure-I'!E13</f>
        <v>12</v>
      </c>
      <c r="G16" s="784" t="str">
        <f>IF('CST-Calculation'!G16=0,"",'CST-Calculation'!G16)</f>
        <v/>
      </c>
      <c r="H16" s="784" t="str">
        <f>IF('CST-Calculation'!H16=0,"",'CST-Calculation'!H16)</f>
        <v/>
      </c>
      <c r="I16" s="714" t="str">
        <f>IF(G16="","",IF(H16="TEC Rejected","",IF(H16="","",ROUND(1.3224*Form!$D$10*H16,2))))</f>
        <v/>
      </c>
      <c r="J16" s="714" t="str">
        <f t="shared" si="0"/>
        <v/>
      </c>
      <c r="K16" s="713" t="str">
        <f>IF(L16="","",IF('CST-Calculation'!$F16="Indg","",IF('CST-Calculation'!$F16="TEC Del","",IF('CST-Calculation'!K16&gt;0,'CST-Calculation'!K16,IF('CST-Calculation'!$F16=0,"",'CST-Calculation'!$F16)))))</f>
        <v/>
      </c>
      <c r="L16" s="714" t="str">
        <f>IF('CST-Calculation'!L16=0,"",'CST-Calculation'!L16)</f>
        <v/>
      </c>
      <c r="M16" s="714" t="str">
        <f>IF(K16="","",IF(L16="TEC Rejected","",IF(L16="","",ROUND(1.3224*Form!$D$10*L16,2))))</f>
        <v/>
      </c>
      <c r="N16" s="714" t="str">
        <f t="shared" si="1"/>
        <v/>
      </c>
      <c r="O16" s="89">
        <f>IF(P16="","",IF('CST-Calculation'!$F16="Indg","",IF('CST-Calculation'!$F16="TEC Del","",IF('CST-Calculation'!O16&gt;0,'CST-Calculation'!O16,IF('CST-Calculation'!$F16=0,"",'CST-Calculation'!$F16)))))</f>
        <v>12</v>
      </c>
      <c r="P16" s="714">
        <f>IF('CST-Calculation'!P16=0,"",'CST-Calculation'!P16)</f>
        <v>9</v>
      </c>
      <c r="Q16" s="714">
        <f>IF(O16="","",IF(P16="TEC Rejected","",IF(P16="","",ROUND(1.3224*Form!$D$10*P16,2))))</f>
        <v>985.21</v>
      </c>
      <c r="R16" s="714">
        <f t="shared" si="2"/>
        <v>11822.52</v>
      </c>
      <c r="S16" s="89">
        <f>IF(T16="","",IF('CST-Calculation'!$F16="Indg","",IF('CST-Calculation'!$F16="TEC Del","",IF('CST-Calculation'!S16&gt;0,'CST-Calculation'!S16,IF('CST-Calculation'!$F16=0,"",'CST-Calculation'!$F16)))))</f>
        <v>12</v>
      </c>
      <c r="T16" s="714">
        <f>IF('CST-Calculation'!T16=0,"",'CST-Calculation'!T16)</f>
        <v>29.7</v>
      </c>
      <c r="U16" s="714">
        <f>IF(S16="","",IF(T16="TEC Rejected","",IF(T16="","",ROUND(1.3224*Form!$D$10*T16,2))))</f>
        <v>3251.21</v>
      </c>
      <c r="V16" s="714">
        <f t="shared" si="3"/>
        <v>39014.519999999997</v>
      </c>
      <c r="W16" s="713" t="str">
        <f>IF(X16="","",IF('CST-Calculation'!$F16="Indg","",IF('CST-Calculation'!$F16="TEC Del","",IF('CST-Calculation'!W16&gt;0,'CST-Calculation'!W16,IF('CST-Calculation'!$F16=0,"",'CST-Calculation'!$F16)))))</f>
        <v/>
      </c>
      <c r="X16" s="714" t="str">
        <f>IF('CST-Calculation'!X16=0,"",'CST-Calculation'!X16)</f>
        <v/>
      </c>
      <c r="Y16" s="714" t="str">
        <f>IF(W16="","",IF(X16="TEC Rejected","",IF(X16="","",ROUND(1.3224*Form!$D$10*X16,2))))</f>
        <v/>
      </c>
      <c r="Z16" s="714" t="str">
        <f t="shared" si="12"/>
        <v/>
      </c>
      <c r="AA16" s="713">
        <f>IF(AB16="","",IF('CST-Calculation'!$F16="Indg","",IF('CST-Calculation'!$F16="TEC Del","",IF('CST-Calculation'!AA16&gt;0,'CST-Calculation'!AA16,IF('CST-Calculation'!$F16=0,"",'CST-Calculation'!$F16)))))</f>
        <v>12</v>
      </c>
      <c r="AB16" s="714">
        <f>IF('CST-Calculation'!AB16=0,"",'CST-Calculation'!AB16)</f>
        <v>765</v>
      </c>
      <c r="AC16" s="714">
        <f t="shared" si="13"/>
        <v>902.7</v>
      </c>
      <c r="AD16" s="714">
        <f t="shared" si="14"/>
        <v>10832.4</v>
      </c>
      <c r="AE16" s="713" t="str">
        <f>IF(AF16="","",IF('CST-Calculation'!$F16="Indg","",IF('CST-Calculation'!$F16="TEC Del","",IF('CST-Calculation'!AE16&gt;0,'CST-Calculation'!AE16,IF('CST-Calculation'!$F16=0,"",'CST-Calculation'!$F16)))))</f>
        <v/>
      </c>
      <c r="AF16" s="714" t="str">
        <f>IF('CST-Calculation'!AF16=0,"",'CST-Calculation'!AF16)</f>
        <v/>
      </c>
      <c r="AG16" s="714" t="str">
        <f>IF(AE16="","",IF(AF16="TEC Rejected","",IF(AF16="","",ROUND(1.3224*Form!$D$10*AF16,2))))</f>
        <v/>
      </c>
      <c r="AH16" s="714" t="str">
        <f t="shared" si="15"/>
        <v/>
      </c>
      <c r="AI16" s="713" t="str">
        <f>IF(AJ16="","",IF('CST-Calculation'!$F16="Indg","",IF('CST-Calculation'!$F16="TEC Del","",IF('CST-Calculation'!AI16&gt;0,'CST-Calculation'!AI16,IF('CST-Calculation'!$F16=0,"",'CST-Calculation'!$F16)))))</f>
        <v/>
      </c>
      <c r="AJ16" s="714" t="str">
        <f>IF('CST-Calculation'!AJ16=0,"",'CST-Calculation'!AJ16)</f>
        <v/>
      </c>
      <c r="AK16" s="714" t="str">
        <f t="shared" si="16"/>
        <v/>
      </c>
      <c r="AL16" s="714" t="str">
        <f t="shared" si="17"/>
        <v/>
      </c>
      <c r="AM16" s="713" t="str">
        <f>IF(AN16="","",IF('CST-Calculation'!$F16="Indg","",IF('CST-Calculation'!$F16="TEC Del","",IF('CST-Calculation'!AM16&gt;0,'CST-Calculation'!AM16,IF('CST-Calculation'!$F16=0,"",'CST-Calculation'!$F16)))))</f>
        <v/>
      </c>
      <c r="AN16" s="714" t="str">
        <f>IF('CST-Calculation'!AN16=0,"",'CST-Calculation'!AN16)</f>
        <v/>
      </c>
      <c r="AO16" s="714" t="str">
        <f>IF(AM16="","",IF(AN16="TEC Rejected","",IF(AN16="","",ROUND(1.3224*Form!$D$10*AN16,2))))</f>
        <v/>
      </c>
      <c r="AP16" s="714" t="str">
        <f t="shared" si="18"/>
        <v/>
      </c>
      <c r="AQ16" s="713" t="str">
        <f>IF(AR16="","",IF('CST-Calculation'!$F16="Indg","",IF('CST-Calculation'!$F16="TEC Del","",IF('CST-Calculation'!AQ16&gt;0,'CST-Calculation'!AQ16,IF('CST-Calculation'!$F16=0,"",'CST-Calculation'!$F16)))))</f>
        <v/>
      </c>
      <c r="AR16" s="714" t="str">
        <f>IF('CST-Calculation'!AR16=0,"",'CST-Calculation'!AR16)</f>
        <v/>
      </c>
      <c r="AS16" s="714" t="str">
        <f>IF(AQ16="","",IF(AR16="TEC Rejected","",IF(AR16="","",ROUND(1.3224*Form!$D$10*AR16,2))))</f>
        <v/>
      </c>
      <c r="AT16" s="714" t="str">
        <f t="shared" si="19"/>
        <v/>
      </c>
      <c r="AU16" s="713" t="str">
        <f>IF(AV16="","",IF('CST-Calculation'!$F16="Indg","",IF('CST-Calculation'!$F16="TEC Del","",IF('CST-Calculation'!AU16&gt;0,'CST-Calculation'!AU16,IF('CST-Calculation'!$F16=0,"",'CST-Calculation'!$F16)))))</f>
        <v/>
      </c>
      <c r="AV16" s="714" t="str">
        <f>IF('CST-Calculation'!AV16=0,"",'CST-Calculation'!AV16)</f>
        <v/>
      </c>
      <c r="AW16" s="714" t="str">
        <f>IF(AU16="","",IF(AV16="TEC Rejected","",IF(AV16="","",ROUND(1.3224*Form!$D$10*AV16,2))))</f>
        <v/>
      </c>
      <c r="AX16" s="714" t="str">
        <f t="shared" si="20"/>
        <v/>
      </c>
      <c r="AY16" s="715" t="str">
        <f t="shared" si="21"/>
        <v>ADRYS</v>
      </c>
      <c r="AZ16" s="716" t="str">
        <f t="shared" si="22"/>
        <v>MULTIPLE</v>
      </c>
      <c r="BA16" s="716" t="str">
        <f t="shared" si="23"/>
        <v>&lt;= 20%</v>
      </c>
      <c r="BB16" s="716">
        <f>IF(AY16="EST",ROUND(BD16/1.18,2),IF(AY16="ADRYS",ROUND(BD16/1.18,2),ROUND(BD16/(1.3224*Form!$D$10),2)))</f>
        <v>765</v>
      </c>
      <c r="BC16" s="784">
        <f>IF(OR(AY16="EST",AY16="ADRYS"),ROUND(BE16/1.18,2),ROUND(BE16/(1.3224*Form!$D$10),2))</f>
        <v>9180</v>
      </c>
      <c r="BD16" s="717">
        <f>IF(F16="Indg",0,IF(F16="TEC Del",0,IF(AND(IF(G16="",TRUE,G16&lt;=ROUNDUP(1.2*F16,0)),IF(K16="",TRUE,K16&lt;=ROUNDUP(1.2*F16,0)),IF(O16="",TRUE,O16&lt;=ROUNDUP(1.2*F16,0)),IF(S16="",TRUE,S16&lt;=ROUNDUP(1.2*F16,0)),IF(W16="",TRUE,W16&lt;=ROUNDUP(1.2*F16,0)),IF(AA16="",TRUE,AA16&lt;=ROUNDUP(1.2*F16,0)),IF(AE16="",TRUE,AE16&lt;=ROUNDUP(1.2*F16,0)),IF(AI16="",TRUE,AI16&lt;=ROUNDUP(1.2*F16,0)),IF(AM16="",TRUE,AM16&lt;=ROUNDUP(1.2*F16,0)),IF(AQ16="",TRUE,AQ16&lt;=ROUNDUP(1.2*F16,0)),IF(AU16="",TRUE,AU16&lt;=ROUNDUP(1.2*F16,0))),IF(F16=0,0,(IF(SUM(I16,M16,Q16,U16,Y16,AC16,AG16,AK16,AO16,AS16,AW16)=0,0,SMALL((I16,M16,Q16,U16,Y16,AC16,AG16,AK16,AO16,AS16,AW16),COUNTIF((I16:AW16),0)+1)))),IF(BE16=J16,I16,IF(BE16=N16,M16,IF(BE16=R16,Q16,IF(BE16=V16,U16,IF(BE16=Z16,Y16,IF(BE16=AD16,AC16,IF(BE16=AH16,AG16,IF(BE16=AL16,AK16,IF(BE16=AP16,AO16,IF(BE16=AT16,AS16,IF(BE16=AX16,AW16))))))))))))))</f>
        <v>902.7</v>
      </c>
      <c r="BE16" s="714">
        <f>IF(F16="Indg",0,IF(F16="TEC Del",0,IF(AND(IF(G16="",TRUE,G16&lt;=ROUNDUP(1.2*F16,0)),IF(K16="",TRUE,K16&lt;=ROUNDUP(1.2*F16,0)),IF(O16="",TRUE,O16&lt;=ROUNDUP(1.2*F16,0)),IF(S16="",TRUE,S16&lt;=ROUNDUP(1.2*F16,0)),IF(W16="",TRUE,W16&lt;=ROUNDUP(1.2*F16,0)),IF(AA16="",TRUE,AA16&lt;=ROUNDUP(1.2*F16,0)),IF(AE16="",TRUE,AE16&lt;=ROUNDUP(1.2*F16,0)),IF(AI16="",TRUE,AI16&lt;=ROUNDUP(1.2*F16,0)),IF(AM16="",TRUE,AM16&lt;=ROUNDUP(1.2*F16,0)),IF(AQ16="",TRUE,AQ16&lt;=ROUNDUP(1.2*F16,0)),IF(AU16="",TRUE,AU16&lt;=ROUNDUP(1.2*F16,0))),ROUND(BD16*IF(BD16=I16,G16,IF(BD16=M16,K16,IF(BD16=Q16,O16,IF(BD16=U16,S16,IF(BD16=Y16,W16,IF(BD16=AC16,AA16,IF(BD16=AG16,AE16,IF(BD16=AK16,AI16,IF(BD16=AO16,AM16,IF(BD16=AS16,AQ16,IF(BD16=AW16,AU16))))))))))),2),(IF(SUM(J16,N16,R16,V16,Z16,AD16,AH16,AL16,AP16,AT16,AX16)=0,0,SMALL((J16,N16,R16,V16,Z16,AD16,AH16,AL16,AP16,AT16,AX16),COUNTIF((J16:AX16),0)+1))))))</f>
        <v>10832.4</v>
      </c>
      <c r="BF16" s="714">
        <f>IF('Annexure-I'!L13="",'Annexure-I'!F13,'Annexure-I'!L13)</f>
        <v>12</v>
      </c>
      <c r="BG16" s="714" t="str">
        <f>IF('Annexure-I'!M13="",'Annexure-I'!G13,'Annexure-I'!M13)</f>
        <v>CONTRACT-A12</v>
      </c>
      <c r="BH16" s="764">
        <f>IF('Annexure-I'!N13="",'Annexure-I'!H13,'Annexure-I'!N13)</f>
        <v>43298</v>
      </c>
      <c r="BI16" s="717">
        <f>IF('Annexure-I'!P13="",'Annexure-I'!J13,'Annexure-I'!P13)</f>
        <v>16.170000000000002</v>
      </c>
      <c r="BJ16" s="717">
        <f>IF('Annexure-I'!Q13="",'Annexure-I'!K13,'Annexure-I'!Q13)</f>
        <v>1770.1019582400004</v>
      </c>
      <c r="BK16" s="714">
        <f>'Annexure-I'!F13</f>
        <v>12</v>
      </c>
      <c r="BL16" s="718" t="str">
        <f>'Annexure-I'!G13</f>
        <v>CONTRACT-A12</v>
      </c>
      <c r="BM16" s="764">
        <f>IF('Annexure-I'!H13=0,"",'Annexure-I'!H13)</f>
        <v>43298</v>
      </c>
      <c r="BN16" s="717">
        <f>'Annexure-I'!J13</f>
        <v>16.170000000000002</v>
      </c>
      <c r="BO16" s="717">
        <f>'Annexure-I'!K13</f>
        <v>1770.1019582400004</v>
      </c>
      <c r="BP16" s="714">
        <f>IF(OR(AY16="EST",AY16="ADRYS"),ROUND((BC16*1.18)/(1.3224*Form!$D$10),2),BC16)</f>
        <v>98.95</v>
      </c>
      <c r="BQ16" s="714">
        <f>ROUND(BS16/(1.3224*Form!$D$10),2)</f>
        <v>194.04</v>
      </c>
      <c r="BR16" s="714">
        <f t="shared" si="24"/>
        <v>10832.4</v>
      </c>
      <c r="BS16" s="714">
        <f t="shared" si="25"/>
        <v>21241.22</v>
      </c>
      <c r="BT16" s="719">
        <f t="shared" si="26"/>
        <v>-0.49002929210280771</v>
      </c>
      <c r="BU16" s="714"/>
      <c r="BV16" s="714">
        <f t="shared" si="8"/>
        <v>0</v>
      </c>
      <c r="BW16" s="714">
        <f>IF(OR(AY16="EST",AY16="ADRYS"),ROUND(1.18*BU16,2),ROUND(BU16*1.3224*Form!$D$10,2))</f>
        <v>0</v>
      </c>
      <c r="BX16" s="714">
        <f t="shared" si="9"/>
        <v>0</v>
      </c>
      <c r="BY16" s="719">
        <f t="shared" si="10"/>
        <v>0</v>
      </c>
      <c r="BZ16" s="714">
        <f t="shared" si="11"/>
        <v>21241.22</v>
      </c>
      <c r="CA16" s="720"/>
      <c r="CB16" s="720"/>
      <c r="CC16" s="4"/>
      <c r="CD16" s="4"/>
      <c r="CE16" s="4"/>
      <c r="CF16" s="4"/>
      <c r="CG16" s="4"/>
      <c r="CH16" s="4"/>
      <c r="CI16" s="721"/>
    </row>
    <row r="17" spans="1:89" s="579" customFormat="1" ht="45" x14ac:dyDescent="0.25">
      <c r="A17" s="712">
        <f>SUBTOTAL(2,$B$5:B17)</f>
        <v>13</v>
      </c>
      <c r="B17" s="754">
        <v>13</v>
      </c>
      <c r="C17" s="755" t="s">
        <v>681</v>
      </c>
      <c r="D17" s="755" t="s">
        <v>591</v>
      </c>
      <c r="E17" s="754">
        <v>4</v>
      </c>
      <c r="F17" s="658">
        <f>'Annexure-I'!E14</f>
        <v>4</v>
      </c>
      <c r="G17" s="784" t="str">
        <f>IF('CST-Calculation'!G17=0,"",'CST-Calculation'!G17)</f>
        <v/>
      </c>
      <c r="H17" s="784" t="str">
        <f>IF('CST-Calculation'!H17=0,"",'CST-Calculation'!H17)</f>
        <v/>
      </c>
      <c r="I17" s="714" t="str">
        <f>IF(G17="","",IF(H17="TEC Rejected","",IF(H17="","",ROUND(1.3224*Form!$D$10*H17,2))))</f>
        <v/>
      </c>
      <c r="J17" s="714" t="str">
        <f t="shared" si="0"/>
        <v/>
      </c>
      <c r="K17" s="713" t="str">
        <f>IF(L17="","",IF('CST-Calculation'!$F17="Indg","",IF('CST-Calculation'!$F17="TEC Del","",IF('CST-Calculation'!K17&gt;0,'CST-Calculation'!K17,IF('CST-Calculation'!$F17=0,"",'CST-Calculation'!$F17)))))</f>
        <v/>
      </c>
      <c r="L17" s="714" t="str">
        <f>IF('CST-Calculation'!L17=0,"",'CST-Calculation'!L17)</f>
        <v/>
      </c>
      <c r="M17" s="714" t="str">
        <f>IF(K17="","",IF(L17="TEC Rejected","",IF(L17="","",ROUND(1.3224*Form!$D$10*L17,2))))</f>
        <v/>
      </c>
      <c r="N17" s="714" t="str">
        <f t="shared" si="1"/>
        <v/>
      </c>
      <c r="O17" s="89">
        <f>IF(P17="","",IF('CST-Calculation'!$F17="Indg","",IF('CST-Calculation'!$F17="TEC Del","",IF('CST-Calculation'!O17&gt;0,'CST-Calculation'!O17,IF('CST-Calculation'!$F17=0,"",'CST-Calculation'!$F17)))))</f>
        <v>4</v>
      </c>
      <c r="P17" s="714">
        <f>IF('CST-Calculation'!P17=0,"",'CST-Calculation'!P17)</f>
        <v>8.1</v>
      </c>
      <c r="Q17" s="714">
        <f>IF(O17="","",IF(P17="TEC Rejected","",IF(P17="","",ROUND(1.3224*Form!$D$10*P17,2))))</f>
        <v>886.69</v>
      </c>
      <c r="R17" s="714">
        <f t="shared" si="2"/>
        <v>3546.76</v>
      </c>
      <c r="S17" s="89">
        <f>IF(T17="","",IF('CST-Calculation'!$F17="Indg","",IF('CST-Calculation'!$F17="TEC Del","",IF('CST-Calculation'!S17&gt;0,'CST-Calculation'!S17,IF('CST-Calculation'!$F17=0,"",'CST-Calculation'!$F17)))))</f>
        <v>4</v>
      </c>
      <c r="T17" s="714">
        <f>IF('CST-Calculation'!T17=0,"",'CST-Calculation'!T17)</f>
        <v>24</v>
      </c>
      <c r="U17" s="714">
        <f>IF(S17="","",IF(T17="TEC Rejected","",IF(T17="","",ROUND(1.3224*Form!$D$10*T17,2))))</f>
        <v>2627.24</v>
      </c>
      <c r="V17" s="714">
        <f t="shared" si="3"/>
        <v>10508.96</v>
      </c>
      <c r="W17" s="713" t="str">
        <f>IF(X17="","",IF('CST-Calculation'!$F17="Indg","",IF('CST-Calculation'!$F17="TEC Del","",IF('CST-Calculation'!W17&gt;0,'CST-Calculation'!W17,IF('CST-Calculation'!$F17=0,"",'CST-Calculation'!$F17)))))</f>
        <v/>
      </c>
      <c r="X17" s="714" t="str">
        <f>IF('CST-Calculation'!X17=0,"",'CST-Calculation'!X17)</f>
        <v/>
      </c>
      <c r="Y17" s="714" t="str">
        <f>IF(W17="","",IF(X17="TEC Rejected","",IF(X17="","",ROUND(1.3224*Form!$D$10*X17,2))))</f>
        <v/>
      </c>
      <c r="Z17" s="714" t="str">
        <f t="shared" si="12"/>
        <v/>
      </c>
      <c r="AA17" s="713">
        <f>IF(AB17="","",IF('CST-Calculation'!$F17="Indg","",IF('CST-Calculation'!$F17="TEC Del","",IF('CST-Calculation'!AA17&gt;0,'CST-Calculation'!AA17,IF('CST-Calculation'!$F17=0,"",'CST-Calculation'!$F17)))))</f>
        <v>4</v>
      </c>
      <c r="AB17" s="714">
        <f>IF('CST-Calculation'!AB17=0,"",'CST-Calculation'!AB17)</f>
        <v>765</v>
      </c>
      <c r="AC17" s="714">
        <f t="shared" si="13"/>
        <v>902.7</v>
      </c>
      <c r="AD17" s="714">
        <f t="shared" si="14"/>
        <v>3610.8</v>
      </c>
      <c r="AE17" s="713" t="str">
        <f>IF(AF17="","",IF('CST-Calculation'!$F17="Indg","",IF('CST-Calculation'!$F17="TEC Del","",IF('CST-Calculation'!AE17&gt;0,'CST-Calculation'!AE17,IF('CST-Calculation'!$F17=0,"",'CST-Calculation'!$F17)))))</f>
        <v/>
      </c>
      <c r="AF17" s="714" t="str">
        <f>IF('CST-Calculation'!AF17=0,"",'CST-Calculation'!AF17)</f>
        <v/>
      </c>
      <c r="AG17" s="714" t="str">
        <f>IF(AE17="","",IF(AF17="TEC Rejected","",IF(AF17="","",ROUND(1.3224*Form!$D$10*AF17,2))))</f>
        <v/>
      </c>
      <c r="AH17" s="714" t="str">
        <f t="shared" si="15"/>
        <v/>
      </c>
      <c r="AI17" s="713" t="str">
        <f>IF(AJ17="","",IF('CST-Calculation'!$F17="Indg","",IF('CST-Calculation'!$F17="TEC Del","",IF('CST-Calculation'!AI17&gt;0,'CST-Calculation'!AI17,IF('CST-Calculation'!$F17=0,"",'CST-Calculation'!$F17)))))</f>
        <v/>
      </c>
      <c r="AJ17" s="714" t="str">
        <f>IF('CST-Calculation'!AJ17=0,"",'CST-Calculation'!AJ17)</f>
        <v/>
      </c>
      <c r="AK17" s="714" t="str">
        <f t="shared" si="16"/>
        <v/>
      </c>
      <c r="AL17" s="714" t="str">
        <f t="shared" si="17"/>
        <v/>
      </c>
      <c r="AM17" s="713" t="str">
        <f>IF(AN17="","",IF('CST-Calculation'!$F17="Indg","",IF('CST-Calculation'!$F17="TEC Del","",IF('CST-Calculation'!AM17&gt;0,'CST-Calculation'!AM17,IF('CST-Calculation'!$F17=0,"",'CST-Calculation'!$F17)))))</f>
        <v/>
      </c>
      <c r="AN17" s="714" t="str">
        <f>IF('CST-Calculation'!AN17=0,"",'CST-Calculation'!AN17)</f>
        <v/>
      </c>
      <c r="AO17" s="714" t="str">
        <f>IF(AM17="","",IF(AN17="TEC Rejected","",IF(AN17="","",ROUND(1.3224*Form!$D$10*AN17,2))))</f>
        <v/>
      </c>
      <c r="AP17" s="714" t="str">
        <f t="shared" si="18"/>
        <v/>
      </c>
      <c r="AQ17" s="713" t="str">
        <f>IF(AR17="","",IF('CST-Calculation'!$F17="Indg","",IF('CST-Calculation'!$F17="TEC Del","",IF('CST-Calculation'!AQ17&gt;0,'CST-Calculation'!AQ17,IF('CST-Calculation'!$F17=0,"",'CST-Calculation'!$F17)))))</f>
        <v/>
      </c>
      <c r="AR17" s="714" t="str">
        <f>IF('CST-Calculation'!AR17=0,"",'CST-Calculation'!AR17)</f>
        <v/>
      </c>
      <c r="AS17" s="714" t="str">
        <f>IF(AQ17="","",IF(AR17="TEC Rejected","",IF(AR17="","",ROUND(1.3224*Form!$D$10*AR17,2))))</f>
        <v/>
      </c>
      <c r="AT17" s="714" t="str">
        <f t="shared" si="19"/>
        <v/>
      </c>
      <c r="AU17" s="713" t="str">
        <f>IF(AV17="","",IF('CST-Calculation'!$F17="Indg","",IF('CST-Calculation'!$F17="TEC Del","",IF('CST-Calculation'!AU17&gt;0,'CST-Calculation'!AU17,IF('CST-Calculation'!$F17=0,"",'CST-Calculation'!$F17)))))</f>
        <v/>
      </c>
      <c r="AV17" s="714" t="str">
        <f>IF('CST-Calculation'!AV17=0,"",'CST-Calculation'!AV17)</f>
        <v/>
      </c>
      <c r="AW17" s="714" t="str">
        <f>IF(AU17="","",IF(AV17="TEC Rejected","",IF(AV17="","",ROUND(1.3224*Form!$D$10*AV17,2))))</f>
        <v/>
      </c>
      <c r="AX17" s="714" t="str">
        <f t="shared" si="20"/>
        <v/>
      </c>
      <c r="AY17" s="715" t="str">
        <f t="shared" si="21"/>
        <v>GIS</v>
      </c>
      <c r="AZ17" s="716" t="str">
        <f t="shared" si="22"/>
        <v>MULTIPLE</v>
      </c>
      <c r="BA17" s="716" t="str">
        <f t="shared" si="23"/>
        <v>&lt;= 20%</v>
      </c>
      <c r="BB17" s="716">
        <f>IF(AY17="EST",ROUND(BD17/1.18,2),IF(AY17="ADRYS",ROUND(BD17/1.18,2),ROUND(BD17/(1.3224*Form!$D$10),2)))</f>
        <v>8.1</v>
      </c>
      <c r="BC17" s="784">
        <f>IF(OR(AY17="EST",AY17="ADRYS"),ROUND(BE17/1.18,2),ROUND(BE17/(1.3224*Form!$D$10),2))</f>
        <v>32.4</v>
      </c>
      <c r="BD17" s="717">
        <f>IF(F17="Indg",0,IF(F17="TEC Del",0,IF(AND(IF(G17="",TRUE,G17&lt;=ROUNDUP(1.2*F17,0)),IF(K17="",TRUE,K17&lt;=ROUNDUP(1.2*F17,0)),IF(O17="",TRUE,O17&lt;=ROUNDUP(1.2*F17,0)),IF(S17="",TRUE,S17&lt;=ROUNDUP(1.2*F17,0)),IF(W17="",TRUE,W17&lt;=ROUNDUP(1.2*F17,0)),IF(AA17="",TRUE,AA17&lt;=ROUNDUP(1.2*F17,0)),IF(AE17="",TRUE,AE17&lt;=ROUNDUP(1.2*F17,0)),IF(AI17="",TRUE,AI17&lt;=ROUNDUP(1.2*F17,0)),IF(AM17="",TRUE,AM17&lt;=ROUNDUP(1.2*F17,0)),IF(AQ17="",TRUE,AQ17&lt;=ROUNDUP(1.2*F17,0)),IF(AU17="",TRUE,AU17&lt;=ROUNDUP(1.2*F17,0))),IF(F17=0,0,(IF(SUM(I17,M17,Q17,U17,Y17,AC17,AG17,AK17,AO17,AS17,AW17)=0,0,SMALL((I17,M17,Q17,U17,Y17,AC17,AG17,AK17,AO17,AS17,AW17),COUNTIF((I17:AW17),0)+1)))),IF(BE17=J17,I17,IF(BE17=N17,M17,IF(BE17=R17,Q17,IF(BE17=V17,U17,IF(BE17=Z17,Y17,IF(BE17=AD17,AC17,IF(BE17=AH17,AG17,IF(BE17=AL17,AK17,IF(BE17=AP17,AO17,IF(BE17=AT17,AS17,IF(BE17=AX17,AW17))))))))))))))</f>
        <v>886.69</v>
      </c>
      <c r="BE17" s="714">
        <f>IF(F17="Indg",0,IF(F17="TEC Del",0,IF(AND(IF(G17="",TRUE,G17&lt;=ROUNDUP(1.2*F17,0)),IF(K17="",TRUE,K17&lt;=ROUNDUP(1.2*F17,0)),IF(O17="",TRUE,O17&lt;=ROUNDUP(1.2*F17,0)),IF(S17="",TRUE,S17&lt;=ROUNDUP(1.2*F17,0)),IF(W17="",TRUE,W17&lt;=ROUNDUP(1.2*F17,0)),IF(AA17="",TRUE,AA17&lt;=ROUNDUP(1.2*F17,0)),IF(AE17="",TRUE,AE17&lt;=ROUNDUP(1.2*F17,0)),IF(AI17="",TRUE,AI17&lt;=ROUNDUP(1.2*F17,0)),IF(AM17="",TRUE,AM17&lt;=ROUNDUP(1.2*F17,0)),IF(AQ17="",TRUE,AQ17&lt;=ROUNDUP(1.2*F17,0)),IF(AU17="",TRUE,AU17&lt;=ROUNDUP(1.2*F17,0))),ROUND(BD17*IF(BD17=I17,G17,IF(BD17=M17,K17,IF(BD17=Q17,O17,IF(BD17=U17,S17,IF(BD17=Y17,W17,IF(BD17=AC17,AA17,IF(BD17=AG17,AE17,IF(BD17=AK17,AI17,IF(BD17=AO17,AM17,IF(BD17=AS17,AQ17,IF(BD17=AW17,AU17))))))))))),2),(IF(SUM(J17,N17,R17,V17,Z17,AD17,AH17,AL17,AP17,AT17,AX17)=0,0,SMALL((J17,N17,R17,V17,Z17,AD17,AH17,AL17,AP17,AT17,AX17),COUNTIF((J17:AX17),0)+1))))))</f>
        <v>3546.76</v>
      </c>
      <c r="BF17" s="714">
        <f>IF('Annexure-I'!L14="",'Annexure-I'!F14,'Annexure-I'!L14)</f>
        <v>12.74</v>
      </c>
      <c r="BG17" s="714" t="str">
        <f>IF('Annexure-I'!M14="",'Annexure-I'!G14,'Annexure-I'!M14)</f>
        <v>CONTRACT-A13</v>
      </c>
      <c r="BH17" s="764">
        <f>IF('Annexure-I'!N14="",'Annexure-I'!H14,'Annexure-I'!N14)</f>
        <v>43465</v>
      </c>
      <c r="BI17" s="717">
        <f>IF('Annexure-I'!P14="",'Annexure-I'!J14,'Annexure-I'!P14)</f>
        <v>17.170000000000002</v>
      </c>
      <c r="BJ17" s="717">
        <f>IF('Annexure-I'!Q14="",'Annexure-I'!K14,'Annexure-I'!Q14)</f>
        <v>1879.5702302400002</v>
      </c>
      <c r="BK17" s="714">
        <f>'Annexure-I'!F14</f>
        <v>12.74</v>
      </c>
      <c r="BL17" s="718" t="str">
        <f>'Annexure-I'!G14</f>
        <v>CONTRACT-A13</v>
      </c>
      <c r="BM17" s="764">
        <f>IF('Annexure-I'!H14=0,"",'Annexure-I'!H14)</f>
        <v>43465</v>
      </c>
      <c r="BN17" s="717">
        <f>'Annexure-I'!J14</f>
        <v>17.170000000000002</v>
      </c>
      <c r="BO17" s="717">
        <f>'Annexure-I'!K14</f>
        <v>1879.5702302400002</v>
      </c>
      <c r="BP17" s="714">
        <f>IF(OR(AY17="EST",AY17="ADRYS"),ROUND((BC17*1.18)/(1.3224*Form!$D$10),2),BC17)</f>
        <v>32.4</v>
      </c>
      <c r="BQ17" s="714">
        <f>ROUND(BS17/(1.3224*Form!$D$10),2)</f>
        <v>68.680000000000007</v>
      </c>
      <c r="BR17" s="714">
        <f t="shared" si="24"/>
        <v>3546.76</v>
      </c>
      <c r="BS17" s="714">
        <f t="shared" si="25"/>
        <v>7518.28</v>
      </c>
      <c r="BT17" s="719">
        <f t="shared" si="26"/>
        <v>-0.52824848236564736</v>
      </c>
      <c r="BU17" s="714"/>
      <c r="BV17" s="714">
        <f t="shared" si="8"/>
        <v>0</v>
      </c>
      <c r="BW17" s="714">
        <f>IF(OR(AY17="EST",AY17="ADRYS"),ROUND(1.18*BU17,2),ROUND(BU17*1.3224*Form!$D$10,2))</f>
        <v>0</v>
      </c>
      <c r="BX17" s="714">
        <f t="shared" si="9"/>
        <v>0</v>
      </c>
      <c r="BY17" s="719">
        <f t="shared" si="10"/>
        <v>0</v>
      </c>
      <c r="BZ17" s="714">
        <f t="shared" si="11"/>
        <v>7518.28</v>
      </c>
      <c r="CA17" s="720"/>
      <c r="CB17" s="720"/>
      <c r="CC17" s="4"/>
      <c r="CD17" s="4"/>
      <c r="CE17" s="4"/>
      <c r="CF17" s="4"/>
      <c r="CG17" s="4"/>
      <c r="CH17" s="4"/>
      <c r="CI17" s="721"/>
    </row>
    <row r="18" spans="1:89" s="579" customFormat="1" ht="45" x14ac:dyDescent="0.25">
      <c r="A18" s="712">
        <f>SUBTOTAL(2,$B$5:B18)</f>
        <v>14</v>
      </c>
      <c r="B18" s="754">
        <v>14</v>
      </c>
      <c r="C18" s="756" t="s">
        <v>682</v>
      </c>
      <c r="D18" s="755" t="s">
        <v>591</v>
      </c>
      <c r="E18" s="754">
        <v>10</v>
      </c>
      <c r="F18" s="658">
        <f>'Annexure-I'!E15</f>
        <v>10</v>
      </c>
      <c r="G18" s="784" t="str">
        <f>IF('CST-Calculation'!G18=0,"",'CST-Calculation'!G18)</f>
        <v/>
      </c>
      <c r="H18" s="784" t="str">
        <f>IF('CST-Calculation'!H18=0,"",'CST-Calculation'!H18)</f>
        <v/>
      </c>
      <c r="I18" s="714" t="str">
        <f>IF(G18="","",IF(H18="TEC Rejected","",IF(H18="","",ROUND(1.3224*Form!$D$10*H18,2))))</f>
        <v/>
      </c>
      <c r="J18" s="714" t="str">
        <f t="shared" si="0"/>
        <v/>
      </c>
      <c r="K18" s="713" t="str">
        <f>IF(L18="","",IF('CST-Calculation'!$F18="Indg","",IF('CST-Calculation'!$F18="TEC Del","",IF('CST-Calculation'!K18&gt;0,'CST-Calculation'!K18,IF('CST-Calculation'!$F18=0,"",'CST-Calculation'!$F18)))))</f>
        <v/>
      </c>
      <c r="L18" s="714" t="str">
        <f>IF('CST-Calculation'!L18=0,"",'CST-Calculation'!L18)</f>
        <v/>
      </c>
      <c r="M18" s="714" t="str">
        <f>IF(K18="","",IF(L18="TEC Rejected","",IF(L18="","",ROUND(1.3224*Form!$D$10*L18,2))))</f>
        <v/>
      </c>
      <c r="N18" s="714" t="str">
        <f t="shared" si="1"/>
        <v/>
      </c>
      <c r="O18" s="89">
        <f>IF(P18="","",IF('CST-Calculation'!$F18="Indg","",IF('CST-Calculation'!$F18="TEC Del","",IF('CST-Calculation'!O18&gt;0,'CST-Calculation'!O18,IF('CST-Calculation'!$F18=0,"",'CST-Calculation'!$F18)))))</f>
        <v>10</v>
      </c>
      <c r="P18" s="714">
        <f>IF('CST-Calculation'!P18=0,"",'CST-Calculation'!P18)</f>
        <v>6</v>
      </c>
      <c r="Q18" s="714">
        <f>IF(O18="","",IF(P18="TEC Rejected","",IF(P18="","",ROUND(1.3224*Form!$D$10*P18,2))))</f>
        <v>656.81</v>
      </c>
      <c r="R18" s="714">
        <f t="shared" si="2"/>
        <v>6568.1</v>
      </c>
      <c r="S18" s="89">
        <f>IF(T18="","",IF('CST-Calculation'!$F18="Indg","",IF('CST-Calculation'!$F18="TEC Del","",IF('CST-Calculation'!S18&gt;0,'CST-Calculation'!S18,IF('CST-Calculation'!$F18=0,"",'CST-Calculation'!$F18)))))</f>
        <v>10</v>
      </c>
      <c r="T18" s="714">
        <f>IF('CST-Calculation'!T18=0,"",'CST-Calculation'!T18)</f>
        <v>24</v>
      </c>
      <c r="U18" s="714">
        <f>IF(S18="","",IF(T18="TEC Rejected","",IF(T18="","",ROUND(1.3224*Form!$D$10*T18,2))))</f>
        <v>2627.24</v>
      </c>
      <c r="V18" s="714">
        <f t="shared" si="3"/>
        <v>26272.400000000001</v>
      </c>
      <c r="W18" s="713" t="str">
        <f>IF(X18="","",IF('CST-Calculation'!$F18="Indg","",IF('CST-Calculation'!$F18="TEC Del","",IF('CST-Calculation'!W18&gt;0,'CST-Calculation'!W18,IF('CST-Calculation'!$F18=0,"",'CST-Calculation'!$F18)))))</f>
        <v/>
      </c>
      <c r="X18" s="714" t="str">
        <f>IF('CST-Calculation'!X18=0,"",'CST-Calculation'!X18)</f>
        <v/>
      </c>
      <c r="Y18" s="714" t="str">
        <f>IF(W18="","",IF(X18="TEC Rejected","",IF(X18="","",ROUND(1.3224*Form!$D$10*X18,2))))</f>
        <v/>
      </c>
      <c r="Z18" s="714" t="str">
        <f t="shared" si="12"/>
        <v/>
      </c>
      <c r="AA18" s="713">
        <f>IF(AB18="","",IF('CST-Calculation'!$F18="Indg","",IF('CST-Calculation'!$F18="TEC Del","",IF('CST-Calculation'!AA18&gt;0,'CST-Calculation'!AA18,IF('CST-Calculation'!$F18=0,"",'CST-Calculation'!$F18)))))</f>
        <v>10</v>
      </c>
      <c r="AB18" s="714">
        <f>IF('CST-Calculation'!AB18=0,"",'CST-Calculation'!AB18)</f>
        <v>765</v>
      </c>
      <c r="AC18" s="714">
        <f t="shared" si="13"/>
        <v>902.7</v>
      </c>
      <c r="AD18" s="714">
        <f t="shared" si="14"/>
        <v>9027</v>
      </c>
      <c r="AE18" s="713" t="str">
        <f>IF(AF18="","",IF('CST-Calculation'!$F18="Indg","",IF('CST-Calculation'!$F18="TEC Del","",IF('CST-Calculation'!AE18&gt;0,'CST-Calculation'!AE18,IF('CST-Calculation'!$F18=0,"",'CST-Calculation'!$F18)))))</f>
        <v/>
      </c>
      <c r="AF18" s="714" t="str">
        <f>IF('CST-Calculation'!AF18=0,"",'CST-Calculation'!AF18)</f>
        <v/>
      </c>
      <c r="AG18" s="714" t="str">
        <f>IF(AE18="","",IF(AF18="TEC Rejected","",IF(AF18="","",ROUND(1.3224*Form!$D$10*AF18,2))))</f>
        <v/>
      </c>
      <c r="AH18" s="714" t="str">
        <f t="shared" si="15"/>
        <v/>
      </c>
      <c r="AI18" s="713" t="str">
        <f>IF(AJ18="","",IF('CST-Calculation'!$F18="Indg","",IF('CST-Calculation'!$F18="TEC Del","",IF('CST-Calculation'!AI18&gt;0,'CST-Calculation'!AI18,IF('CST-Calculation'!$F18=0,"",'CST-Calculation'!$F18)))))</f>
        <v/>
      </c>
      <c r="AJ18" s="714" t="str">
        <f>IF('CST-Calculation'!AJ18=0,"",'CST-Calculation'!AJ18)</f>
        <v/>
      </c>
      <c r="AK18" s="714" t="str">
        <f t="shared" si="16"/>
        <v/>
      </c>
      <c r="AL18" s="714" t="str">
        <f t="shared" si="17"/>
        <v/>
      </c>
      <c r="AM18" s="713" t="str">
        <f>IF(AN18="","",IF('CST-Calculation'!$F18="Indg","",IF('CST-Calculation'!$F18="TEC Del","",IF('CST-Calculation'!AM18&gt;0,'CST-Calculation'!AM18,IF('CST-Calculation'!$F18=0,"",'CST-Calculation'!$F18)))))</f>
        <v/>
      </c>
      <c r="AN18" s="714" t="str">
        <f>IF('CST-Calculation'!AN18=0,"",'CST-Calculation'!AN18)</f>
        <v/>
      </c>
      <c r="AO18" s="714" t="str">
        <f>IF(AM18="","",IF(AN18="TEC Rejected","",IF(AN18="","",ROUND(1.3224*Form!$D$10*AN18,2))))</f>
        <v/>
      </c>
      <c r="AP18" s="714" t="str">
        <f t="shared" si="18"/>
        <v/>
      </c>
      <c r="AQ18" s="713" t="str">
        <f>IF(AR18="","",IF('CST-Calculation'!$F18="Indg","",IF('CST-Calculation'!$F18="TEC Del","",IF('CST-Calculation'!AQ18&gt;0,'CST-Calculation'!AQ18,IF('CST-Calculation'!$F18=0,"",'CST-Calculation'!$F18)))))</f>
        <v/>
      </c>
      <c r="AR18" s="714" t="str">
        <f>IF('CST-Calculation'!AR18=0,"",'CST-Calculation'!AR18)</f>
        <v/>
      </c>
      <c r="AS18" s="714" t="str">
        <f>IF(AQ18="","",IF(AR18="TEC Rejected","",IF(AR18="","",ROUND(1.3224*Form!$D$10*AR18,2))))</f>
        <v/>
      </c>
      <c r="AT18" s="714" t="str">
        <f t="shared" si="19"/>
        <v/>
      </c>
      <c r="AU18" s="713" t="str">
        <f>IF(AV18="","",IF('CST-Calculation'!$F18="Indg","",IF('CST-Calculation'!$F18="TEC Del","",IF('CST-Calculation'!AU18&gt;0,'CST-Calculation'!AU18,IF('CST-Calculation'!$F18=0,"",'CST-Calculation'!$F18)))))</f>
        <v/>
      </c>
      <c r="AV18" s="714" t="str">
        <f>IF('CST-Calculation'!AV18=0,"",'CST-Calculation'!AV18)</f>
        <v/>
      </c>
      <c r="AW18" s="714" t="str">
        <f>IF(AU18="","",IF(AV18="TEC Rejected","",IF(AV18="","",ROUND(1.3224*Form!$D$10*AV18,2))))</f>
        <v/>
      </c>
      <c r="AX18" s="714" t="str">
        <f t="shared" si="20"/>
        <v/>
      </c>
      <c r="AY18" s="715" t="str">
        <f t="shared" si="21"/>
        <v>GIS</v>
      </c>
      <c r="AZ18" s="716" t="str">
        <f t="shared" si="22"/>
        <v>MULTIPLE</v>
      </c>
      <c r="BA18" s="716" t="str">
        <f t="shared" si="23"/>
        <v>&lt;= 20%</v>
      </c>
      <c r="BB18" s="716">
        <f>IF(AY18="EST",ROUND(BD18/1.18,2),IF(AY18="ADRYS",ROUND(BD18/1.18,2),ROUND(BD18/(1.3224*Form!$D$10),2)))</f>
        <v>6</v>
      </c>
      <c r="BC18" s="784">
        <f>IF(OR(AY18="EST",AY18="ADRYS"),ROUND(BE18/1.18,2),ROUND(BE18/(1.3224*Form!$D$10),2))</f>
        <v>60</v>
      </c>
      <c r="BD18" s="717">
        <f>IF(F18="Indg",0,IF(F18="TEC Del",0,IF(AND(IF(G18="",TRUE,G18&lt;=ROUNDUP(1.2*F18,0)),IF(K18="",TRUE,K18&lt;=ROUNDUP(1.2*F18,0)),IF(O18="",TRUE,O18&lt;=ROUNDUP(1.2*F18,0)),IF(S18="",TRUE,S18&lt;=ROUNDUP(1.2*F18,0)),IF(W18="",TRUE,W18&lt;=ROUNDUP(1.2*F18,0)),IF(AA18="",TRUE,AA18&lt;=ROUNDUP(1.2*F18,0)),IF(AE18="",TRUE,AE18&lt;=ROUNDUP(1.2*F18,0)),IF(AI18="",TRUE,AI18&lt;=ROUNDUP(1.2*F18,0)),IF(AM18="",TRUE,AM18&lt;=ROUNDUP(1.2*F18,0)),IF(AQ18="",TRUE,AQ18&lt;=ROUNDUP(1.2*F18,0)),IF(AU18="",TRUE,AU18&lt;=ROUNDUP(1.2*F18,0))),IF(F18=0,0,(IF(SUM(I18,M18,Q18,U18,Y18,AC18,AG18,AK18,AO18,AS18,AW18)=0,0,SMALL((I18,M18,Q18,U18,Y18,AC18,AG18,AK18,AO18,AS18,AW18),COUNTIF((I18:AW18),0)+1)))),IF(BE18=J18,I18,IF(BE18=N18,M18,IF(BE18=R18,Q18,IF(BE18=V18,U18,IF(BE18=Z18,Y18,IF(BE18=AD18,AC18,IF(BE18=AH18,AG18,IF(BE18=AL18,AK18,IF(BE18=AP18,AO18,IF(BE18=AT18,AS18,IF(BE18=AX18,AW18))))))))))))))</f>
        <v>656.81</v>
      </c>
      <c r="BE18" s="714">
        <f>IF(F18="Indg",0,IF(F18="TEC Del",0,IF(AND(IF(G18="",TRUE,G18&lt;=ROUNDUP(1.2*F18,0)),IF(K18="",TRUE,K18&lt;=ROUNDUP(1.2*F18,0)),IF(O18="",TRUE,O18&lt;=ROUNDUP(1.2*F18,0)),IF(S18="",TRUE,S18&lt;=ROUNDUP(1.2*F18,0)),IF(W18="",TRUE,W18&lt;=ROUNDUP(1.2*F18,0)),IF(AA18="",TRUE,AA18&lt;=ROUNDUP(1.2*F18,0)),IF(AE18="",TRUE,AE18&lt;=ROUNDUP(1.2*F18,0)),IF(AI18="",TRUE,AI18&lt;=ROUNDUP(1.2*F18,0)),IF(AM18="",TRUE,AM18&lt;=ROUNDUP(1.2*F18,0)),IF(AQ18="",TRUE,AQ18&lt;=ROUNDUP(1.2*F18,0)),IF(AU18="",TRUE,AU18&lt;=ROUNDUP(1.2*F18,0))),ROUND(BD18*IF(BD18=I18,G18,IF(BD18=M18,K18,IF(BD18=Q18,O18,IF(BD18=U18,S18,IF(BD18=Y18,W18,IF(BD18=AC18,AA18,IF(BD18=AG18,AE18,IF(BD18=AK18,AI18,IF(BD18=AO18,AM18,IF(BD18=AS18,AQ18,IF(BD18=AW18,AU18))))))))))),2),(IF(SUM(J18,N18,R18,V18,Z18,AD18,AH18,AL18,AP18,AT18,AX18)=0,0,SMALL((J18,N18,R18,V18,Z18,AD18,AH18,AL18,AP18,AT18,AX18),COUNTIF((J18:AX18),0)+1))))))</f>
        <v>6568.1</v>
      </c>
      <c r="BF18" s="714">
        <f>IF('Annexure-I'!L15="",'Annexure-I'!F15,'Annexure-I'!L15)</f>
        <v>6</v>
      </c>
      <c r="BG18" s="714" t="str">
        <f>IF('Annexure-I'!M15="",'Annexure-I'!G15,'Annexure-I'!M15)</f>
        <v>CONTRACT-A14</v>
      </c>
      <c r="BH18" s="764">
        <f>IF('Annexure-I'!N15="",'Annexure-I'!H15,'Annexure-I'!N15)</f>
        <v>43298</v>
      </c>
      <c r="BI18" s="717">
        <f>IF('Annexure-I'!P15="",'Annexure-I'!J15,'Annexure-I'!P15)</f>
        <v>8.09</v>
      </c>
      <c r="BJ18" s="717">
        <f>IF('Annexure-I'!Q15="",'Annexure-I'!K15,'Annexure-I'!Q15)</f>
        <v>885.5983204800001</v>
      </c>
      <c r="BK18" s="714">
        <f>'Annexure-I'!F15</f>
        <v>6</v>
      </c>
      <c r="BL18" s="718" t="str">
        <f>'Annexure-I'!G15</f>
        <v>CONTRACT-A14</v>
      </c>
      <c r="BM18" s="764">
        <f>IF('Annexure-I'!H15=0,"",'Annexure-I'!H15)</f>
        <v>43298</v>
      </c>
      <c r="BN18" s="717">
        <f>'Annexure-I'!J15</f>
        <v>8.09</v>
      </c>
      <c r="BO18" s="717">
        <f>'Annexure-I'!K15</f>
        <v>885.5983204800001</v>
      </c>
      <c r="BP18" s="714">
        <f>IF(OR(AY18="EST",AY18="ADRYS"),ROUND((BC18*1.18)/(1.3224*Form!$D$10),2),BC18)</f>
        <v>60</v>
      </c>
      <c r="BQ18" s="714">
        <f>ROUND(BS18/(1.3224*Form!$D$10),2)</f>
        <v>80.900000000000006</v>
      </c>
      <c r="BR18" s="714">
        <f t="shared" si="24"/>
        <v>6568.1</v>
      </c>
      <c r="BS18" s="714">
        <f t="shared" si="25"/>
        <v>8855.98</v>
      </c>
      <c r="BT18" s="719">
        <f t="shared" si="26"/>
        <v>-0.25834295018733094</v>
      </c>
      <c r="BU18" s="714"/>
      <c r="BV18" s="714">
        <f t="shared" si="8"/>
        <v>0</v>
      </c>
      <c r="BW18" s="714">
        <f>IF(OR(AY18="EST",AY18="ADRYS"),ROUND(1.18*BU18,2),ROUND(BU18*1.3224*Form!$D$10,2))</f>
        <v>0</v>
      </c>
      <c r="BX18" s="714">
        <f t="shared" si="9"/>
        <v>0</v>
      </c>
      <c r="BY18" s="719">
        <f t="shared" si="10"/>
        <v>0</v>
      </c>
      <c r="BZ18" s="714">
        <f t="shared" si="11"/>
        <v>8855.98</v>
      </c>
      <c r="CA18" s="720"/>
      <c r="CB18" s="720"/>
      <c r="CC18" s="4"/>
      <c r="CD18" s="4"/>
      <c r="CE18" s="4"/>
      <c r="CF18" s="4"/>
      <c r="CG18" s="4"/>
      <c r="CH18" s="4"/>
      <c r="CI18" s="721"/>
    </row>
    <row r="19" spans="1:89" s="579" customFormat="1" ht="45" x14ac:dyDescent="0.25">
      <c r="A19" s="712">
        <f>SUBTOTAL(2,$B$5:B19)</f>
        <v>15</v>
      </c>
      <c r="B19" s="754">
        <v>15</v>
      </c>
      <c r="C19" s="755" t="s">
        <v>683</v>
      </c>
      <c r="D19" s="755" t="s">
        <v>591</v>
      </c>
      <c r="E19" s="754">
        <v>20</v>
      </c>
      <c r="F19" s="658">
        <f>'Annexure-I'!E16</f>
        <v>20</v>
      </c>
      <c r="G19" s="784" t="str">
        <f>IF('CST-Calculation'!G19=0,"",'CST-Calculation'!G19)</f>
        <v/>
      </c>
      <c r="H19" s="784" t="str">
        <f>IF('CST-Calculation'!H19=0,"",'CST-Calculation'!H19)</f>
        <v/>
      </c>
      <c r="I19" s="714" t="str">
        <f>IF(G19="","",IF(H19="TEC Rejected","",IF(H19="","",ROUND(1.3224*Form!$D$10*H19,2))))</f>
        <v/>
      </c>
      <c r="J19" s="714" t="str">
        <f t="shared" si="0"/>
        <v/>
      </c>
      <c r="K19" s="713" t="str">
        <f>IF(L19="","",IF('CST-Calculation'!$F19="Indg","",IF('CST-Calculation'!$F19="TEC Del","",IF('CST-Calculation'!K19&gt;0,'CST-Calculation'!K19,IF('CST-Calculation'!$F19=0,"",'CST-Calculation'!$F19)))))</f>
        <v/>
      </c>
      <c r="L19" s="714" t="str">
        <f>IF('CST-Calculation'!L19=0,"",'CST-Calculation'!L19)</f>
        <v/>
      </c>
      <c r="M19" s="714" t="str">
        <f>IF(K19="","",IF(L19="TEC Rejected","",IF(L19="","",ROUND(1.3224*Form!$D$10*L19,2))))</f>
        <v/>
      </c>
      <c r="N19" s="714" t="str">
        <f t="shared" si="1"/>
        <v/>
      </c>
      <c r="O19" s="89">
        <f>IF(P19="","",IF('CST-Calculation'!$F19="Indg","",IF('CST-Calculation'!$F19="TEC Del","",IF('CST-Calculation'!O19&gt;0,'CST-Calculation'!O19,IF('CST-Calculation'!$F19=0,"",'CST-Calculation'!$F19)))))</f>
        <v>20</v>
      </c>
      <c r="P19" s="714">
        <f>IF('CST-Calculation'!P19=0,"",'CST-Calculation'!P19)</f>
        <v>6.6</v>
      </c>
      <c r="Q19" s="714">
        <f>IF(O19="","",IF(P19="TEC Rejected","",IF(P19="","",ROUND(1.3224*Form!$D$10*P19,2))))</f>
        <v>722.49</v>
      </c>
      <c r="R19" s="714">
        <f t="shared" si="2"/>
        <v>14449.8</v>
      </c>
      <c r="S19" s="89">
        <f>IF(T19="","",IF('CST-Calculation'!$F19="Indg","",IF('CST-Calculation'!$F19="TEC Del","",IF('CST-Calculation'!S19&gt;0,'CST-Calculation'!S19,IF('CST-Calculation'!$F19=0,"",'CST-Calculation'!$F19)))))</f>
        <v>20</v>
      </c>
      <c r="T19" s="714">
        <f>IF('CST-Calculation'!T19=0,"",'CST-Calculation'!T19)</f>
        <v>22</v>
      </c>
      <c r="U19" s="714">
        <f>IF(S19="","",IF(T19="TEC Rejected","",IF(T19="","",ROUND(1.3224*Form!$D$10*T19,2))))</f>
        <v>2408.3000000000002</v>
      </c>
      <c r="V19" s="714">
        <f t="shared" si="3"/>
        <v>48166</v>
      </c>
      <c r="W19" s="713" t="str">
        <f>IF(X19="","",IF('CST-Calculation'!$F19="Indg","",IF('CST-Calculation'!$F19="TEC Del","",IF('CST-Calculation'!W19&gt;0,'CST-Calculation'!W19,IF('CST-Calculation'!$F19=0,"",'CST-Calculation'!$F19)))))</f>
        <v/>
      </c>
      <c r="X19" s="714" t="str">
        <f>IF('CST-Calculation'!X19=0,"",'CST-Calculation'!X19)</f>
        <v/>
      </c>
      <c r="Y19" s="714" t="str">
        <f>IF(W19="","",IF(X19="TEC Rejected","",IF(X19="","",ROUND(1.3224*Form!$D$10*X19,2))))</f>
        <v/>
      </c>
      <c r="Z19" s="714" t="str">
        <f t="shared" si="12"/>
        <v/>
      </c>
      <c r="AA19" s="713">
        <f>IF(AB19="","",IF('CST-Calculation'!$F19="Indg","",IF('CST-Calculation'!$F19="TEC Del","",IF('CST-Calculation'!AA19&gt;0,'CST-Calculation'!AA19,IF('CST-Calculation'!$F19=0,"",'CST-Calculation'!$F19)))))</f>
        <v>20</v>
      </c>
      <c r="AB19" s="714">
        <f>IF('CST-Calculation'!AB19=0,"",'CST-Calculation'!AB19)</f>
        <v>765</v>
      </c>
      <c r="AC19" s="714">
        <f t="shared" si="13"/>
        <v>902.7</v>
      </c>
      <c r="AD19" s="714">
        <f t="shared" si="14"/>
        <v>18054</v>
      </c>
      <c r="AE19" s="713" t="str">
        <f>IF(AF19="","",IF('CST-Calculation'!$F19="Indg","",IF('CST-Calculation'!$F19="TEC Del","",IF('CST-Calculation'!AE19&gt;0,'CST-Calculation'!AE19,IF('CST-Calculation'!$F19=0,"",'CST-Calculation'!$F19)))))</f>
        <v/>
      </c>
      <c r="AF19" s="714" t="str">
        <f>IF('CST-Calculation'!AF19=0,"",'CST-Calculation'!AF19)</f>
        <v/>
      </c>
      <c r="AG19" s="714" t="str">
        <f>IF(AE19="","",IF(AF19="TEC Rejected","",IF(AF19="","",ROUND(1.3224*Form!$D$10*AF19,2))))</f>
        <v/>
      </c>
      <c r="AH19" s="714" t="str">
        <f t="shared" si="15"/>
        <v/>
      </c>
      <c r="AI19" s="713" t="str">
        <f>IF(AJ19="","",IF('CST-Calculation'!$F19="Indg","",IF('CST-Calculation'!$F19="TEC Del","",IF('CST-Calculation'!AI19&gt;0,'CST-Calculation'!AI19,IF('CST-Calculation'!$F19=0,"",'CST-Calculation'!$F19)))))</f>
        <v/>
      </c>
      <c r="AJ19" s="714" t="str">
        <f>IF('CST-Calculation'!AJ19=0,"",'CST-Calculation'!AJ19)</f>
        <v/>
      </c>
      <c r="AK19" s="714" t="str">
        <f t="shared" si="16"/>
        <v/>
      </c>
      <c r="AL19" s="714" t="str">
        <f t="shared" si="17"/>
        <v/>
      </c>
      <c r="AM19" s="713" t="str">
        <f>IF(AN19="","",IF('CST-Calculation'!$F19="Indg","",IF('CST-Calculation'!$F19="TEC Del","",IF('CST-Calculation'!AM19&gt;0,'CST-Calculation'!AM19,IF('CST-Calculation'!$F19=0,"",'CST-Calculation'!$F19)))))</f>
        <v/>
      </c>
      <c r="AN19" s="714" t="str">
        <f>IF('CST-Calculation'!AN19=0,"",'CST-Calculation'!AN19)</f>
        <v/>
      </c>
      <c r="AO19" s="714" t="str">
        <f>IF(AM19="","",IF(AN19="TEC Rejected","",IF(AN19="","",ROUND(1.3224*Form!$D$10*AN19,2))))</f>
        <v/>
      </c>
      <c r="AP19" s="714" t="str">
        <f t="shared" si="18"/>
        <v/>
      </c>
      <c r="AQ19" s="713" t="str">
        <f>IF(AR19="","",IF('CST-Calculation'!$F19="Indg","",IF('CST-Calculation'!$F19="TEC Del","",IF('CST-Calculation'!AQ19&gt;0,'CST-Calculation'!AQ19,IF('CST-Calculation'!$F19=0,"",'CST-Calculation'!$F19)))))</f>
        <v/>
      </c>
      <c r="AR19" s="714" t="str">
        <f>IF('CST-Calculation'!AR19=0,"",'CST-Calculation'!AR19)</f>
        <v/>
      </c>
      <c r="AS19" s="714" t="str">
        <f>IF(AQ19="","",IF(AR19="TEC Rejected","",IF(AR19="","",ROUND(1.3224*Form!$D$10*AR19,2))))</f>
        <v/>
      </c>
      <c r="AT19" s="714" t="str">
        <f t="shared" si="19"/>
        <v/>
      </c>
      <c r="AU19" s="713" t="str">
        <f>IF(AV19="","",IF('CST-Calculation'!$F19="Indg","",IF('CST-Calculation'!$F19="TEC Del","",IF('CST-Calculation'!AU19&gt;0,'CST-Calculation'!AU19,IF('CST-Calculation'!$F19=0,"",'CST-Calculation'!$F19)))))</f>
        <v/>
      </c>
      <c r="AV19" s="714" t="str">
        <f>IF('CST-Calculation'!AV19=0,"",'CST-Calculation'!AV19)</f>
        <v/>
      </c>
      <c r="AW19" s="714" t="str">
        <f>IF(AU19="","",IF(AV19="TEC Rejected","",IF(AV19="","",ROUND(1.3224*Form!$D$10*AV19,2))))</f>
        <v/>
      </c>
      <c r="AX19" s="714" t="str">
        <f t="shared" si="20"/>
        <v/>
      </c>
      <c r="AY19" s="715" t="str">
        <f t="shared" si="21"/>
        <v>GIS</v>
      </c>
      <c r="AZ19" s="716" t="str">
        <f t="shared" si="22"/>
        <v>MULTIPLE</v>
      </c>
      <c r="BA19" s="716" t="str">
        <f t="shared" si="23"/>
        <v>&lt;= 20%</v>
      </c>
      <c r="BB19" s="716">
        <f>IF(AY19="EST",ROUND(BD19/1.18,2),IF(AY19="ADRYS",ROUND(BD19/1.18,2),ROUND(BD19/(1.3224*Form!$D$10),2)))</f>
        <v>6.6</v>
      </c>
      <c r="BC19" s="784">
        <f>IF(OR(AY19="EST",AY19="ADRYS"),ROUND(BE19/1.18,2),ROUND(BE19/(1.3224*Form!$D$10),2))</f>
        <v>132</v>
      </c>
      <c r="BD19" s="717">
        <f>IF(F19="Indg",0,IF(F19="TEC Del",0,IF(AND(IF(G19="",TRUE,G19&lt;=ROUNDUP(1.2*F19,0)),IF(K19="",TRUE,K19&lt;=ROUNDUP(1.2*F19,0)),IF(O19="",TRUE,O19&lt;=ROUNDUP(1.2*F19,0)),IF(S19="",TRUE,S19&lt;=ROUNDUP(1.2*F19,0)),IF(W19="",TRUE,W19&lt;=ROUNDUP(1.2*F19,0)),IF(AA19="",TRUE,AA19&lt;=ROUNDUP(1.2*F19,0)),IF(AE19="",TRUE,AE19&lt;=ROUNDUP(1.2*F19,0)),IF(AI19="",TRUE,AI19&lt;=ROUNDUP(1.2*F19,0)),IF(AM19="",TRUE,AM19&lt;=ROUNDUP(1.2*F19,0)),IF(AQ19="",TRUE,AQ19&lt;=ROUNDUP(1.2*F19,0)),IF(AU19="",TRUE,AU19&lt;=ROUNDUP(1.2*F19,0))),IF(F19=0,0,(IF(SUM(I19,M19,Q19,U19,Y19,AC19,AG19,AK19,AO19,AS19,AW19)=0,0,SMALL((I19,M19,Q19,U19,Y19,AC19,AG19,AK19,AO19,AS19,AW19),COUNTIF((I19:AW19),0)+1)))),IF(BE19=J19,I19,IF(BE19=N19,M19,IF(BE19=R19,Q19,IF(BE19=V19,U19,IF(BE19=Z19,Y19,IF(BE19=AD19,AC19,IF(BE19=AH19,AG19,IF(BE19=AL19,AK19,IF(BE19=AP19,AO19,IF(BE19=AT19,AS19,IF(BE19=AX19,AW19))))))))))))))</f>
        <v>722.49</v>
      </c>
      <c r="BE19" s="714">
        <f>IF(F19="Indg",0,IF(F19="TEC Del",0,IF(AND(IF(G19="",TRUE,G19&lt;=ROUNDUP(1.2*F19,0)),IF(K19="",TRUE,K19&lt;=ROUNDUP(1.2*F19,0)),IF(O19="",TRUE,O19&lt;=ROUNDUP(1.2*F19,0)),IF(S19="",TRUE,S19&lt;=ROUNDUP(1.2*F19,0)),IF(W19="",TRUE,W19&lt;=ROUNDUP(1.2*F19,0)),IF(AA19="",TRUE,AA19&lt;=ROUNDUP(1.2*F19,0)),IF(AE19="",TRUE,AE19&lt;=ROUNDUP(1.2*F19,0)),IF(AI19="",TRUE,AI19&lt;=ROUNDUP(1.2*F19,0)),IF(AM19="",TRUE,AM19&lt;=ROUNDUP(1.2*F19,0)),IF(AQ19="",TRUE,AQ19&lt;=ROUNDUP(1.2*F19,0)),IF(AU19="",TRUE,AU19&lt;=ROUNDUP(1.2*F19,0))),ROUND(BD19*IF(BD19=I19,G19,IF(BD19=M19,K19,IF(BD19=Q19,O19,IF(BD19=U19,S19,IF(BD19=Y19,W19,IF(BD19=AC19,AA19,IF(BD19=AG19,AE19,IF(BD19=AK19,AI19,IF(BD19=AO19,AM19,IF(BD19=AS19,AQ19,IF(BD19=AW19,AU19))))))))))),2),(IF(SUM(J19,N19,R19,V19,Z19,AD19,AH19,AL19,AP19,AT19,AX19)=0,0,SMALL((J19,N19,R19,V19,Z19,AD19,AH19,AL19,AP19,AT19,AX19),COUNTIF((J19:AX19),0)+1))))))</f>
        <v>14449.8</v>
      </c>
      <c r="BF19" s="714">
        <f>IF('Annexure-I'!L16="",'Annexure-I'!F16,'Annexure-I'!L16)</f>
        <v>6</v>
      </c>
      <c r="BG19" s="714" t="str">
        <f>IF('Annexure-I'!M16="",'Annexure-I'!G16,'Annexure-I'!M16)</f>
        <v>CONTRACT-A15</v>
      </c>
      <c r="BH19" s="764">
        <f>IF('Annexure-I'!N16="",'Annexure-I'!H16,'Annexure-I'!N16)</f>
        <v>43298</v>
      </c>
      <c r="BI19" s="717">
        <f>IF('Annexure-I'!P16="",'Annexure-I'!J16,'Annexure-I'!P16)</f>
        <v>8.09</v>
      </c>
      <c r="BJ19" s="717">
        <f>IF('Annexure-I'!Q16="",'Annexure-I'!K16,'Annexure-I'!Q16)</f>
        <v>885.5983204800001</v>
      </c>
      <c r="BK19" s="714">
        <f>'Annexure-I'!F16</f>
        <v>6</v>
      </c>
      <c r="BL19" s="718" t="str">
        <f>'Annexure-I'!G16</f>
        <v>CONTRACT-A15</v>
      </c>
      <c r="BM19" s="764">
        <f>IF('Annexure-I'!H16=0,"",'Annexure-I'!H16)</f>
        <v>43298</v>
      </c>
      <c r="BN19" s="717">
        <f>'Annexure-I'!J16</f>
        <v>8.09</v>
      </c>
      <c r="BO19" s="717">
        <f>'Annexure-I'!K16</f>
        <v>885.5983204800001</v>
      </c>
      <c r="BP19" s="714">
        <f>IF(OR(AY19="EST",AY19="ADRYS"),ROUND((BC19*1.18)/(1.3224*Form!$D$10),2),BC19)</f>
        <v>132</v>
      </c>
      <c r="BQ19" s="714">
        <f>ROUND(BS19/(1.3224*Form!$D$10),2)</f>
        <v>161.80000000000001</v>
      </c>
      <c r="BR19" s="714">
        <f t="shared" si="24"/>
        <v>14449.8</v>
      </c>
      <c r="BS19" s="714">
        <f t="shared" si="25"/>
        <v>17711.97</v>
      </c>
      <c r="BT19" s="719">
        <f t="shared" si="26"/>
        <v>-0.18417883499125176</v>
      </c>
      <c r="BU19" s="714"/>
      <c r="BV19" s="714">
        <f t="shared" si="8"/>
        <v>0</v>
      </c>
      <c r="BW19" s="714">
        <f>IF(OR(AY19="EST",AY19="ADRYS"),ROUND(1.18*BU19,2),ROUND(BU19*1.3224*Form!$D$10,2))</f>
        <v>0</v>
      </c>
      <c r="BX19" s="714">
        <f t="shared" si="9"/>
        <v>0</v>
      </c>
      <c r="BY19" s="719">
        <f t="shared" si="10"/>
        <v>0</v>
      </c>
      <c r="BZ19" s="714">
        <f t="shared" si="11"/>
        <v>17711.97</v>
      </c>
      <c r="CA19" s="720"/>
      <c r="CB19" s="720"/>
      <c r="CC19" s="4"/>
      <c r="CD19" s="4"/>
      <c r="CE19" s="4"/>
      <c r="CF19" s="4"/>
      <c r="CG19" s="4"/>
      <c r="CH19" s="4"/>
      <c r="CI19" s="721"/>
    </row>
    <row r="20" spans="1:89" s="579" customFormat="1" ht="45" x14ac:dyDescent="0.25">
      <c r="A20" s="712">
        <f>SUBTOTAL(2,$B$5:B20)</f>
        <v>16</v>
      </c>
      <c r="B20" s="754">
        <v>16</v>
      </c>
      <c r="C20" s="756" t="s">
        <v>684</v>
      </c>
      <c r="D20" s="755" t="s">
        <v>591</v>
      </c>
      <c r="E20" s="754">
        <v>15</v>
      </c>
      <c r="F20" s="658">
        <f>'Annexure-I'!E17</f>
        <v>15</v>
      </c>
      <c r="G20" s="784" t="str">
        <f>IF('CST-Calculation'!G20=0,"",'CST-Calculation'!G20)</f>
        <v/>
      </c>
      <c r="H20" s="784" t="str">
        <f>IF('CST-Calculation'!H20=0,"",'CST-Calculation'!H20)</f>
        <v/>
      </c>
      <c r="I20" s="714" t="str">
        <f>IF(G20="","",IF(H20="TEC Rejected","",IF(H20="","",ROUND(1.3224*Form!$D$10*H20,2))))</f>
        <v/>
      </c>
      <c r="J20" s="714" t="str">
        <f t="shared" si="0"/>
        <v/>
      </c>
      <c r="K20" s="713" t="str">
        <f>IF(L20="","",IF('CST-Calculation'!$F20="Indg","",IF('CST-Calculation'!$F20="TEC Del","",IF('CST-Calculation'!K20&gt;0,'CST-Calculation'!K20,IF('CST-Calculation'!$F20=0,"",'CST-Calculation'!$F20)))))</f>
        <v/>
      </c>
      <c r="L20" s="714" t="str">
        <f>IF('CST-Calculation'!L20=0,"",'CST-Calculation'!L20)</f>
        <v/>
      </c>
      <c r="M20" s="714" t="str">
        <f>IF(K20="","",IF(L20="TEC Rejected","",IF(L20="","",ROUND(1.3224*Form!$D$10*L20,2))))</f>
        <v/>
      </c>
      <c r="N20" s="714" t="str">
        <f t="shared" si="1"/>
        <v/>
      </c>
      <c r="O20" s="89">
        <f>IF(P20="","",IF('CST-Calculation'!$F20="Indg","",IF('CST-Calculation'!$F20="TEC Del","",IF('CST-Calculation'!O20&gt;0,'CST-Calculation'!O20,IF('CST-Calculation'!$F20=0,"",'CST-Calculation'!$F20)))))</f>
        <v>15</v>
      </c>
      <c r="P20" s="714">
        <f>IF('CST-Calculation'!P20=0,"",'CST-Calculation'!P20)</f>
        <v>88</v>
      </c>
      <c r="Q20" s="714">
        <f>IF(O20="","",IF(P20="TEC Rejected","",IF(P20="","",ROUND(1.3224*Form!$D$10*P20,2))))</f>
        <v>9633.2099999999991</v>
      </c>
      <c r="R20" s="714">
        <f t="shared" si="2"/>
        <v>144498.15</v>
      </c>
      <c r="S20" s="89">
        <f>IF(T20="","",IF('CST-Calculation'!$F20="Indg","",IF('CST-Calculation'!$F20="TEC Del","",IF('CST-Calculation'!S20&gt;0,'CST-Calculation'!S20,IF('CST-Calculation'!$F20=0,"",'CST-Calculation'!$F20)))))</f>
        <v>15</v>
      </c>
      <c r="T20" s="714">
        <f>IF('CST-Calculation'!T20=0,"",'CST-Calculation'!T20)</f>
        <v>42</v>
      </c>
      <c r="U20" s="714">
        <f>IF(S20="","",IF(T20="TEC Rejected","",IF(T20="","",ROUND(1.3224*Form!$D$10*T20,2))))</f>
        <v>4597.67</v>
      </c>
      <c r="V20" s="714">
        <f t="shared" si="3"/>
        <v>68965.05</v>
      </c>
      <c r="W20" s="713" t="str">
        <f>IF(X20="","",IF('CST-Calculation'!$F20="Indg","",IF('CST-Calculation'!$F20="TEC Del","",IF('CST-Calculation'!W20&gt;0,'CST-Calculation'!W20,IF('CST-Calculation'!$F20=0,"",'CST-Calculation'!$F20)))))</f>
        <v/>
      </c>
      <c r="X20" s="714" t="str">
        <f>IF('CST-Calculation'!X20=0,"",'CST-Calculation'!X20)</f>
        <v/>
      </c>
      <c r="Y20" s="714" t="str">
        <f>IF(W20="","",IF(X20="TEC Rejected","",IF(X20="","",ROUND(1.3224*Form!$D$10*X20,2))))</f>
        <v/>
      </c>
      <c r="Z20" s="714" t="str">
        <f t="shared" si="12"/>
        <v/>
      </c>
      <c r="AA20" s="713">
        <f>IF(AB20="","",IF('CST-Calculation'!$F20="Indg","",IF('CST-Calculation'!$F20="TEC Del","",IF('CST-Calculation'!AA20&gt;0,'CST-Calculation'!AA20,IF('CST-Calculation'!$F20=0,"",'CST-Calculation'!$F20)))))</f>
        <v>15</v>
      </c>
      <c r="AB20" s="714">
        <f>IF('CST-Calculation'!AB20=0,"",'CST-Calculation'!AB20)</f>
        <v>2265</v>
      </c>
      <c r="AC20" s="714">
        <f t="shared" si="13"/>
        <v>2672.7</v>
      </c>
      <c r="AD20" s="714">
        <f t="shared" si="14"/>
        <v>40090.5</v>
      </c>
      <c r="AE20" s="713" t="str">
        <f>IF(AF20="","",IF('CST-Calculation'!$F20="Indg","",IF('CST-Calculation'!$F20="TEC Del","",IF('CST-Calculation'!AE20&gt;0,'CST-Calculation'!AE20,IF('CST-Calculation'!$F20=0,"",'CST-Calculation'!$F20)))))</f>
        <v/>
      </c>
      <c r="AF20" s="714" t="str">
        <f>IF('CST-Calculation'!AF20=0,"",'CST-Calculation'!AF20)</f>
        <v/>
      </c>
      <c r="AG20" s="714" t="str">
        <f>IF(AE20="","",IF(AF20="TEC Rejected","",IF(AF20="","",ROUND(1.3224*Form!$D$10*AF20,2))))</f>
        <v/>
      </c>
      <c r="AH20" s="714" t="str">
        <f t="shared" si="15"/>
        <v/>
      </c>
      <c r="AI20" s="713" t="str">
        <f>IF(AJ20="","",IF('CST-Calculation'!$F20="Indg","",IF('CST-Calculation'!$F20="TEC Del","",IF('CST-Calculation'!AI20&gt;0,'CST-Calculation'!AI20,IF('CST-Calculation'!$F20=0,"",'CST-Calculation'!$F20)))))</f>
        <v/>
      </c>
      <c r="AJ20" s="714" t="str">
        <f>IF('CST-Calculation'!AJ20=0,"",'CST-Calculation'!AJ20)</f>
        <v/>
      </c>
      <c r="AK20" s="714" t="str">
        <f t="shared" si="16"/>
        <v/>
      </c>
      <c r="AL20" s="714" t="str">
        <f t="shared" si="17"/>
        <v/>
      </c>
      <c r="AM20" s="713" t="str">
        <f>IF(AN20="","",IF('CST-Calculation'!$F20="Indg","",IF('CST-Calculation'!$F20="TEC Del","",IF('CST-Calculation'!AM20&gt;0,'CST-Calculation'!AM20,IF('CST-Calculation'!$F20=0,"",'CST-Calculation'!$F20)))))</f>
        <v/>
      </c>
      <c r="AN20" s="714" t="str">
        <f>IF('CST-Calculation'!AN20=0,"",'CST-Calculation'!AN20)</f>
        <v/>
      </c>
      <c r="AO20" s="714" t="str">
        <f>IF(AM20="","",IF(AN20="TEC Rejected","",IF(AN20="","",ROUND(1.3224*Form!$D$10*AN20,2))))</f>
        <v/>
      </c>
      <c r="AP20" s="714" t="str">
        <f t="shared" si="18"/>
        <v/>
      </c>
      <c r="AQ20" s="713" t="str">
        <f>IF(AR20="","",IF('CST-Calculation'!$F20="Indg","",IF('CST-Calculation'!$F20="TEC Del","",IF('CST-Calculation'!AQ20&gt;0,'CST-Calculation'!AQ20,IF('CST-Calculation'!$F20=0,"",'CST-Calculation'!$F20)))))</f>
        <v/>
      </c>
      <c r="AR20" s="714" t="str">
        <f>IF('CST-Calculation'!AR20=0,"",'CST-Calculation'!AR20)</f>
        <v/>
      </c>
      <c r="AS20" s="714" t="str">
        <f>IF(AQ20="","",IF(AR20="TEC Rejected","",IF(AR20="","",ROUND(1.3224*Form!$D$10*AR20,2))))</f>
        <v/>
      </c>
      <c r="AT20" s="714" t="str">
        <f t="shared" si="19"/>
        <v/>
      </c>
      <c r="AU20" s="713" t="str">
        <f>IF(AV20="","",IF('CST-Calculation'!$F20="Indg","",IF('CST-Calculation'!$F20="TEC Del","",IF('CST-Calculation'!AU20&gt;0,'CST-Calculation'!AU20,IF('CST-Calculation'!$F20=0,"",'CST-Calculation'!$F20)))))</f>
        <v/>
      </c>
      <c r="AV20" s="714" t="str">
        <f>IF('CST-Calculation'!AV20=0,"",'CST-Calculation'!AV20)</f>
        <v/>
      </c>
      <c r="AW20" s="714" t="str">
        <f>IF(AU20="","",IF(AV20="TEC Rejected","",IF(AV20="","",ROUND(1.3224*Form!$D$10*AV20,2))))</f>
        <v/>
      </c>
      <c r="AX20" s="714" t="str">
        <f t="shared" si="20"/>
        <v/>
      </c>
      <c r="AY20" s="715" t="str">
        <f t="shared" si="21"/>
        <v>ADRYS</v>
      </c>
      <c r="AZ20" s="716" t="str">
        <f t="shared" si="22"/>
        <v>MULTIPLE</v>
      </c>
      <c r="BA20" s="716" t="str">
        <f t="shared" si="23"/>
        <v>&lt;= 20%</v>
      </c>
      <c r="BB20" s="716">
        <f>IF(AY20="EST",ROUND(BD20/1.18,2),IF(AY20="ADRYS",ROUND(BD20/1.18,2),ROUND(BD20/(1.3224*Form!$D$10),2)))</f>
        <v>2265</v>
      </c>
      <c r="BC20" s="784">
        <f>IF(OR(AY20="EST",AY20="ADRYS"),ROUND(BE20/1.18,2),ROUND(BE20/(1.3224*Form!$D$10),2))</f>
        <v>33975</v>
      </c>
      <c r="BD20" s="717">
        <f>IF(F20="Indg",0,IF(F20="TEC Del",0,IF(AND(IF(G20="",TRUE,G20&lt;=ROUNDUP(1.2*F20,0)),IF(K20="",TRUE,K20&lt;=ROUNDUP(1.2*F20,0)),IF(O20="",TRUE,O20&lt;=ROUNDUP(1.2*F20,0)),IF(S20="",TRUE,S20&lt;=ROUNDUP(1.2*F20,0)),IF(W20="",TRUE,W20&lt;=ROUNDUP(1.2*F20,0)),IF(AA20="",TRUE,AA20&lt;=ROUNDUP(1.2*F20,0)),IF(AE20="",TRUE,AE20&lt;=ROUNDUP(1.2*F20,0)),IF(AI20="",TRUE,AI20&lt;=ROUNDUP(1.2*F20,0)),IF(AM20="",TRUE,AM20&lt;=ROUNDUP(1.2*F20,0)),IF(AQ20="",TRUE,AQ20&lt;=ROUNDUP(1.2*F20,0)),IF(AU20="",TRUE,AU20&lt;=ROUNDUP(1.2*F20,0))),IF(F20=0,0,(IF(SUM(I20,M20,Q20,U20,Y20,AC20,AG20,AK20,AO20,AS20,AW20)=0,0,SMALL((I20,M20,Q20,U20,Y20,AC20,AG20,AK20,AO20,AS20,AW20),COUNTIF((I20:AW20),0)+1)))),IF(BE20=J20,I20,IF(BE20=N20,M20,IF(BE20=R20,Q20,IF(BE20=V20,U20,IF(BE20=Z20,Y20,IF(BE20=AD20,AC20,IF(BE20=AH20,AG20,IF(BE20=AL20,AK20,IF(BE20=AP20,AO20,IF(BE20=AT20,AS20,IF(BE20=AX20,AW20))))))))))))))</f>
        <v>2672.7</v>
      </c>
      <c r="BE20" s="714">
        <f>IF(F20="Indg",0,IF(F20="TEC Del",0,IF(AND(IF(G20="",TRUE,G20&lt;=ROUNDUP(1.2*F20,0)),IF(K20="",TRUE,K20&lt;=ROUNDUP(1.2*F20,0)),IF(O20="",TRUE,O20&lt;=ROUNDUP(1.2*F20,0)),IF(S20="",TRUE,S20&lt;=ROUNDUP(1.2*F20,0)),IF(W20="",TRUE,W20&lt;=ROUNDUP(1.2*F20,0)),IF(AA20="",TRUE,AA20&lt;=ROUNDUP(1.2*F20,0)),IF(AE20="",TRUE,AE20&lt;=ROUNDUP(1.2*F20,0)),IF(AI20="",TRUE,AI20&lt;=ROUNDUP(1.2*F20,0)),IF(AM20="",TRUE,AM20&lt;=ROUNDUP(1.2*F20,0)),IF(AQ20="",TRUE,AQ20&lt;=ROUNDUP(1.2*F20,0)),IF(AU20="",TRUE,AU20&lt;=ROUNDUP(1.2*F20,0))),ROUND(BD20*IF(BD20=I20,G20,IF(BD20=M20,K20,IF(BD20=Q20,O20,IF(BD20=U20,S20,IF(BD20=Y20,W20,IF(BD20=AC20,AA20,IF(BD20=AG20,AE20,IF(BD20=AK20,AI20,IF(BD20=AO20,AM20,IF(BD20=AS20,AQ20,IF(BD20=AW20,AU20))))))))))),2),(IF(SUM(J20,N20,R20,V20,Z20,AD20,AH20,AL20,AP20,AT20,AX20)=0,0,SMALL((J20,N20,R20,V20,Z20,AD20,AH20,AL20,AP20,AT20,AX20),COUNTIF((J20:AX20),0)+1))))))</f>
        <v>40090.5</v>
      </c>
      <c r="BF20" s="714">
        <f>IF('Annexure-I'!L17="",'Annexure-I'!F17,'Annexure-I'!L17)</f>
        <v>11</v>
      </c>
      <c r="BG20" s="714" t="str">
        <f>IF('Annexure-I'!M17="",'Annexure-I'!G17,'Annexure-I'!M17)</f>
        <v>CONTRACT-A16</v>
      </c>
      <c r="BH20" s="764">
        <f>IF('Annexure-I'!N17="",'Annexure-I'!H17,'Annexure-I'!N17)</f>
        <v>43298</v>
      </c>
      <c r="BI20" s="717">
        <f>IF('Annexure-I'!P17="",'Annexure-I'!J17,'Annexure-I'!P17)</f>
        <v>14.83</v>
      </c>
      <c r="BJ20" s="717">
        <f>IF('Annexure-I'!Q17="",'Annexure-I'!K17,'Annexure-I'!Q17)</f>
        <v>1623.41447376</v>
      </c>
      <c r="BK20" s="714">
        <f>'Annexure-I'!F17</f>
        <v>11</v>
      </c>
      <c r="BL20" s="718" t="str">
        <f>'Annexure-I'!G17</f>
        <v>CONTRACT-A16</v>
      </c>
      <c r="BM20" s="764">
        <f>IF('Annexure-I'!H17=0,"",'Annexure-I'!H17)</f>
        <v>43298</v>
      </c>
      <c r="BN20" s="717">
        <f>'Annexure-I'!J17</f>
        <v>14.83</v>
      </c>
      <c r="BO20" s="717">
        <f>'Annexure-I'!K17</f>
        <v>1623.41447376</v>
      </c>
      <c r="BP20" s="714">
        <f>IF(OR(AY20="EST",AY20="ADRYS"),ROUND((BC20*1.18)/(1.3224*Form!$D$10),2),BC20)</f>
        <v>366.23</v>
      </c>
      <c r="BQ20" s="714">
        <f>ROUND(BS20/(1.3224*Form!$D$10),2)</f>
        <v>222.45</v>
      </c>
      <c r="BR20" s="714">
        <f t="shared" si="24"/>
        <v>40090.5</v>
      </c>
      <c r="BS20" s="714">
        <f t="shared" si="25"/>
        <v>24351.22</v>
      </c>
      <c r="BT20" s="719">
        <f t="shared" si="26"/>
        <v>0.64634461846264779</v>
      </c>
      <c r="BU20" s="714"/>
      <c r="BV20" s="714">
        <f t="shared" si="8"/>
        <v>0</v>
      </c>
      <c r="BW20" s="714">
        <f>IF(OR(AY20="EST",AY20="ADRYS"),ROUND(1.18*BU20,2),ROUND(BU20*1.3224*Form!$D$10,2))</f>
        <v>0</v>
      </c>
      <c r="BX20" s="714">
        <f t="shared" si="9"/>
        <v>0</v>
      </c>
      <c r="BY20" s="719">
        <f t="shared" si="10"/>
        <v>0</v>
      </c>
      <c r="BZ20" s="714">
        <f t="shared" si="11"/>
        <v>24351.22</v>
      </c>
      <c r="CA20" s="720"/>
      <c r="CB20" s="720"/>
      <c r="CC20" s="4"/>
      <c r="CD20" s="4"/>
      <c r="CE20" s="4"/>
      <c r="CF20" s="4"/>
      <c r="CG20" s="4"/>
      <c r="CH20" s="4"/>
      <c r="CI20" s="721"/>
    </row>
    <row r="21" spans="1:89" s="579" customFormat="1" ht="45" x14ac:dyDescent="0.25">
      <c r="A21" s="712">
        <f>SUBTOTAL(2,$B$5:B21)</f>
        <v>17</v>
      </c>
      <c r="B21" s="754">
        <v>17</v>
      </c>
      <c r="C21" s="755" t="s">
        <v>685</v>
      </c>
      <c r="D21" s="755" t="s">
        <v>591</v>
      </c>
      <c r="E21" s="754">
        <v>34</v>
      </c>
      <c r="F21" s="658">
        <f>'Annexure-I'!E18</f>
        <v>34</v>
      </c>
      <c r="G21" s="784" t="str">
        <f>IF('CST-Calculation'!G21=0,"",'CST-Calculation'!G21)</f>
        <v/>
      </c>
      <c r="H21" s="784" t="str">
        <f>IF('CST-Calculation'!H21=0,"",'CST-Calculation'!H21)</f>
        <v/>
      </c>
      <c r="I21" s="714" t="str">
        <f>IF(G21="","",IF(H21="TEC Rejected","",IF(H21="","",ROUND(1.3224*Form!$D$10*H21,2))))</f>
        <v/>
      </c>
      <c r="J21" s="714" t="str">
        <f t="shared" si="0"/>
        <v/>
      </c>
      <c r="K21" s="713" t="str">
        <f>IF(L21="","",IF('CST-Calculation'!$F21="Indg","",IF('CST-Calculation'!$F21="TEC Del","",IF('CST-Calculation'!K21&gt;0,'CST-Calculation'!K21,IF('CST-Calculation'!$F21=0,"",'CST-Calculation'!$F21)))))</f>
        <v/>
      </c>
      <c r="L21" s="714" t="str">
        <f>IF('CST-Calculation'!L21=0,"",'CST-Calculation'!L21)</f>
        <v/>
      </c>
      <c r="M21" s="714" t="str">
        <f>IF(K21="","",IF(L21="TEC Rejected","",IF(L21="","",ROUND(1.3224*Form!$D$10*L21,2))))</f>
        <v/>
      </c>
      <c r="N21" s="714" t="str">
        <f t="shared" si="1"/>
        <v/>
      </c>
      <c r="O21" s="89">
        <f>IF(P21="","",IF('CST-Calculation'!$F21="Indg","",IF('CST-Calculation'!$F21="TEC Del","",IF('CST-Calculation'!O21&gt;0,'CST-Calculation'!O21,IF('CST-Calculation'!$F21=0,"",'CST-Calculation'!$F21)))))</f>
        <v>34</v>
      </c>
      <c r="P21" s="714">
        <f>IF('CST-Calculation'!P21=0,"",'CST-Calculation'!P21)</f>
        <v>15</v>
      </c>
      <c r="Q21" s="714">
        <f>IF(O21="","",IF(P21="TEC Rejected","",IF(P21="","",ROUND(1.3224*Form!$D$10*P21,2))))</f>
        <v>1642.02</v>
      </c>
      <c r="R21" s="714">
        <f t="shared" si="2"/>
        <v>55828.68</v>
      </c>
      <c r="S21" s="89">
        <f>IF(T21="","",IF('CST-Calculation'!$F21="Indg","",IF('CST-Calculation'!$F21="TEC Del","",IF('CST-Calculation'!S21&gt;0,'CST-Calculation'!S21,IF('CST-Calculation'!$F21=0,"",'CST-Calculation'!$F21)))))</f>
        <v>34</v>
      </c>
      <c r="T21" s="714">
        <f>IF('CST-Calculation'!T21=0,"",'CST-Calculation'!T21)</f>
        <v>24</v>
      </c>
      <c r="U21" s="714">
        <f>IF(S21="","",IF(T21="TEC Rejected","",IF(T21="","",ROUND(1.3224*Form!$D$10*T21,2))))</f>
        <v>2627.24</v>
      </c>
      <c r="V21" s="714">
        <f t="shared" si="3"/>
        <v>89326.16</v>
      </c>
      <c r="W21" s="713" t="str">
        <f>IF(X21="","",IF('CST-Calculation'!$F21="Indg","",IF('CST-Calculation'!$F21="TEC Del","",IF('CST-Calculation'!W21&gt;0,'CST-Calculation'!W21,IF('CST-Calculation'!$F21=0,"",'CST-Calculation'!$F21)))))</f>
        <v/>
      </c>
      <c r="X21" s="714" t="str">
        <f>IF('CST-Calculation'!X21=0,"",'CST-Calculation'!X21)</f>
        <v/>
      </c>
      <c r="Y21" s="714" t="str">
        <f>IF(W21="","",IF(X21="TEC Rejected","",IF(X21="","",ROUND(1.3224*Form!$D$10*X21,2))))</f>
        <v/>
      </c>
      <c r="Z21" s="714" t="str">
        <f t="shared" si="12"/>
        <v/>
      </c>
      <c r="AA21" s="713">
        <f>IF(AB21="","",IF('CST-Calculation'!$F21="Indg","",IF('CST-Calculation'!$F21="TEC Del","",IF('CST-Calculation'!AA21&gt;0,'CST-Calculation'!AA21,IF('CST-Calculation'!$F21=0,"",'CST-Calculation'!$F21)))))</f>
        <v>34</v>
      </c>
      <c r="AB21" s="714">
        <f>IF('CST-Calculation'!AB21=0,"",'CST-Calculation'!AB21)</f>
        <v>1215</v>
      </c>
      <c r="AC21" s="714">
        <f t="shared" si="13"/>
        <v>1433.7</v>
      </c>
      <c r="AD21" s="714">
        <f t="shared" si="14"/>
        <v>48745.8</v>
      </c>
      <c r="AE21" s="713" t="str">
        <f>IF(AF21="","",IF('CST-Calculation'!$F21="Indg","",IF('CST-Calculation'!$F21="TEC Del","",IF('CST-Calculation'!AE21&gt;0,'CST-Calculation'!AE21,IF('CST-Calculation'!$F21=0,"",'CST-Calculation'!$F21)))))</f>
        <v/>
      </c>
      <c r="AF21" s="714" t="str">
        <f>IF('CST-Calculation'!AF21=0,"",'CST-Calculation'!AF21)</f>
        <v/>
      </c>
      <c r="AG21" s="714" t="str">
        <f>IF(AE21="","",IF(AF21="TEC Rejected","",IF(AF21="","",ROUND(1.3224*Form!$D$10*AF21,2))))</f>
        <v/>
      </c>
      <c r="AH21" s="714" t="str">
        <f t="shared" si="15"/>
        <v/>
      </c>
      <c r="AI21" s="713" t="str">
        <f>IF(AJ21="","",IF('CST-Calculation'!$F21="Indg","",IF('CST-Calculation'!$F21="TEC Del","",IF('CST-Calculation'!AI21&gt;0,'CST-Calculation'!AI21,IF('CST-Calculation'!$F21=0,"",'CST-Calculation'!$F21)))))</f>
        <v/>
      </c>
      <c r="AJ21" s="714" t="str">
        <f>IF('CST-Calculation'!AJ21=0,"",'CST-Calculation'!AJ21)</f>
        <v/>
      </c>
      <c r="AK21" s="714" t="str">
        <f t="shared" si="16"/>
        <v/>
      </c>
      <c r="AL21" s="714" t="str">
        <f t="shared" si="17"/>
        <v/>
      </c>
      <c r="AM21" s="713" t="str">
        <f>IF(AN21="","",IF('CST-Calculation'!$F21="Indg","",IF('CST-Calculation'!$F21="TEC Del","",IF('CST-Calculation'!AM21&gt;0,'CST-Calculation'!AM21,IF('CST-Calculation'!$F21=0,"",'CST-Calculation'!$F21)))))</f>
        <v/>
      </c>
      <c r="AN21" s="714" t="str">
        <f>IF('CST-Calculation'!AN21=0,"",'CST-Calculation'!AN21)</f>
        <v/>
      </c>
      <c r="AO21" s="714" t="str">
        <f>IF(AM21="","",IF(AN21="TEC Rejected","",IF(AN21="","",ROUND(1.3224*Form!$D$10*AN21,2))))</f>
        <v/>
      </c>
      <c r="AP21" s="714" t="str">
        <f t="shared" si="18"/>
        <v/>
      </c>
      <c r="AQ21" s="713" t="str">
        <f>IF(AR21="","",IF('CST-Calculation'!$F21="Indg","",IF('CST-Calculation'!$F21="TEC Del","",IF('CST-Calculation'!AQ21&gt;0,'CST-Calculation'!AQ21,IF('CST-Calculation'!$F21=0,"",'CST-Calculation'!$F21)))))</f>
        <v/>
      </c>
      <c r="AR21" s="714" t="str">
        <f>IF('CST-Calculation'!AR21=0,"",'CST-Calculation'!AR21)</f>
        <v/>
      </c>
      <c r="AS21" s="714" t="str">
        <f>IF(AQ21="","",IF(AR21="TEC Rejected","",IF(AR21="","",ROUND(1.3224*Form!$D$10*AR21,2))))</f>
        <v/>
      </c>
      <c r="AT21" s="714" t="str">
        <f t="shared" si="19"/>
        <v/>
      </c>
      <c r="AU21" s="713" t="str">
        <f>IF(AV21="","",IF('CST-Calculation'!$F21="Indg","",IF('CST-Calculation'!$F21="TEC Del","",IF('CST-Calculation'!AU21&gt;0,'CST-Calculation'!AU21,IF('CST-Calculation'!$F21=0,"",'CST-Calculation'!$F21)))))</f>
        <v/>
      </c>
      <c r="AV21" s="714" t="str">
        <f>IF('CST-Calculation'!AV21=0,"",'CST-Calculation'!AV21)</f>
        <v/>
      </c>
      <c r="AW21" s="714" t="str">
        <f>IF(AU21="","",IF(AV21="TEC Rejected","",IF(AV21="","",ROUND(1.3224*Form!$D$10*AV21,2))))</f>
        <v/>
      </c>
      <c r="AX21" s="714" t="str">
        <f t="shared" si="20"/>
        <v/>
      </c>
      <c r="AY21" s="715" t="str">
        <f t="shared" si="21"/>
        <v>ADRYS</v>
      </c>
      <c r="AZ21" s="716" t="str">
        <f t="shared" si="22"/>
        <v>MULTIPLE</v>
      </c>
      <c r="BA21" s="716" t="str">
        <f t="shared" si="23"/>
        <v>&lt;= 20%</v>
      </c>
      <c r="BB21" s="716">
        <f>IF(AY21="EST",ROUND(BD21/1.18,2),IF(AY21="ADRYS",ROUND(BD21/1.18,2),ROUND(BD21/(1.3224*Form!$D$10),2)))</f>
        <v>1215</v>
      </c>
      <c r="BC21" s="784">
        <f>IF(OR(AY21="EST",AY21="ADRYS"),ROUND(BE21/1.18,2),ROUND(BE21/(1.3224*Form!$D$10),2))</f>
        <v>41310</v>
      </c>
      <c r="BD21" s="717">
        <f>IF(F21="Indg",0,IF(F21="TEC Del",0,IF(AND(IF(G21="",TRUE,G21&lt;=ROUNDUP(1.2*F21,0)),IF(K21="",TRUE,K21&lt;=ROUNDUP(1.2*F21,0)),IF(O21="",TRUE,O21&lt;=ROUNDUP(1.2*F21,0)),IF(S21="",TRUE,S21&lt;=ROUNDUP(1.2*F21,0)),IF(W21="",TRUE,W21&lt;=ROUNDUP(1.2*F21,0)),IF(AA21="",TRUE,AA21&lt;=ROUNDUP(1.2*F21,0)),IF(AE21="",TRUE,AE21&lt;=ROUNDUP(1.2*F21,0)),IF(AI21="",TRUE,AI21&lt;=ROUNDUP(1.2*F21,0)),IF(AM21="",TRUE,AM21&lt;=ROUNDUP(1.2*F21,0)),IF(AQ21="",TRUE,AQ21&lt;=ROUNDUP(1.2*F21,0)),IF(AU21="",TRUE,AU21&lt;=ROUNDUP(1.2*F21,0))),IF(F21=0,0,(IF(SUM(I21,M21,Q21,U21,Y21,AC21,AG21,AK21,AO21,AS21,AW21)=0,0,SMALL((I21,M21,Q21,U21,Y21,AC21,AG21,AK21,AO21,AS21,AW21),COUNTIF((I21:AW21),0)+1)))),IF(BE21=J21,I21,IF(BE21=N21,M21,IF(BE21=R21,Q21,IF(BE21=V21,U21,IF(BE21=Z21,Y21,IF(BE21=AD21,AC21,IF(BE21=AH21,AG21,IF(BE21=AL21,AK21,IF(BE21=AP21,AO21,IF(BE21=AT21,AS21,IF(BE21=AX21,AW21))))))))))))))</f>
        <v>1433.7</v>
      </c>
      <c r="BE21" s="714">
        <f>IF(F21="Indg",0,IF(F21="TEC Del",0,IF(AND(IF(G21="",TRUE,G21&lt;=ROUNDUP(1.2*F21,0)),IF(K21="",TRUE,K21&lt;=ROUNDUP(1.2*F21,0)),IF(O21="",TRUE,O21&lt;=ROUNDUP(1.2*F21,0)),IF(S21="",TRUE,S21&lt;=ROUNDUP(1.2*F21,0)),IF(W21="",TRUE,W21&lt;=ROUNDUP(1.2*F21,0)),IF(AA21="",TRUE,AA21&lt;=ROUNDUP(1.2*F21,0)),IF(AE21="",TRUE,AE21&lt;=ROUNDUP(1.2*F21,0)),IF(AI21="",TRUE,AI21&lt;=ROUNDUP(1.2*F21,0)),IF(AM21="",TRUE,AM21&lt;=ROUNDUP(1.2*F21,0)),IF(AQ21="",TRUE,AQ21&lt;=ROUNDUP(1.2*F21,0)),IF(AU21="",TRUE,AU21&lt;=ROUNDUP(1.2*F21,0))),ROUND(BD21*IF(BD21=I21,G21,IF(BD21=M21,K21,IF(BD21=Q21,O21,IF(BD21=U21,S21,IF(BD21=Y21,W21,IF(BD21=AC21,AA21,IF(BD21=AG21,AE21,IF(BD21=AK21,AI21,IF(BD21=AO21,AM21,IF(BD21=AS21,AQ21,IF(BD21=AW21,AU21))))))))))),2),(IF(SUM(J21,N21,R21,V21,Z21,AD21,AH21,AL21,AP21,AT21,AX21)=0,0,SMALL((J21,N21,R21,V21,Z21,AD21,AH21,AL21,AP21,AT21,AX21),COUNTIF((J21:AX21),0)+1))))))</f>
        <v>48745.8</v>
      </c>
      <c r="BF21" s="714">
        <f>IF('Annexure-I'!L18="",'Annexure-I'!F18,'Annexure-I'!L18)</f>
        <v>11</v>
      </c>
      <c r="BG21" s="714" t="str">
        <f>IF('Annexure-I'!M18="",'Annexure-I'!G18,'Annexure-I'!M18)</f>
        <v>CONTRACT-A17</v>
      </c>
      <c r="BH21" s="764">
        <f>IF('Annexure-I'!N18="",'Annexure-I'!H18,'Annexure-I'!N18)</f>
        <v>43298</v>
      </c>
      <c r="BI21" s="717">
        <f>IF('Annexure-I'!P18="",'Annexure-I'!J18,'Annexure-I'!P18)</f>
        <v>14.83</v>
      </c>
      <c r="BJ21" s="717">
        <f>IF('Annexure-I'!Q18="",'Annexure-I'!K18,'Annexure-I'!Q18)</f>
        <v>1623.41447376</v>
      </c>
      <c r="BK21" s="714">
        <f>'Annexure-I'!F18</f>
        <v>11</v>
      </c>
      <c r="BL21" s="718" t="str">
        <f>'Annexure-I'!G18</f>
        <v>CONTRACT-A17</v>
      </c>
      <c r="BM21" s="764">
        <f>IF('Annexure-I'!H18=0,"",'Annexure-I'!H18)</f>
        <v>43298</v>
      </c>
      <c r="BN21" s="717">
        <f>'Annexure-I'!J18</f>
        <v>14.83</v>
      </c>
      <c r="BO21" s="717">
        <f>'Annexure-I'!K18</f>
        <v>1623.41447376</v>
      </c>
      <c r="BP21" s="714">
        <f>IF(OR(AY21="EST",AY21="ADRYS"),ROUND((BC21*1.18)/(1.3224*Form!$D$10),2),BC21)</f>
        <v>445.3</v>
      </c>
      <c r="BQ21" s="714">
        <f>ROUND(BS21/(1.3224*Form!$D$10),2)</f>
        <v>504.22</v>
      </c>
      <c r="BR21" s="714">
        <f t="shared" si="24"/>
        <v>48745.8</v>
      </c>
      <c r="BS21" s="714">
        <f t="shared" si="25"/>
        <v>55196.09</v>
      </c>
      <c r="BT21" s="719">
        <f t="shared" si="26"/>
        <v>-0.11686135738962658</v>
      </c>
      <c r="BU21" s="714"/>
      <c r="BV21" s="714">
        <f t="shared" si="8"/>
        <v>0</v>
      </c>
      <c r="BW21" s="714">
        <f>IF(OR(AY21="EST",AY21="ADRYS"),ROUND(1.18*BU21,2),ROUND(BU21*1.3224*Form!$D$10,2))</f>
        <v>0</v>
      </c>
      <c r="BX21" s="714">
        <f t="shared" si="9"/>
        <v>0</v>
      </c>
      <c r="BY21" s="719">
        <f t="shared" si="10"/>
        <v>0</v>
      </c>
      <c r="BZ21" s="714">
        <f t="shared" si="11"/>
        <v>55196.09</v>
      </c>
      <c r="CA21" s="720"/>
      <c r="CB21" s="720"/>
      <c r="CC21" s="4"/>
      <c r="CD21" s="4"/>
      <c r="CE21" s="4"/>
      <c r="CF21" s="4"/>
      <c r="CG21" s="4"/>
      <c r="CH21" s="4"/>
      <c r="CI21" s="721"/>
    </row>
    <row r="22" spans="1:89" s="579" customFormat="1" ht="45" x14ac:dyDescent="0.25">
      <c r="A22" s="712">
        <f>SUBTOTAL(2,$B$5:B22)</f>
        <v>18</v>
      </c>
      <c r="B22" s="754">
        <v>18</v>
      </c>
      <c r="C22" s="756" t="s">
        <v>686</v>
      </c>
      <c r="D22" s="755" t="s">
        <v>591</v>
      </c>
      <c r="E22" s="754">
        <v>11</v>
      </c>
      <c r="F22" s="658">
        <f>'Annexure-I'!E19</f>
        <v>11</v>
      </c>
      <c r="G22" s="784" t="str">
        <f>IF('CST-Calculation'!G22=0,"",'CST-Calculation'!G22)</f>
        <v/>
      </c>
      <c r="H22" s="784" t="str">
        <f>IF('CST-Calculation'!H22=0,"",'CST-Calculation'!H22)</f>
        <v/>
      </c>
      <c r="I22" s="714" t="str">
        <f>IF(G22="","",IF(H22="TEC Rejected","",IF(H22="","",ROUND(1.3224*Form!$D$10*H22,2))))</f>
        <v/>
      </c>
      <c r="J22" s="714" t="str">
        <f t="shared" si="0"/>
        <v/>
      </c>
      <c r="K22" s="713" t="str">
        <f>IF(L22="","",IF('CST-Calculation'!$F22="Indg","",IF('CST-Calculation'!$F22="TEC Del","",IF('CST-Calculation'!K22&gt;0,'CST-Calculation'!K22,IF('CST-Calculation'!$F22=0,"",'CST-Calculation'!$F22)))))</f>
        <v/>
      </c>
      <c r="L22" s="714" t="str">
        <f>IF('CST-Calculation'!L22=0,"",'CST-Calculation'!L22)</f>
        <v/>
      </c>
      <c r="M22" s="714" t="str">
        <f>IF(K22="","",IF(L22="TEC Rejected","",IF(L22="","",ROUND(1.3224*Form!$D$10*L22,2))))</f>
        <v/>
      </c>
      <c r="N22" s="714" t="str">
        <f t="shared" si="1"/>
        <v/>
      </c>
      <c r="O22" s="89" t="str">
        <f>IF(P22="","",IF('CST-Calculation'!$F22="Indg","",IF('CST-Calculation'!$F22="TEC Del","",IF('CST-Calculation'!O22&gt;0,'CST-Calculation'!O22,IF('CST-Calculation'!$F22=0,"",'CST-Calculation'!$F22)))))</f>
        <v/>
      </c>
      <c r="P22" s="714" t="str">
        <f>IF('CST-Calculation'!P22=0,"",'CST-Calculation'!P22)</f>
        <v/>
      </c>
      <c r="Q22" s="714" t="str">
        <f>IF(O22="","",IF(P22="TEC Rejected","",IF(P22="","",ROUND(1.3224*Form!$D$10*P22,2))))</f>
        <v/>
      </c>
      <c r="R22" s="714" t="str">
        <f t="shared" si="2"/>
        <v/>
      </c>
      <c r="S22" s="89" t="str">
        <f>IF(T22="","",IF('CST-Calculation'!$F22="Indg","",IF('CST-Calculation'!$F22="TEC Del","",IF('CST-Calculation'!S22&gt;0,'CST-Calculation'!S22,IF('CST-Calculation'!$F22=0,"",'CST-Calculation'!$F22)))))</f>
        <v/>
      </c>
      <c r="T22" s="714" t="str">
        <f>IF('CST-Calculation'!T22=0,"",'CST-Calculation'!T22)</f>
        <v/>
      </c>
      <c r="U22" s="714" t="str">
        <f>IF(S22="","",IF(T22="TEC Rejected","",IF(T22="","",ROUND(1.3224*Form!$D$10*T22,2))))</f>
        <v/>
      </c>
      <c r="V22" s="714" t="str">
        <f t="shared" si="3"/>
        <v/>
      </c>
      <c r="W22" s="713" t="str">
        <f>IF(X22="","",IF('CST-Calculation'!$F22="Indg","",IF('CST-Calculation'!$F22="TEC Del","",IF('CST-Calculation'!W22&gt;0,'CST-Calculation'!W22,IF('CST-Calculation'!$F22=0,"",'CST-Calculation'!$F22)))))</f>
        <v/>
      </c>
      <c r="X22" s="714" t="str">
        <f>IF('CST-Calculation'!X22=0,"",'CST-Calculation'!X22)</f>
        <v/>
      </c>
      <c r="Y22" s="714" t="str">
        <f>IF(W22="","",IF(X22="TEC Rejected","",IF(X22="","",ROUND(1.3224*Form!$D$10*X22,2))))</f>
        <v/>
      </c>
      <c r="Z22" s="714" t="str">
        <f t="shared" si="12"/>
        <v/>
      </c>
      <c r="AA22" s="713" t="str">
        <f>IF(AB22="","",IF('CST-Calculation'!$F22="Indg","",IF('CST-Calculation'!$F22="TEC Del","",IF('CST-Calculation'!AA22&gt;0,'CST-Calculation'!AA22,IF('CST-Calculation'!$F22=0,"",'CST-Calculation'!$F22)))))</f>
        <v/>
      </c>
      <c r="AB22" s="714" t="str">
        <f>IF('CST-Calculation'!AB22=0,"",'CST-Calculation'!AB22)</f>
        <v/>
      </c>
      <c r="AC22" s="714" t="str">
        <f t="shared" si="13"/>
        <v/>
      </c>
      <c r="AD22" s="714" t="str">
        <f t="shared" si="14"/>
        <v/>
      </c>
      <c r="AE22" s="713" t="str">
        <f>IF(AF22="","",IF('CST-Calculation'!$F22="Indg","",IF('CST-Calculation'!$F22="TEC Del","",IF('CST-Calculation'!AE22&gt;0,'CST-Calculation'!AE22,IF('CST-Calculation'!$F22=0,"",'CST-Calculation'!$F22)))))</f>
        <v/>
      </c>
      <c r="AF22" s="714" t="str">
        <f>IF('CST-Calculation'!AF22=0,"",'CST-Calculation'!AF22)</f>
        <v/>
      </c>
      <c r="AG22" s="714" t="str">
        <f>IF(AE22="","",IF(AF22="TEC Rejected","",IF(AF22="","",ROUND(1.3224*Form!$D$10*AF22,2))))</f>
        <v/>
      </c>
      <c r="AH22" s="714" t="str">
        <f t="shared" si="15"/>
        <v/>
      </c>
      <c r="AI22" s="713" t="str">
        <f>IF(AJ22="","",IF('CST-Calculation'!$F22="Indg","",IF('CST-Calculation'!$F22="TEC Del","",IF('CST-Calculation'!AI22&gt;0,'CST-Calculation'!AI22,IF('CST-Calculation'!$F22=0,"",'CST-Calculation'!$F22)))))</f>
        <v/>
      </c>
      <c r="AJ22" s="714" t="str">
        <f>IF('CST-Calculation'!AJ22=0,"",'CST-Calculation'!AJ22)</f>
        <v/>
      </c>
      <c r="AK22" s="714" t="str">
        <f t="shared" si="16"/>
        <v/>
      </c>
      <c r="AL22" s="714" t="str">
        <f t="shared" si="17"/>
        <v/>
      </c>
      <c r="AM22" s="713" t="str">
        <f>IF(AN22="","",IF('CST-Calculation'!$F22="Indg","",IF('CST-Calculation'!$F22="TEC Del","",IF('CST-Calculation'!AM22&gt;0,'CST-Calculation'!AM22,IF('CST-Calculation'!$F22=0,"",'CST-Calculation'!$F22)))))</f>
        <v/>
      </c>
      <c r="AN22" s="714" t="str">
        <f>IF('CST-Calculation'!AN22=0,"",'CST-Calculation'!AN22)</f>
        <v/>
      </c>
      <c r="AO22" s="714" t="str">
        <f>IF(AM22="","",IF(AN22="TEC Rejected","",IF(AN22="","",ROUND(1.3224*Form!$D$10*AN22,2))))</f>
        <v/>
      </c>
      <c r="AP22" s="714" t="str">
        <f t="shared" si="18"/>
        <v/>
      </c>
      <c r="AQ22" s="713" t="str">
        <f>IF(AR22="","",IF('CST-Calculation'!$F22="Indg","",IF('CST-Calculation'!$F22="TEC Del","",IF('CST-Calculation'!AQ22&gt;0,'CST-Calculation'!AQ22,IF('CST-Calculation'!$F22=0,"",'CST-Calculation'!$F22)))))</f>
        <v/>
      </c>
      <c r="AR22" s="714" t="str">
        <f>IF('CST-Calculation'!AR22=0,"",'CST-Calculation'!AR22)</f>
        <v/>
      </c>
      <c r="AS22" s="714" t="str">
        <f>IF(AQ22="","",IF(AR22="TEC Rejected","",IF(AR22="","",ROUND(1.3224*Form!$D$10*AR22,2))))</f>
        <v/>
      </c>
      <c r="AT22" s="714" t="str">
        <f t="shared" si="19"/>
        <v/>
      </c>
      <c r="AU22" s="713" t="str">
        <f>IF(AV22="","",IF('CST-Calculation'!$F22="Indg","",IF('CST-Calculation'!$F22="TEC Del","",IF('CST-Calculation'!AU22&gt;0,'CST-Calculation'!AU22,IF('CST-Calculation'!$F22=0,"",'CST-Calculation'!$F22)))))</f>
        <v/>
      </c>
      <c r="AV22" s="714" t="str">
        <f>IF('CST-Calculation'!AV22=0,"",'CST-Calculation'!AV22)</f>
        <v/>
      </c>
      <c r="AW22" s="714" t="str">
        <f>IF(AU22="","",IF(AV22="TEC Rejected","",IF(AV22="","",ROUND(1.3224*Form!$D$10*AV22,2))))</f>
        <v/>
      </c>
      <c r="AX22" s="714" t="str">
        <f t="shared" si="20"/>
        <v/>
      </c>
      <c r="AY22" s="715" t="str">
        <f t="shared" si="21"/>
        <v>NO OFFER</v>
      </c>
      <c r="AZ22" s="716" t="str">
        <f t="shared" si="22"/>
        <v>NO OFFER</v>
      </c>
      <c r="BA22" s="716" t="str">
        <f t="shared" si="23"/>
        <v>&lt;= 20%</v>
      </c>
      <c r="BB22" s="716">
        <f>IF(AY22="EST",ROUND(BD22/1.18,2),IF(AY22="ADRYS",ROUND(BD22/1.18,2),ROUND(BD22/(1.3224*Form!$D$10),2)))</f>
        <v>0</v>
      </c>
      <c r="BC22" s="784">
        <f>IF(OR(AY22="EST",AY22="ADRYS"),ROUND(BE22/1.18,2),ROUND(BE22/(1.3224*Form!$D$10),2))</f>
        <v>0</v>
      </c>
      <c r="BD22" s="717">
        <f>IF(F22="Indg",0,IF(F22="TEC Del",0,IF(AND(IF(G22="",TRUE,G22&lt;=ROUNDUP(1.2*F22,0)),IF(K22="",TRUE,K22&lt;=ROUNDUP(1.2*F22,0)),IF(O22="",TRUE,O22&lt;=ROUNDUP(1.2*F22,0)),IF(S22="",TRUE,S22&lt;=ROUNDUP(1.2*F22,0)),IF(W22="",TRUE,W22&lt;=ROUNDUP(1.2*F22,0)),IF(AA22="",TRUE,AA22&lt;=ROUNDUP(1.2*F22,0)),IF(AE22="",TRUE,AE22&lt;=ROUNDUP(1.2*F22,0)),IF(AI22="",TRUE,AI22&lt;=ROUNDUP(1.2*F22,0)),IF(AM22="",TRUE,AM22&lt;=ROUNDUP(1.2*F22,0)),IF(AQ22="",TRUE,AQ22&lt;=ROUNDUP(1.2*F22,0)),IF(AU22="",TRUE,AU22&lt;=ROUNDUP(1.2*F22,0))),IF(F22=0,0,(IF(SUM(I22,M22,Q22,U22,Y22,AC22,AG22,AK22,AO22,AS22,AW22)=0,0,SMALL((I22,M22,Q22,U22,Y22,AC22,AG22,AK22,AO22,AS22,AW22),COUNTIF((I22:AW22),0)+1)))),IF(BE22=J22,I22,IF(BE22=N22,M22,IF(BE22=R22,Q22,IF(BE22=V22,U22,IF(BE22=Z22,Y22,IF(BE22=AD22,AC22,IF(BE22=AH22,AG22,IF(BE22=AL22,AK22,IF(BE22=AP22,AO22,IF(BE22=AT22,AS22,IF(BE22=AX22,AW22))))))))))))))</f>
        <v>0</v>
      </c>
      <c r="BE22" s="714">
        <f>IF(F22="Indg",0,IF(F22="TEC Del",0,IF(AND(IF(G22="",TRUE,G22&lt;=ROUNDUP(1.2*F22,0)),IF(K22="",TRUE,K22&lt;=ROUNDUP(1.2*F22,0)),IF(O22="",TRUE,O22&lt;=ROUNDUP(1.2*F22,0)),IF(S22="",TRUE,S22&lt;=ROUNDUP(1.2*F22,0)),IF(W22="",TRUE,W22&lt;=ROUNDUP(1.2*F22,0)),IF(AA22="",TRUE,AA22&lt;=ROUNDUP(1.2*F22,0)),IF(AE22="",TRUE,AE22&lt;=ROUNDUP(1.2*F22,0)),IF(AI22="",TRUE,AI22&lt;=ROUNDUP(1.2*F22,0)),IF(AM22="",TRUE,AM22&lt;=ROUNDUP(1.2*F22,0)),IF(AQ22="",TRUE,AQ22&lt;=ROUNDUP(1.2*F22,0)),IF(AU22="",TRUE,AU22&lt;=ROUNDUP(1.2*F22,0))),ROUND(BD22*IF(BD22=I22,G22,IF(BD22=M22,K22,IF(BD22=Q22,O22,IF(BD22=U22,S22,IF(BD22=Y22,W22,IF(BD22=AC22,AA22,IF(BD22=AG22,AE22,IF(BD22=AK22,AI22,IF(BD22=AO22,AM22,IF(BD22=AS22,AQ22,IF(BD22=AW22,AU22))))))))))),2),(IF(SUM(J22,N22,R22,V22,Z22,AD22,AH22,AL22,AP22,AT22,AX22)=0,0,SMALL((J22,N22,R22,V22,Z22,AD22,AH22,AL22,AP22,AT22,AX22),COUNTIF((J22:AX22),0)+1))))))</f>
        <v>0</v>
      </c>
      <c r="BF22" s="714">
        <f>IF('Annexure-I'!L19="",'Annexure-I'!F19,'Annexure-I'!L19)</f>
        <v>31</v>
      </c>
      <c r="BG22" s="714" t="str">
        <f>IF('Annexure-I'!M19="",'Annexure-I'!G19,'Annexure-I'!M19)</f>
        <v>CONTRACT-A18</v>
      </c>
      <c r="BH22" s="764">
        <f>IF('Annexure-I'!N19="",'Annexure-I'!H19,'Annexure-I'!N19)</f>
        <v>43298</v>
      </c>
      <c r="BI22" s="717">
        <f>IF('Annexure-I'!P19="",'Annexure-I'!J19,'Annexure-I'!P19)</f>
        <v>41.78</v>
      </c>
      <c r="BJ22" s="717">
        <f>IF('Annexure-I'!Q19="",'Annexure-I'!K19,'Annexure-I'!Q19)</f>
        <v>4573.5844041600003</v>
      </c>
      <c r="BK22" s="714">
        <f>'Annexure-I'!F19</f>
        <v>31</v>
      </c>
      <c r="BL22" s="718" t="str">
        <f>'Annexure-I'!G19</f>
        <v>CONTRACT-A18</v>
      </c>
      <c r="BM22" s="764">
        <f>IF('Annexure-I'!H19=0,"",'Annexure-I'!H19)</f>
        <v>43298</v>
      </c>
      <c r="BN22" s="717">
        <f>'Annexure-I'!J19</f>
        <v>41.78</v>
      </c>
      <c r="BO22" s="717">
        <f>'Annexure-I'!K19</f>
        <v>4573.5844041600003</v>
      </c>
      <c r="BP22" s="714">
        <f>IF(OR(AY22="EST",AY22="ADRYS"),ROUND((BC22*1.18)/(1.3224*Form!$D$10),2),BC22)</f>
        <v>0</v>
      </c>
      <c r="BQ22" s="714">
        <f>ROUND(BS22/(1.3224*Form!$D$10),2)</f>
        <v>0</v>
      </c>
      <c r="BR22" s="714">
        <f t="shared" si="24"/>
        <v>0</v>
      </c>
      <c r="BS22" s="714">
        <f t="shared" si="25"/>
        <v>0</v>
      </c>
      <c r="BT22" s="719">
        <f t="shared" si="26"/>
        <v>0</v>
      </c>
      <c r="BU22" s="714"/>
      <c r="BV22" s="714">
        <f t="shared" si="8"/>
        <v>0</v>
      </c>
      <c r="BW22" s="714">
        <f>IF(OR(AY22="EST",AY22="ADRYS"),ROUND(1.18*BU22,2),ROUND(BU22*1.3224*Form!$D$10,2))</f>
        <v>0</v>
      </c>
      <c r="BX22" s="714">
        <f t="shared" si="9"/>
        <v>0</v>
      </c>
      <c r="BY22" s="719">
        <f t="shared" si="10"/>
        <v>0</v>
      </c>
      <c r="BZ22" s="714">
        <f t="shared" si="11"/>
        <v>50309.43</v>
      </c>
      <c r="CA22" s="720"/>
      <c r="CB22" s="720"/>
      <c r="CC22" s="4"/>
      <c r="CD22" s="4"/>
      <c r="CE22" s="4"/>
      <c r="CF22" s="4"/>
      <c r="CG22" s="4"/>
      <c r="CH22" s="4"/>
      <c r="CI22" s="721"/>
    </row>
    <row r="23" spans="1:89" s="579" customFormat="1" ht="45" x14ac:dyDescent="0.25">
      <c r="A23" s="712">
        <f>SUBTOTAL(2,$B$5:B23)</f>
        <v>19</v>
      </c>
      <c r="B23" s="754">
        <v>19</v>
      </c>
      <c r="C23" s="755" t="s">
        <v>687</v>
      </c>
      <c r="D23" s="755" t="s">
        <v>125</v>
      </c>
      <c r="E23" s="754">
        <v>13</v>
      </c>
      <c r="F23" s="658">
        <f>'Annexure-I'!E20</f>
        <v>13</v>
      </c>
      <c r="G23" s="784" t="str">
        <f>IF('CST-Calculation'!G23=0,"",'CST-Calculation'!G23)</f>
        <v/>
      </c>
      <c r="H23" s="784" t="str">
        <f>IF('CST-Calculation'!H23=0,"",'CST-Calculation'!H23)</f>
        <v/>
      </c>
      <c r="I23" s="714" t="str">
        <f>IF(G23="","",IF(H23="TEC Rejected","",IF(H23="","",ROUND(1.3224*Form!$D$10*H23,2))))</f>
        <v/>
      </c>
      <c r="J23" s="714" t="str">
        <f t="shared" si="0"/>
        <v/>
      </c>
      <c r="K23" s="713" t="str">
        <f>IF(L23="","",IF('CST-Calculation'!$F23="Indg","",IF('CST-Calculation'!$F23="TEC Del","",IF('CST-Calculation'!K23&gt;0,'CST-Calculation'!K23,IF('CST-Calculation'!$F23=0,"",'CST-Calculation'!$F23)))))</f>
        <v/>
      </c>
      <c r="L23" s="714" t="str">
        <f>IF('CST-Calculation'!L23=0,"",'CST-Calculation'!L23)</f>
        <v/>
      </c>
      <c r="M23" s="714" t="str">
        <f>IF(K23="","",IF(L23="TEC Rejected","",IF(L23="","",ROUND(1.3224*Form!$D$10*L23,2))))</f>
        <v/>
      </c>
      <c r="N23" s="714" t="str">
        <f t="shared" si="1"/>
        <v/>
      </c>
      <c r="O23" s="89">
        <f>IF(P23="","",IF('CST-Calculation'!$F23="Indg","",IF('CST-Calculation'!$F23="TEC Del","",IF('CST-Calculation'!O23&gt;0,'CST-Calculation'!O23,IF('CST-Calculation'!$F23=0,"",'CST-Calculation'!$F23)))))</f>
        <v>13</v>
      </c>
      <c r="P23" s="714">
        <f>IF('CST-Calculation'!P23=0,"",'CST-Calculation'!P23)</f>
        <v>450</v>
      </c>
      <c r="Q23" s="714">
        <f>IF(O23="","",IF(P23="TEC Rejected","",IF(P23="","",ROUND(1.3224*Form!$D$10*P23,2))))</f>
        <v>49260.72</v>
      </c>
      <c r="R23" s="714">
        <f t="shared" si="2"/>
        <v>640389.36</v>
      </c>
      <c r="S23" s="89">
        <f>IF(T23="","",IF('CST-Calculation'!$F23="Indg","",IF('CST-Calculation'!$F23="TEC Del","",IF('CST-Calculation'!S23&gt;0,'CST-Calculation'!S23,IF('CST-Calculation'!$F23=0,"",'CST-Calculation'!$F23)))))</f>
        <v>13</v>
      </c>
      <c r="T23" s="714">
        <f>IF('CST-Calculation'!T23=0,"",'CST-Calculation'!T23)</f>
        <v>377</v>
      </c>
      <c r="U23" s="714">
        <f>IF(S23="","",IF(T23="TEC Rejected","",IF(T23="","",ROUND(1.3224*Form!$D$10*T23,2))))</f>
        <v>41269.54</v>
      </c>
      <c r="V23" s="714">
        <f t="shared" si="3"/>
        <v>536504.02</v>
      </c>
      <c r="W23" s="713" t="str">
        <f>IF(X23="","",IF('CST-Calculation'!$F23="Indg","",IF('CST-Calculation'!$F23="TEC Del","",IF('CST-Calculation'!W23&gt;0,'CST-Calculation'!W23,IF('CST-Calculation'!$F23=0,"",'CST-Calculation'!$F23)))))</f>
        <v/>
      </c>
      <c r="X23" s="714" t="str">
        <f>IF('CST-Calculation'!X23=0,"",'CST-Calculation'!X23)</f>
        <v/>
      </c>
      <c r="Y23" s="714" t="str">
        <f>IF(W23="","",IF(X23="TEC Rejected","",IF(X23="","",ROUND(1.3224*Form!$D$10*X23,2))))</f>
        <v/>
      </c>
      <c r="Z23" s="714" t="str">
        <f t="shared" si="12"/>
        <v/>
      </c>
      <c r="AA23" s="713">
        <f>IF(AB23="","",IF('CST-Calculation'!$F23="Indg","",IF('CST-Calculation'!$F23="TEC Del","",IF('CST-Calculation'!AA23&gt;0,'CST-Calculation'!AA23,IF('CST-Calculation'!$F23=0,"",'CST-Calculation'!$F23)))))</f>
        <v>13</v>
      </c>
      <c r="AB23" s="714">
        <f>IF('CST-Calculation'!AB23=0,"",'CST-Calculation'!AB23)</f>
        <v>7365</v>
      </c>
      <c r="AC23" s="714">
        <f t="shared" si="13"/>
        <v>8690.7000000000007</v>
      </c>
      <c r="AD23" s="714">
        <f t="shared" si="14"/>
        <v>112979.1</v>
      </c>
      <c r="AE23" s="713" t="str">
        <f>IF(AF23="","",IF('CST-Calculation'!$F23="Indg","",IF('CST-Calculation'!$F23="TEC Del","",IF('CST-Calculation'!AE23&gt;0,'CST-Calculation'!AE23,IF('CST-Calculation'!$F23=0,"",'CST-Calculation'!$F23)))))</f>
        <v/>
      </c>
      <c r="AF23" s="714" t="str">
        <f>IF('CST-Calculation'!AF23=0,"",'CST-Calculation'!AF23)</f>
        <v/>
      </c>
      <c r="AG23" s="714" t="str">
        <f>IF(AE23="","",IF(AF23="TEC Rejected","",IF(AF23="","",ROUND(1.3224*Form!$D$10*AF23,2))))</f>
        <v/>
      </c>
      <c r="AH23" s="714" t="str">
        <f t="shared" si="15"/>
        <v/>
      </c>
      <c r="AI23" s="713">
        <f>IF(AJ23="","",IF('CST-Calculation'!$F23="Indg","",IF('CST-Calculation'!$F23="TEC Del","",IF('CST-Calculation'!AI23&gt;0,'CST-Calculation'!AI23,IF('CST-Calculation'!$F23=0,"",'CST-Calculation'!$F23)))))</f>
        <v>13</v>
      </c>
      <c r="AJ23" s="714">
        <f>IF('CST-Calculation'!AJ23=0,"",'CST-Calculation'!AJ23)</f>
        <v>20750</v>
      </c>
      <c r="AK23" s="714">
        <f t="shared" si="16"/>
        <v>24485</v>
      </c>
      <c r="AL23" s="714">
        <f t="shared" si="17"/>
        <v>318305</v>
      </c>
      <c r="AM23" s="713" t="str">
        <f>IF(AN23="","",IF('CST-Calculation'!$F23="Indg","",IF('CST-Calculation'!$F23="TEC Del","",IF('CST-Calculation'!AM23&gt;0,'CST-Calculation'!AM23,IF('CST-Calculation'!$F23=0,"",'CST-Calculation'!$F23)))))</f>
        <v/>
      </c>
      <c r="AN23" s="714" t="str">
        <f>IF('CST-Calculation'!AN23=0,"",'CST-Calculation'!AN23)</f>
        <v/>
      </c>
      <c r="AO23" s="714" t="str">
        <f>IF(AM23="","",IF(AN23="TEC Rejected","",IF(AN23="","",ROUND(1.3224*Form!$D$10*AN23,2))))</f>
        <v/>
      </c>
      <c r="AP23" s="714" t="str">
        <f t="shared" si="18"/>
        <v/>
      </c>
      <c r="AQ23" s="713" t="str">
        <f>IF(AR23="","",IF('CST-Calculation'!$F23="Indg","",IF('CST-Calculation'!$F23="TEC Del","",IF('CST-Calculation'!AQ23&gt;0,'CST-Calculation'!AQ23,IF('CST-Calculation'!$F23=0,"",'CST-Calculation'!$F23)))))</f>
        <v/>
      </c>
      <c r="AR23" s="714" t="str">
        <f>IF('CST-Calculation'!AR23=0,"",'CST-Calculation'!AR23)</f>
        <v/>
      </c>
      <c r="AS23" s="714" t="str">
        <f>IF(AQ23="","",IF(AR23="TEC Rejected","",IF(AR23="","",ROUND(1.3224*Form!$D$10*AR23,2))))</f>
        <v/>
      </c>
      <c r="AT23" s="714" t="str">
        <f t="shared" si="19"/>
        <v/>
      </c>
      <c r="AU23" s="713" t="str">
        <f>IF(AV23="","",IF('CST-Calculation'!$F23="Indg","",IF('CST-Calculation'!$F23="TEC Del","",IF('CST-Calculation'!AU23&gt;0,'CST-Calculation'!AU23,IF('CST-Calculation'!$F23=0,"",'CST-Calculation'!$F23)))))</f>
        <v/>
      </c>
      <c r="AV23" s="714" t="str">
        <f>IF('CST-Calculation'!AV23=0,"",'CST-Calculation'!AV23)</f>
        <v/>
      </c>
      <c r="AW23" s="714" t="str">
        <f>IF(AU23="","",IF(AV23="TEC Rejected","",IF(AV23="","",ROUND(1.3224*Form!$D$10*AV23,2))))</f>
        <v/>
      </c>
      <c r="AX23" s="714" t="str">
        <f t="shared" si="20"/>
        <v/>
      </c>
      <c r="AY23" s="715" t="str">
        <f t="shared" si="21"/>
        <v>ADRYS</v>
      </c>
      <c r="AZ23" s="716" t="str">
        <f t="shared" si="22"/>
        <v>MULTIPLE</v>
      </c>
      <c r="BA23" s="716" t="str">
        <f t="shared" si="23"/>
        <v>&lt;= 20%</v>
      </c>
      <c r="BB23" s="716">
        <f>IF(AY23="EST",ROUND(BD23/1.18,2),IF(AY23="ADRYS",ROUND(BD23/1.18,2),ROUND(BD23/(1.3224*Form!$D$10),2)))</f>
        <v>7365</v>
      </c>
      <c r="BC23" s="784">
        <f>IF(OR(AY23="EST",AY23="ADRYS"),ROUND(BE23/1.18,2),ROUND(BE23/(1.3224*Form!$D$10),2))</f>
        <v>95745</v>
      </c>
      <c r="BD23" s="717">
        <f>IF(F23="Indg",0,IF(F23="TEC Del",0,IF(AND(IF(G23="",TRUE,G23&lt;=ROUNDUP(1.2*F23,0)),IF(K23="",TRUE,K23&lt;=ROUNDUP(1.2*F23,0)),IF(O23="",TRUE,O23&lt;=ROUNDUP(1.2*F23,0)),IF(S23="",TRUE,S23&lt;=ROUNDUP(1.2*F23,0)),IF(W23="",TRUE,W23&lt;=ROUNDUP(1.2*F23,0)),IF(AA23="",TRUE,AA23&lt;=ROUNDUP(1.2*F23,0)),IF(AE23="",TRUE,AE23&lt;=ROUNDUP(1.2*F23,0)),IF(AI23="",TRUE,AI23&lt;=ROUNDUP(1.2*F23,0)),IF(AM23="",TRUE,AM23&lt;=ROUNDUP(1.2*F23,0)),IF(AQ23="",TRUE,AQ23&lt;=ROUNDUP(1.2*F23,0)),IF(AU23="",TRUE,AU23&lt;=ROUNDUP(1.2*F23,0))),IF(F23=0,0,(IF(SUM(I23,M23,Q23,U23,Y23,AC23,AG23,AK23,AO23,AS23,AW23)=0,0,SMALL((I23,M23,Q23,U23,Y23,AC23,AG23,AK23,AO23,AS23,AW23),COUNTIF((I23:AW23),0)+1)))),IF(BE23=J23,I23,IF(BE23=N23,M23,IF(BE23=R23,Q23,IF(BE23=V23,U23,IF(BE23=Z23,Y23,IF(BE23=AD23,AC23,IF(BE23=AH23,AG23,IF(BE23=AL23,AK23,IF(BE23=AP23,AO23,IF(BE23=AT23,AS23,IF(BE23=AX23,AW23))))))))))))))</f>
        <v>8690.7000000000007</v>
      </c>
      <c r="BE23" s="714">
        <f>IF(F23="Indg",0,IF(F23="TEC Del",0,IF(AND(IF(G23="",TRUE,G23&lt;=ROUNDUP(1.2*F23,0)),IF(K23="",TRUE,K23&lt;=ROUNDUP(1.2*F23,0)),IF(O23="",TRUE,O23&lt;=ROUNDUP(1.2*F23,0)),IF(S23="",TRUE,S23&lt;=ROUNDUP(1.2*F23,0)),IF(W23="",TRUE,W23&lt;=ROUNDUP(1.2*F23,0)),IF(AA23="",TRUE,AA23&lt;=ROUNDUP(1.2*F23,0)),IF(AE23="",TRUE,AE23&lt;=ROUNDUP(1.2*F23,0)),IF(AI23="",TRUE,AI23&lt;=ROUNDUP(1.2*F23,0)),IF(AM23="",TRUE,AM23&lt;=ROUNDUP(1.2*F23,0)),IF(AQ23="",TRUE,AQ23&lt;=ROUNDUP(1.2*F23,0)),IF(AU23="",TRUE,AU23&lt;=ROUNDUP(1.2*F23,0))),ROUND(BD23*IF(BD23=I23,G23,IF(BD23=M23,K23,IF(BD23=Q23,O23,IF(BD23=U23,S23,IF(BD23=Y23,W23,IF(BD23=AC23,AA23,IF(BD23=AG23,AE23,IF(BD23=AK23,AI23,IF(BD23=AO23,AM23,IF(BD23=AS23,AQ23,IF(BD23=AW23,AU23))))))))))),2),(IF(SUM(J23,N23,R23,V23,Z23,AD23,AH23,AL23,AP23,AT23,AX23)=0,0,SMALL((J23,N23,R23,V23,Z23,AD23,AH23,AL23,AP23,AT23,AX23),COUNTIF((J23:AX23),0)+1))))))</f>
        <v>112979.1</v>
      </c>
      <c r="BF23" s="714">
        <f>IF('Annexure-I'!L20="",'Annexure-I'!F20,'Annexure-I'!L20)</f>
        <v>931.18</v>
      </c>
      <c r="BG23" s="714" t="str">
        <f>IF('Annexure-I'!M20="",'Annexure-I'!G20,'Annexure-I'!M20)</f>
        <v>CONTRACT-A19</v>
      </c>
      <c r="BH23" s="764">
        <f>IF('Annexure-I'!N20="",'Annexure-I'!H20,'Annexure-I'!N20)</f>
        <v>40967</v>
      </c>
      <c r="BI23" s="717">
        <f>IF('Annexure-I'!P20="",'Annexure-I'!J20,'Annexure-I'!P20)</f>
        <v>1706</v>
      </c>
      <c r="BJ23" s="717">
        <f>IF('Annexure-I'!Q20="",'Annexure-I'!K20,'Annexure-I'!Q20)</f>
        <v>186752.87203200001</v>
      </c>
      <c r="BK23" s="714">
        <f>'Annexure-I'!F20</f>
        <v>931.18</v>
      </c>
      <c r="BL23" s="718" t="str">
        <f>'Annexure-I'!G20</f>
        <v>CONTRACT-A19</v>
      </c>
      <c r="BM23" s="764">
        <f>IF('Annexure-I'!H20=0,"",'Annexure-I'!H20)</f>
        <v>40967</v>
      </c>
      <c r="BN23" s="717">
        <f>'Annexure-I'!J20</f>
        <v>1706</v>
      </c>
      <c r="BO23" s="717">
        <f>'Annexure-I'!K20</f>
        <v>186752.87203200001</v>
      </c>
      <c r="BP23" s="714">
        <f>IF(OR(AY23="EST",AY23="ADRYS"),ROUND((BC23*1.18)/(1.3224*Form!$D$10),2),BC23)</f>
        <v>1032.07</v>
      </c>
      <c r="BQ23" s="714">
        <f>ROUND(BS23/(1.3224*Form!$D$10),2)</f>
        <v>22178</v>
      </c>
      <c r="BR23" s="714">
        <f t="shared" si="24"/>
        <v>112979.1</v>
      </c>
      <c r="BS23" s="714">
        <f t="shared" si="25"/>
        <v>2427787.34</v>
      </c>
      <c r="BT23" s="719">
        <f t="shared" si="26"/>
        <v>-0.95346416955943103</v>
      </c>
      <c r="BU23" s="714"/>
      <c r="BV23" s="714">
        <f t="shared" si="8"/>
        <v>0</v>
      </c>
      <c r="BW23" s="714">
        <f>IF(OR(AY23="EST",AY23="ADRYS"),ROUND(1.18*BU23,2),ROUND(BU23*1.3224*Form!$D$10,2))</f>
        <v>0</v>
      </c>
      <c r="BX23" s="714">
        <f t="shared" si="9"/>
        <v>0</v>
      </c>
      <c r="BY23" s="719">
        <f t="shared" si="10"/>
        <v>0</v>
      </c>
      <c r="BZ23" s="714">
        <f t="shared" si="11"/>
        <v>2427787.34</v>
      </c>
      <c r="CA23" s="720"/>
      <c r="CB23" s="720"/>
      <c r="CC23" s="4"/>
      <c r="CD23" s="4"/>
      <c r="CE23" s="4"/>
      <c r="CF23" s="4"/>
      <c r="CG23" s="4"/>
      <c r="CH23" s="4"/>
      <c r="CI23" s="721"/>
    </row>
    <row r="24" spans="1:89" s="579" customFormat="1" ht="45" x14ac:dyDescent="0.25">
      <c r="A24" s="712">
        <f>SUBTOTAL(2,$B$5:B24)</f>
        <v>20</v>
      </c>
      <c r="B24" s="754">
        <v>20</v>
      </c>
      <c r="C24" s="756" t="s">
        <v>688</v>
      </c>
      <c r="D24" s="755" t="s">
        <v>592</v>
      </c>
      <c r="E24" s="754">
        <v>4</v>
      </c>
      <c r="F24" s="658">
        <f>'Annexure-I'!E21</f>
        <v>4</v>
      </c>
      <c r="G24" s="784" t="str">
        <f>IF('CST-Calculation'!G24=0,"",'CST-Calculation'!G24)</f>
        <v/>
      </c>
      <c r="H24" s="784" t="str">
        <f>IF('CST-Calculation'!H24=0,"",'CST-Calculation'!H24)</f>
        <v/>
      </c>
      <c r="I24" s="714" t="str">
        <f>IF(G24="","",IF(H24="TEC Rejected","",IF(H24="","",ROUND(1.3224*Form!$D$10*H24,2))))</f>
        <v/>
      </c>
      <c r="J24" s="714" t="str">
        <f t="shared" si="0"/>
        <v/>
      </c>
      <c r="K24" s="713" t="str">
        <f>IF(L24="","",IF('CST-Calculation'!$F24="Indg","",IF('CST-Calculation'!$F24="TEC Del","",IF('CST-Calculation'!K24&gt;0,'CST-Calculation'!K24,IF('CST-Calculation'!$F24=0,"",'CST-Calculation'!$F24)))))</f>
        <v/>
      </c>
      <c r="L24" s="714" t="str">
        <f>IF('CST-Calculation'!L24=0,"",'CST-Calculation'!L24)</f>
        <v/>
      </c>
      <c r="M24" s="714" t="str">
        <f>IF(K24="","",IF(L24="TEC Rejected","",IF(L24="","",ROUND(1.3224*Form!$D$10*L24,2))))</f>
        <v/>
      </c>
      <c r="N24" s="714" t="str">
        <f t="shared" si="1"/>
        <v/>
      </c>
      <c r="O24" s="89" t="str">
        <f>IF(P24="","",IF('CST-Calculation'!$F24="Indg","",IF('CST-Calculation'!$F24="TEC Del","",IF('CST-Calculation'!O24&gt;0,'CST-Calculation'!O24,IF('CST-Calculation'!$F24=0,"",'CST-Calculation'!$F24)))))</f>
        <v/>
      </c>
      <c r="P24" s="714" t="str">
        <f>IF('CST-Calculation'!P24=0,"",'CST-Calculation'!P24)</f>
        <v/>
      </c>
      <c r="Q24" s="714" t="str">
        <f>IF(O24="","",IF(P24="TEC Rejected","",IF(P24="","",ROUND(1.3224*Form!$D$10*P24,2))))</f>
        <v/>
      </c>
      <c r="R24" s="714" t="str">
        <f t="shared" si="2"/>
        <v/>
      </c>
      <c r="S24" s="89" t="str">
        <f>IF(T24="","",IF('CST-Calculation'!$F24="Indg","",IF('CST-Calculation'!$F24="TEC Del","",IF('CST-Calculation'!S24&gt;0,'CST-Calculation'!S24,IF('CST-Calculation'!$F24=0,"",'CST-Calculation'!$F24)))))</f>
        <v/>
      </c>
      <c r="T24" s="714" t="str">
        <f>IF('CST-Calculation'!T24=0,"",'CST-Calculation'!T24)</f>
        <v/>
      </c>
      <c r="U24" s="714" t="str">
        <f>IF(S24="","",IF(T24="TEC Rejected","",IF(T24="","",ROUND(1.3224*Form!$D$10*T24,2))))</f>
        <v/>
      </c>
      <c r="V24" s="714" t="str">
        <f t="shared" si="3"/>
        <v/>
      </c>
      <c r="W24" s="713" t="str">
        <f>IF(X24="","",IF('CST-Calculation'!$F24="Indg","",IF('CST-Calculation'!$F24="TEC Del","",IF('CST-Calculation'!W24&gt;0,'CST-Calculation'!W24,IF('CST-Calculation'!$F24=0,"",'CST-Calculation'!$F24)))))</f>
        <v/>
      </c>
      <c r="X24" s="714" t="str">
        <f>IF('CST-Calculation'!X24=0,"",'CST-Calculation'!X24)</f>
        <v/>
      </c>
      <c r="Y24" s="714" t="str">
        <f>IF(W24="","",IF(X24="TEC Rejected","",IF(X24="","",ROUND(1.3224*Form!$D$10*X24,2))))</f>
        <v/>
      </c>
      <c r="Z24" s="714" t="str">
        <f t="shared" si="12"/>
        <v/>
      </c>
      <c r="AA24" s="713" t="str">
        <f>IF(AB24="","",IF('CST-Calculation'!$F24="Indg","",IF('CST-Calculation'!$F24="TEC Del","",IF('CST-Calculation'!AA24&gt;0,'CST-Calculation'!AA24,IF('CST-Calculation'!$F24=0,"",'CST-Calculation'!$F24)))))</f>
        <v/>
      </c>
      <c r="AB24" s="714" t="str">
        <f>IF('CST-Calculation'!AB24=0,"",'CST-Calculation'!AB24)</f>
        <v/>
      </c>
      <c r="AC24" s="714" t="str">
        <f t="shared" si="13"/>
        <v/>
      </c>
      <c r="AD24" s="714" t="str">
        <f t="shared" si="14"/>
        <v/>
      </c>
      <c r="AE24" s="713" t="str">
        <f>IF(AF24="","",IF('CST-Calculation'!$F24="Indg","",IF('CST-Calculation'!$F24="TEC Del","",IF('CST-Calculation'!AE24&gt;0,'CST-Calculation'!AE24,IF('CST-Calculation'!$F24=0,"",'CST-Calculation'!$F24)))))</f>
        <v/>
      </c>
      <c r="AF24" s="714" t="str">
        <f>IF('CST-Calculation'!AF24=0,"",'CST-Calculation'!AF24)</f>
        <v/>
      </c>
      <c r="AG24" s="714" t="str">
        <f>IF(AE24="","",IF(AF24="TEC Rejected","",IF(AF24="","",ROUND(1.3224*Form!$D$10*AF24,2))))</f>
        <v/>
      </c>
      <c r="AH24" s="714" t="str">
        <f t="shared" si="15"/>
        <v/>
      </c>
      <c r="AI24" s="713" t="str">
        <f>IF(AJ24="","",IF('CST-Calculation'!$F24="Indg","",IF('CST-Calculation'!$F24="TEC Del","",IF('CST-Calculation'!AI24&gt;0,'CST-Calculation'!AI24,IF('CST-Calculation'!$F24=0,"",'CST-Calculation'!$F24)))))</f>
        <v/>
      </c>
      <c r="AJ24" s="714" t="str">
        <f>IF('CST-Calculation'!AJ24=0,"",'CST-Calculation'!AJ24)</f>
        <v/>
      </c>
      <c r="AK24" s="714" t="str">
        <f t="shared" si="16"/>
        <v/>
      </c>
      <c r="AL24" s="714" t="str">
        <f t="shared" si="17"/>
        <v/>
      </c>
      <c r="AM24" s="713" t="str">
        <f>IF(AN24="","",IF('CST-Calculation'!$F24="Indg","",IF('CST-Calculation'!$F24="TEC Del","",IF('CST-Calculation'!AM24&gt;0,'CST-Calculation'!AM24,IF('CST-Calculation'!$F24=0,"",'CST-Calculation'!$F24)))))</f>
        <v/>
      </c>
      <c r="AN24" s="714" t="str">
        <f>IF('CST-Calculation'!AN24=0,"",'CST-Calculation'!AN24)</f>
        <v/>
      </c>
      <c r="AO24" s="714" t="str">
        <f>IF(AM24="","",IF(AN24="TEC Rejected","",IF(AN24="","",ROUND(1.3224*Form!$D$10*AN24,2))))</f>
        <v/>
      </c>
      <c r="AP24" s="714" t="str">
        <f t="shared" si="18"/>
        <v/>
      </c>
      <c r="AQ24" s="713" t="str">
        <f>IF(AR24="","",IF('CST-Calculation'!$F24="Indg","",IF('CST-Calculation'!$F24="TEC Del","",IF('CST-Calculation'!AQ24&gt;0,'CST-Calculation'!AQ24,IF('CST-Calculation'!$F24=0,"",'CST-Calculation'!$F24)))))</f>
        <v/>
      </c>
      <c r="AR24" s="714" t="str">
        <f>IF('CST-Calculation'!AR24=0,"",'CST-Calculation'!AR24)</f>
        <v/>
      </c>
      <c r="AS24" s="714" t="str">
        <f>IF(AQ24="","",IF(AR24="TEC Rejected","",IF(AR24="","",ROUND(1.3224*Form!$D$10*AR24,2))))</f>
        <v/>
      </c>
      <c r="AT24" s="714" t="str">
        <f t="shared" si="19"/>
        <v/>
      </c>
      <c r="AU24" s="713" t="str">
        <f>IF(AV24="","",IF('CST-Calculation'!$F24="Indg","",IF('CST-Calculation'!$F24="TEC Del","",IF('CST-Calculation'!AU24&gt;0,'CST-Calculation'!AU24,IF('CST-Calculation'!$F24=0,"",'CST-Calculation'!$F24)))))</f>
        <v/>
      </c>
      <c r="AV24" s="714" t="str">
        <f>IF('CST-Calculation'!AV24=0,"",'CST-Calculation'!AV24)</f>
        <v/>
      </c>
      <c r="AW24" s="714" t="str">
        <f>IF(AU24="","",IF(AV24="TEC Rejected","",IF(AV24="","",ROUND(1.3224*Form!$D$10*AV24,2))))</f>
        <v/>
      </c>
      <c r="AX24" s="714" t="str">
        <f t="shared" si="20"/>
        <v/>
      </c>
      <c r="AY24" s="715" t="str">
        <f t="shared" si="21"/>
        <v>NO OFFER</v>
      </c>
      <c r="AZ24" s="716" t="str">
        <f t="shared" si="22"/>
        <v>NO OFFER</v>
      </c>
      <c r="BA24" s="716" t="str">
        <f t="shared" si="23"/>
        <v>&lt;= 20%</v>
      </c>
      <c r="BB24" s="716">
        <f>IF(AY24="EST",ROUND(BD24/1.18,2),IF(AY24="ADRYS",ROUND(BD24/1.18,2),ROUND(BD24/(1.3224*Form!$D$10),2)))</f>
        <v>0</v>
      </c>
      <c r="BC24" s="784">
        <f>IF(OR(AY24="EST",AY24="ADRYS"),ROUND(BE24/1.18,2),ROUND(BE24/(1.3224*Form!$D$10),2))</f>
        <v>0</v>
      </c>
      <c r="BD24" s="717">
        <f>IF(F24="Indg",0,IF(F24="TEC Del",0,IF(AND(IF(G24="",TRUE,G24&lt;=ROUNDUP(1.2*F24,0)),IF(K24="",TRUE,K24&lt;=ROUNDUP(1.2*F24,0)),IF(O24="",TRUE,O24&lt;=ROUNDUP(1.2*F24,0)),IF(S24="",TRUE,S24&lt;=ROUNDUP(1.2*F24,0)),IF(W24="",TRUE,W24&lt;=ROUNDUP(1.2*F24,0)),IF(AA24="",TRUE,AA24&lt;=ROUNDUP(1.2*F24,0)),IF(AE24="",TRUE,AE24&lt;=ROUNDUP(1.2*F24,0)),IF(AI24="",TRUE,AI24&lt;=ROUNDUP(1.2*F24,0)),IF(AM24="",TRUE,AM24&lt;=ROUNDUP(1.2*F24,0)),IF(AQ24="",TRUE,AQ24&lt;=ROUNDUP(1.2*F24,0)),IF(AU24="",TRUE,AU24&lt;=ROUNDUP(1.2*F24,0))),IF(F24=0,0,(IF(SUM(I24,M24,Q24,U24,Y24,AC24,AG24,AK24,AO24,AS24,AW24)=0,0,SMALL((I24,M24,Q24,U24,Y24,AC24,AG24,AK24,AO24,AS24,AW24),COUNTIF((I24:AW24),0)+1)))),IF(BE24=J24,I24,IF(BE24=N24,M24,IF(BE24=R24,Q24,IF(BE24=V24,U24,IF(BE24=Z24,Y24,IF(BE24=AD24,AC24,IF(BE24=AH24,AG24,IF(BE24=AL24,AK24,IF(BE24=AP24,AO24,IF(BE24=AT24,AS24,IF(BE24=AX24,AW24))))))))))))))</f>
        <v>0</v>
      </c>
      <c r="BE24" s="714">
        <f>IF(F24="Indg",0,IF(F24="TEC Del",0,IF(AND(IF(G24="",TRUE,G24&lt;=ROUNDUP(1.2*F24,0)),IF(K24="",TRUE,K24&lt;=ROUNDUP(1.2*F24,0)),IF(O24="",TRUE,O24&lt;=ROUNDUP(1.2*F24,0)),IF(S24="",TRUE,S24&lt;=ROUNDUP(1.2*F24,0)),IF(W24="",TRUE,W24&lt;=ROUNDUP(1.2*F24,0)),IF(AA24="",TRUE,AA24&lt;=ROUNDUP(1.2*F24,0)),IF(AE24="",TRUE,AE24&lt;=ROUNDUP(1.2*F24,0)),IF(AI24="",TRUE,AI24&lt;=ROUNDUP(1.2*F24,0)),IF(AM24="",TRUE,AM24&lt;=ROUNDUP(1.2*F24,0)),IF(AQ24="",TRUE,AQ24&lt;=ROUNDUP(1.2*F24,0)),IF(AU24="",TRUE,AU24&lt;=ROUNDUP(1.2*F24,0))),ROUND(BD24*IF(BD24=I24,G24,IF(BD24=M24,K24,IF(BD24=Q24,O24,IF(BD24=U24,S24,IF(BD24=Y24,W24,IF(BD24=AC24,AA24,IF(BD24=AG24,AE24,IF(BD24=AK24,AI24,IF(BD24=AO24,AM24,IF(BD24=AS24,AQ24,IF(BD24=AW24,AU24))))))))))),2),(IF(SUM(J24,N24,R24,V24,Z24,AD24,AH24,AL24,AP24,AT24,AX24)=0,0,SMALL((J24,N24,R24,V24,Z24,AD24,AH24,AL24,AP24,AT24,AX24),COUNTIF((J24:AX24),0)+1))))))</f>
        <v>0</v>
      </c>
      <c r="BF24" s="714">
        <f>IF('Annexure-I'!L21="",'Annexure-I'!F21,'Annexure-I'!L21)</f>
        <v>35026.51</v>
      </c>
      <c r="BG24" s="714" t="str">
        <f>IF('Annexure-I'!M21="",'Annexure-I'!G21,'Annexure-I'!M21)</f>
        <v>CONTRACT-A20</v>
      </c>
      <c r="BH24" s="764">
        <f>IF('Annexure-I'!N21="",'Annexure-I'!H21,'Annexure-I'!N21)</f>
        <v>41789</v>
      </c>
      <c r="BI24" s="717">
        <f>IF('Annexure-I'!P21="",'Annexure-I'!J21,'Annexure-I'!P21)</f>
        <v>57655.01</v>
      </c>
      <c r="BJ24" s="717">
        <f>IF('Annexure-I'!Q21="",'Annexure-I'!K21,'Annexure-I'!Q21)</f>
        <v>6311394.3168427208</v>
      </c>
      <c r="BK24" s="714">
        <f>'Annexure-I'!F21</f>
        <v>35026.51</v>
      </c>
      <c r="BL24" s="718" t="str">
        <f>'Annexure-I'!G21</f>
        <v>CONTRACT-A20</v>
      </c>
      <c r="BM24" s="764">
        <f>IF('Annexure-I'!H21=0,"",'Annexure-I'!H21)</f>
        <v>41789</v>
      </c>
      <c r="BN24" s="717">
        <f>'Annexure-I'!J21</f>
        <v>57655.01</v>
      </c>
      <c r="BO24" s="717">
        <f>'Annexure-I'!K21</f>
        <v>6311394.3168427208</v>
      </c>
      <c r="BP24" s="714">
        <f>IF(OR(AY24="EST",AY24="ADRYS"),ROUND((BC24*1.18)/(1.3224*Form!$D$10),2),BC24)</f>
        <v>0</v>
      </c>
      <c r="BQ24" s="714">
        <f>ROUND(BS24/(1.3224*Form!$D$10),2)</f>
        <v>0</v>
      </c>
      <c r="BR24" s="714">
        <f t="shared" si="24"/>
        <v>0</v>
      </c>
      <c r="BS24" s="714">
        <f t="shared" si="25"/>
        <v>0</v>
      </c>
      <c r="BT24" s="719">
        <f t="shared" si="26"/>
        <v>0</v>
      </c>
      <c r="BU24" s="714"/>
      <c r="BV24" s="714">
        <f t="shared" si="8"/>
        <v>0</v>
      </c>
      <c r="BW24" s="714">
        <f>IF(OR(AY24="EST",AY24="ADRYS"),ROUND(1.18*BU24,2),ROUND(BU24*1.3224*Form!$D$10,2))</f>
        <v>0</v>
      </c>
      <c r="BX24" s="714">
        <f t="shared" si="9"/>
        <v>0</v>
      </c>
      <c r="BY24" s="719">
        <f t="shared" si="10"/>
        <v>0</v>
      </c>
      <c r="BZ24" s="714">
        <f t="shared" si="11"/>
        <v>25245577.27</v>
      </c>
      <c r="CA24" s="720"/>
      <c r="CB24" s="720"/>
      <c r="CC24" s="4"/>
      <c r="CD24" s="4"/>
      <c r="CE24" s="4"/>
      <c r="CF24" s="4"/>
      <c r="CG24" s="4"/>
      <c r="CH24" s="4"/>
      <c r="CI24" s="721"/>
    </row>
    <row r="25" spans="1:89" s="579" customFormat="1" ht="45" x14ac:dyDescent="0.25">
      <c r="A25" s="712">
        <f>SUBTOTAL(2,$B$5:B25)</f>
        <v>21</v>
      </c>
      <c r="B25" s="754">
        <v>21</v>
      </c>
      <c r="C25" s="755" t="s">
        <v>689</v>
      </c>
      <c r="D25" s="755" t="s">
        <v>593</v>
      </c>
      <c r="E25" s="754">
        <v>9</v>
      </c>
      <c r="F25" s="658">
        <f>'Annexure-I'!E22</f>
        <v>9</v>
      </c>
      <c r="G25" s="784" t="str">
        <f>IF('CST-Calculation'!G25=0,"",'CST-Calculation'!G25)</f>
        <v/>
      </c>
      <c r="H25" s="784" t="str">
        <f>IF('CST-Calculation'!H25=0,"",'CST-Calculation'!H25)</f>
        <v/>
      </c>
      <c r="I25" s="714" t="str">
        <f>IF(G25="","",IF(H25="TEC Rejected","",IF(H25="","",ROUND(1.3224*Form!$D$10*H25,2))))</f>
        <v/>
      </c>
      <c r="J25" s="714" t="str">
        <f t="shared" si="0"/>
        <v/>
      </c>
      <c r="K25" s="713" t="str">
        <f>IF(L25="","",IF('CST-Calculation'!$F25="Indg","",IF('CST-Calculation'!$F25="TEC Del","",IF('CST-Calculation'!K25&gt;0,'CST-Calculation'!K25,IF('CST-Calculation'!$F25=0,"",'CST-Calculation'!$F25)))))</f>
        <v/>
      </c>
      <c r="L25" s="714" t="str">
        <f>IF('CST-Calculation'!L25=0,"",'CST-Calculation'!L25)</f>
        <v/>
      </c>
      <c r="M25" s="714" t="str">
        <f>IF(K25="","",IF(L25="TEC Rejected","",IF(L25="","",ROUND(1.3224*Form!$D$10*L25,2))))</f>
        <v/>
      </c>
      <c r="N25" s="714" t="str">
        <f t="shared" si="1"/>
        <v/>
      </c>
      <c r="O25" s="89" t="str">
        <f>IF(P25="","",IF('CST-Calculation'!$F25="Indg","",IF('CST-Calculation'!$F25="TEC Del","",IF('CST-Calculation'!O25&gt;0,'CST-Calculation'!O25,IF('CST-Calculation'!$F25=0,"",'CST-Calculation'!$F25)))))</f>
        <v/>
      </c>
      <c r="P25" s="714" t="str">
        <f>IF('CST-Calculation'!P25=0,"",'CST-Calculation'!P25)</f>
        <v/>
      </c>
      <c r="Q25" s="714" t="str">
        <f>IF(O25="","",IF(P25="TEC Rejected","",IF(P25="","",ROUND(1.3224*Form!$D$10*P25,2))))</f>
        <v/>
      </c>
      <c r="R25" s="714" t="str">
        <f t="shared" si="2"/>
        <v/>
      </c>
      <c r="S25" s="89" t="str">
        <f>IF(T25="","",IF('CST-Calculation'!$F25="Indg","",IF('CST-Calculation'!$F25="TEC Del","",IF('CST-Calculation'!S25&gt;0,'CST-Calculation'!S25,IF('CST-Calculation'!$F25=0,"",'CST-Calculation'!$F25)))))</f>
        <v/>
      </c>
      <c r="T25" s="714" t="str">
        <f>IF('CST-Calculation'!T25=0,"",'CST-Calculation'!T25)</f>
        <v/>
      </c>
      <c r="U25" s="714" t="str">
        <f>IF(S25="","",IF(T25="TEC Rejected","",IF(T25="","",ROUND(1.3224*Form!$D$10*T25,2))))</f>
        <v/>
      </c>
      <c r="V25" s="714" t="str">
        <f t="shared" si="3"/>
        <v/>
      </c>
      <c r="W25" s="713" t="str">
        <f>IF(X25="","",IF('CST-Calculation'!$F25="Indg","",IF('CST-Calculation'!$F25="TEC Del","",IF('CST-Calculation'!W25&gt;0,'CST-Calculation'!W25,IF('CST-Calculation'!$F25=0,"",'CST-Calculation'!$F25)))))</f>
        <v/>
      </c>
      <c r="X25" s="714" t="str">
        <f>IF('CST-Calculation'!X25=0,"",'CST-Calculation'!X25)</f>
        <v/>
      </c>
      <c r="Y25" s="714" t="str">
        <f>IF(W25="","",IF(X25="TEC Rejected","",IF(X25="","",ROUND(1.3224*Form!$D$10*X25,2))))</f>
        <v/>
      </c>
      <c r="Z25" s="714" t="str">
        <f t="shared" si="12"/>
        <v/>
      </c>
      <c r="AA25" s="713" t="str">
        <f>IF(AB25="","",IF('CST-Calculation'!$F25="Indg","",IF('CST-Calculation'!$F25="TEC Del","",IF('CST-Calculation'!AA25&gt;0,'CST-Calculation'!AA25,IF('CST-Calculation'!$F25=0,"",'CST-Calculation'!$F25)))))</f>
        <v/>
      </c>
      <c r="AB25" s="714" t="str">
        <f>IF('CST-Calculation'!AB25=0,"",'CST-Calculation'!AB25)</f>
        <v/>
      </c>
      <c r="AC25" s="714" t="str">
        <f t="shared" si="13"/>
        <v/>
      </c>
      <c r="AD25" s="714" t="str">
        <f t="shared" si="14"/>
        <v/>
      </c>
      <c r="AE25" s="713" t="str">
        <f>IF(AF25="","",IF('CST-Calculation'!$F25="Indg","",IF('CST-Calculation'!$F25="TEC Del","",IF('CST-Calculation'!AE25&gt;0,'CST-Calculation'!AE25,IF('CST-Calculation'!$F25=0,"",'CST-Calculation'!$F25)))))</f>
        <v/>
      </c>
      <c r="AF25" s="714" t="str">
        <f>IF('CST-Calculation'!AF25=0,"",'CST-Calculation'!AF25)</f>
        <v/>
      </c>
      <c r="AG25" s="714" t="str">
        <f>IF(AE25="","",IF(AF25="TEC Rejected","",IF(AF25="","",ROUND(1.3224*Form!$D$10*AF25,2))))</f>
        <v/>
      </c>
      <c r="AH25" s="714" t="str">
        <f t="shared" si="15"/>
        <v/>
      </c>
      <c r="AI25" s="713" t="str">
        <f>IF(AJ25="","",IF('CST-Calculation'!$F25="Indg","",IF('CST-Calculation'!$F25="TEC Del","",IF('CST-Calculation'!AI25&gt;0,'CST-Calculation'!AI25,IF('CST-Calculation'!$F25=0,"",'CST-Calculation'!$F25)))))</f>
        <v/>
      </c>
      <c r="AJ25" s="714" t="str">
        <f>IF('CST-Calculation'!AJ25=0,"",'CST-Calculation'!AJ25)</f>
        <v/>
      </c>
      <c r="AK25" s="714" t="str">
        <f t="shared" si="16"/>
        <v/>
      </c>
      <c r="AL25" s="714" t="str">
        <f t="shared" si="17"/>
        <v/>
      </c>
      <c r="AM25" s="713" t="str">
        <f>IF(AN25="","",IF('CST-Calculation'!$F25="Indg","",IF('CST-Calculation'!$F25="TEC Del","",IF('CST-Calculation'!AM25&gt;0,'CST-Calculation'!AM25,IF('CST-Calculation'!$F25=0,"",'CST-Calculation'!$F25)))))</f>
        <v/>
      </c>
      <c r="AN25" s="714" t="str">
        <f>IF('CST-Calculation'!AN25=0,"",'CST-Calculation'!AN25)</f>
        <v/>
      </c>
      <c r="AO25" s="714" t="str">
        <f>IF(AM25="","",IF(AN25="TEC Rejected","",IF(AN25="","",ROUND(1.3224*Form!$D$10*AN25,2))))</f>
        <v/>
      </c>
      <c r="AP25" s="714" t="str">
        <f t="shared" si="18"/>
        <v/>
      </c>
      <c r="AQ25" s="713" t="str">
        <f>IF(AR25="","",IF('CST-Calculation'!$F25="Indg","",IF('CST-Calculation'!$F25="TEC Del","",IF('CST-Calculation'!AQ25&gt;0,'CST-Calculation'!AQ25,IF('CST-Calculation'!$F25=0,"",'CST-Calculation'!$F25)))))</f>
        <v/>
      </c>
      <c r="AR25" s="714" t="str">
        <f>IF('CST-Calculation'!AR25=0,"",'CST-Calculation'!AR25)</f>
        <v/>
      </c>
      <c r="AS25" s="714" t="str">
        <f>IF(AQ25="","",IF(AR25="TEC Rejected","",IF(AR25="","",ROUND(1.3224*Form!$D$10*AR25,2))))</f>
        <v/>
      </c>
      <c r="AT25" s="714" t="str">
        <f t="shared" si="19"/>
        <v/>
      </c>
      <c r="AU25" s="713" t="str">
        <f>IF(AV25="","",IF('CST-Calculation'!$F25="Indg","",IF('CST-Calculation'!$F25="TEC Del","",IF('CST-Calculation'!AU25&gt;0,'CST-Calculation'!AU25,IF('CST-Calculation'!$F25=0,"",'CST-Calculation'!$F25)))))</f>
        <v/>
      </c>
      <c r="AV25" s="714" t="str">
        <f>IF('CST-Calculation'!AV25=0,"",'CST-Calculation'!AV25)</f>
        <v/>
      </c>
      <c r="AW25" s="714" t="str">
        <f>IF(AU25="","",IF(AV25="TEC Rejected","",IF(AV25="","",ROUND(1.3224*Form!$D$10*AV25,2))))</f>
        <v/>
      </c>
      <c r="AX25" s="714" t="str">
        <f t="shared" si="20"/>
        <v/>
      </c>
      <c r="AY25" s="715" t="str">
        <f t="shared" si="21"/>
        <v>NO OFFER</v>
      </c>
      <c r="AZ25" s="716" t="str">
        <f t="shared" si="22"/>
        <v>NO OFFER</v>
      </c>
      <c r="BA25" s="716" t="str">
        <f t="shared" si="23"/>
        <v>&lt;= 20%</v>
      </c>
      <c r="BB25" s="716">
        <f>IF(AY25="EST",ROUND(BD25/1.18,2),IF(AY25="ADRYS",ROUND(BD25/1.18,2),ROUND(BD25/(1.3224*Form!$D$10),2)))</f>
        <v>0</v>
      </c>
      <c r="BC25" s="784">
        <f>IF(OR(AY25="EST",AY25="ADRYS"),ROUND(BE25/1.18,2),ROUND(BE25/(1.3224*Form!$D$10),2))</f>
        <v>0</v>
      </c>
      <c r="BD25" s="717">
        <f>IF(F25="Indg",0,IF(F25="TEC Del",0,IF(AND(IF(G25="",TRUE,G25&lt;=ROUNDUP(1.2*F25,0)),IF(K25="",TRUE,K25&lt;=ROUNDUP(1.2*F25,0)),IF(O25="",TRUE,O25&lt;=ROUNDUP(1.2*F25,0)),IF(S25="",TRUE,S25&lt;=ROUNDUP(1.2*F25,0)),IF(W25="",TRUE,W25&lt;=ROUNDUP(1.2*F25,0)),IF(AA25="",TRUE,AA25&lt;=ROUNDUP(1.2*F25,0)),IF(AE25="",TRUE,AE25&lt;=ROUNDUP(1.2*F25,0)),IF(AI25="",TRUE,AI25&lt;=ROUNDUP(1.2*F25,0)),IF(AM25="",TRUE,AM25&lt;=ROUNDUP(1.2*F25,0)),IF(AQ25="",TRUE,AQ25&lt;=ROUNDUP(1.2*F25,0)),IF(AU25="",TRUE,AU25&lt;=ROUNDUP(1.2*F25,0))),IF(F25=0,0,(IF(SUM(I25,M25,Q25,U25,Y25,AC25,AG25,AK25,AO25,AS25,AW25)=0,0,SMALL((I25,M25,Q25,U25,Y25,AC25,AG25,AK25,AO25,AS25,AW25),COUNTIF((I25:AW25),0)+1)))),IF(BE25=J25,I25,IF(BE25=N25,M25,IF(BE25=R25,Q25,IF(BE25=V25,U25,IF(BE25=Z25,Y25,IF(BE25=AD25,AC25,IF(BE25=AH25,AG25,IF(BE25=AL25,AK25,IF(BE25=AP25,AO25,IF(BE25=AT25,AS25,IF(BE25=AX25,AW25))))))))))))))</f>
        <v>0</v>
      </c>
      <c r="BE25" s="714">
        <f>IF(F25="Indg",0,IF(F25="TEC Del",0,IF(AND(IF(G25="",TRUE,G25&lt;=ROUNDUP(1.2*F25,0)),IF(K25="",TRUE,K25&lt;=ROUNDUP(1.2*F25,0)),IF(O25="",TRUE,O25&lt;=ROUNDUP(1.2*F25,0)),IF(S25="",TRUE,S25&lt;=ROUNDUP(1.2*F25,0)),IF(W25="",TRUE,W25&lt;=ROUNDUP(1.2*F25,0)),IF(AA25="",TRUE,AA25&lt;=ROUNDUP(1.2*F25,0)),IF(AE25="",TRUE,AE25&lt;=ROUNDUP(1.2*F25,0)),IF(AI25="",TRUE,AI25&lt;=ROUNDUP(1.2*F25,0)),IF(AM25="",TRUE,AM25&lt;=ROUNDUP(1.2*F25,0)),IF(AQ25="",TRUE,AQ25&lt;=ROUNDUP(1.2*F25,0)),IF(AU25="",TRUE,AU25&lt;=ROUNDUP(1.2*F25,0))),ROUND(BD25*IF(BD25=I25,G25,IF(BD25=M25,K25,IF(BD25=Q25,O25,IF(BD25=U25,S25,IF(BD25=Y25,W25,IF(BD25=AC25,AA25,IF(BD25=AG25,AE25,IF(BD25=AK25,AI25,IF(BD25=AO25,AM25,IF(BD25=AS25,AQ25,IF(BD25=AW25,AU25))))))))))),2),(IF(SUM(J25,N25,R25,V25,Z25,AD25,AH25,AL25,AP25,AT25,AX25)=0,0,SMALL((J25,N25,R25,V25,Z25,AD25,AH25,AL25,AP25,AT25,AX25),COUNTIF((J25:AX25),0)+1))))))</f>
        <v>0</v>
      </c>
      <c r="BF25" s="714">
        <f>IF('Annexure-I'!L22="",'Annexure-I'!F22,'Annexure-I'!L22)</f>
        <v>425.57</v>
      </c>
      <c r="BG25" s="714" t="str">
        <f>IF('Annexure-I'!M22="",'Annexure-I'!G22,'Annexure-I'!M22)</f>
        <v>CONTRACT-A21</v>
      </c>
      <c r="BH25" s="764">
        <f>IF('Annexure-I'!N22="",'Annexure-I'!H22,'Annexure-I'!N22)</f>
        <v>40967</v>
      </c>
      <c r="BI25" s="717">
        <f>IF('Annexure-I'!P22="",'Annexure-I'!J22,'Annexure-I'!P22)</f>
        <v>779.68</v>
      </c>
      <c r="BJ25" s="717">
        <f>IF('Annexure-I'!Q22="",'Annexure-I'!K22,'Annexure-I'!Q22)</f>
        <v>85350.222312960002</v>
      </c>
      <c r="BK25" s="714">
        <f>'Annexure-I'!F22</f>
        <v>425.57</v>
      </c>
      <c r="BL25" s="718" t="str">
        <f>'Annexure-I'!G22</f>
        <v>CONTRACT-A21</v>
      </c>
      <c r="BM25" s="764">
        <f>IF('Annexure-I'!H22=0,"",'Annexure-I'!H22)</f>
        <v>40967</v>
      </c>
      <c r="BN25" s="717">
        <f>'Annexure-I'!J22</f>
        <v>779.68</v>
      </c>
      <c r="BO25" s="717">
        <f>'Annexure-I'!K22</f>
        <v>85350.222312960002</v>
      </c>
      <c r="BP25" s="714">
        <f>IF(OR(AY25="EST",AY25="ADRYS"),ROUND((BC25*1.18)/(1.3224*Form!$D$10),2),BC25)</f>
        <v>0</v>
      </c>
      <c r="BQ25" s="714">
        <f>ROUND(BS25/(1.3224*Form!$D$10),2)</f>
        <v>0</v>
      </c>
      <c r="BR25" s="714">
        <f t="shared" si="24"/>
        <v>0</v>
      </c>
      <c r="BS25" s="714">
        <f t="shared" si="25"/>
        <v>0</v>
      </c>
      <c r="BT25" s="719">
        <f t="shared" si="26"/>
        <v>0</v>
      </c>
      <c r="BU25" s="714"/>
      <c r="BV25" s="714">
        <f t="shared" si="8"/>
        <v>0</v>
      </c>
      <c r="BW25" s="714">
        <f>IF(OR(AY25="EST",AY25="ADRYS"),ROUND(1.18*BU25,2),ROUND(BU25*1.3224*Form!$D$10,2))</f>
        <v>0</v>
      </c>
      <c r="BX25" s="714">
        <f t="shared" si="9"/>
        <v>0</v>
      </c>
      <c r="BY25" s="719">
        <f t="shared" si="10"/>
        <v>0</v>
      </c>
      <c r="BZ25" s="714">
        <f t="shared" si="11"/>
        <v>768152</v>
      </c>
      <c r="CA25" s="720"/>
      <c r="CB25" s="720"/>
      <c r="CC25" s="4"/>
      <c r="CD25" s="4"/>
      <c r="CE25" s="4"/>
      <c r="CF25" s="4"/>
      <c r="CG25" s="4"/>
      <c r="CH25" s="4"/>
      <c r="CI25" s="721"/>
    </row>
    <row r="26" spans="1:89" s="579" customFormat="1" ht="45" x14ac:dyDescent="0.25">
      <c r="A26" s="712">
        <f>SUBTOTAL(2,$B$5:B26)</f>
        <v>22</v>
      </c>
      <c r="B26" s="754">
        <v>22</v>
      </c>
      <c r="C26" s="756" t="s">
        <v>690</v>
      </c>
      <c r="D26" s="755" t="s">
        <v>594</v>
      </c>
      <c r="E26" s="754">
        <v>9</v>
      </c>
      <c r="F26" s="658">
        <f>'Annexure-I'!E23</f>
        <v>9</v>
      </c>
      <c r="G26" s="784" t="str">
        <f>IF('CST-Calculation'!G26=0,"",'CST-Calculation'!G26)</f>
        <v/>
      </c>
      <c r="H26" s="784" t="str">
        <f>IF('CST-Calculation'!H26=0,"",'CST-Calculation'!H26)</f>
        <v/>
      </c>
      <c r="I26" s="714" t="str">
        <f>IF(G26="","",IF(H26="TEC Rejected","",IF(H26="","",ROUND(1.3224*Form!$D$10*H26,2))))</f>
        <v/>
      </c>
      <c r="J26" s="714" t="str">
        <f t="shared" si="0"/>
        <v/>
      </c>
      <c r="K26" s="713" t="str">
        <f>IF(L26="","",IF('CST-Calculation'!$F26="Indg","",IF('CST-Calculation'!$F26="TEC Del","",IF('CST-Calculation'!K26&gt;0,'CST-Calculation'!K26,IF('CST-Calculation'!$F26=0,"",'CST-Calculation'!$F26)))))</f>
        <v/>
      </c>
      <c r="L26" s="714" t="str">
        <f>IF('CST-Calculation'!L26=0,"",'CST-Calculation'!L26)</f>
        <v/>
      </c>
      <c r="M26" s="714" t="str">
        <f>IF(K26="","",IF(L26="TEC Rejected","",IF(L26="","",ROUND(1.3224*Form!$D$10*L26,2))))</f>
        <v/>
      </c>
      <c r="N26" s="714" t="str">
        <f t="shared" si="1"/>
        <v/>
      </c>
      <c r="O26" s="89" t="str">
        <f>IF(P26="","",IF('CST-Calculation'!$F26="Indg","",IF('CST-Calculation'!$F26="TEC Del","",IF('CST-Calculation'!O26&gt;0,'CST-Calculation'!O26,IF('CST-Calculation'!$F26=0,"",'CST-Calculation'!$F26)))))</f>
        <v/>
      </c>
      <c r="P26" s="714" t="str">
        <f>IF('CST-Calculation'!P26=0,"",'CST-Calculation'!P26)</f>
        <v/>
      </c>
      <c r="Q26" s="714" t="str">
        <f>IF(O26="","",IF(P26="TEC Rejected","",IF(P26="","",ROUND(1.3224*Form!$D$10*P26,2))))</f>
        <v/>
      </c>
      <c r="R26" s="714" t="str">
        <f t="shared" si="2"/>
        <v/>
      </c>
      <c r="S26" s="89" t="str">
        <f>IF(T26="","",IF('CST-Calculation'!$F26="Indg","",IF('CST-Calculation'!$F26="TEC Del","",IF('CST-Calculation'!S26&gt;0,'CST-Calculation'!S26,IF('CST-Calculation'!$F26=0,"",'CST-Calculation'!$F26)))))</f>
        <v/>
      </c>
      <c r="T26" s="714" t="str">
        <f>IF('CST-Calculation'!T26=0,"",'CST-Calculation'!T26)</f>
        <v/>
      </c>
      <c r="U26" s="714" t="str">
        <f>IF(S26="","",IF(T26="TEC Rejected","",IF(T26="","",ROUND(1.3224*Form!$D$10*T26,2))))</f>
        <v/>
      </c>
      <c r="V26" s="714" t="str">
        <f t="shared" si="3"/>
        <v/>
      </c>
      <c r="W26" s="713" t="str">
        <f>IF(X26="","",IF('CST-Calculation'!$F26="Indg","",IF('CST-Calculation'!$F26="TEC Del","",IF('CST-Calculation'!W26&gt;0,'CST-Calculation'!W26,IF('CST-Calculation'!$F26=0,"",'CST-Calculation'!$F26)))))</f>
        <v/>
      </c>
      <c r="X26" s="714" t="str">
        <f>IF('CST-Calculation'!X26=0,"",'CST-Calculation'!X26)</f>
        <v/>
      </c>
      <c r="Y26" s="714" t="str">
        <f>IF(W26="","",IF(X26="TEC Rejected","",IF(X26="","",ROUND(1.3224*Form!$D$10*X26,2))))</f>
        <v/>
      </c>
      <c r="Z26" s="714" t="str">
        <f t="shared" si="12"/>
        <v/>
      </c>
      <c r="AA26" s="713" t="str">
        <f>IF(AB26="","",IF('CST-Calculation'!$F26="Indg","",IF('CST-Calculation'!$F26="TEC Del","",IF('CST-Calculation'!AA26&gt;0,'CST-Calculation'!AA26,IF('CST-Calculation'!$F26=0,"",'CST-Calculation'!$F26)))))</f>
        <v/>
      </c>
      <c r="AB26" s="714" t="str">
        <f>IF('CST-Calculation'!AB26=0,"",'CST-Calculation'!AB26)</f>
        <v/>
      </c>
      <c r="AC26" s="714" t="str">
        <f t="shared" si="13"/>
        <v/>
      </c>
      <c r="AD26" s="714" t="str">
        <f t="shared" si="14"/>
        <v/>
      </c>
      <c r="AE26" s="713" t="str">
        <f>IF(AF26="","",IF('CST-Calculation'!$F26="Indg","",IF('CST-Calculation'!$F26="TEC Del","",IF('CST-Calculation'!AE26&gt;0,'CST-Calculation'!AE26,IF('CST-Calculation'!$F26=0,"",'CST-Calculation'!$F26)))))</f>
        <v/>
      </c>
      <c r="AF26" s="714" t="str">
        <f>IF('CST-Calculation'!AF26=0,"",'CST-Calculation'!AF26)</f>
        <v/>
      </c>
      <c r="AG26" s="714" t="str">
        <f>IF(AE26="","",IF(AF26="TEC Rejected","",IF(AF26="","",ROUND(1.3224*Form!$D$10*AF26,2))))</f>
        <v/>
      </c>
      <c r="AH26" s="714" t="str">
        <f t="shared" si="15"/>
        <v/>
      </c>
      <c r="AI26" s="713" t="str">
        <f>IF(AJ26="","",IF('CST-Calculation'!$F26="Indg","",IF('CST-Calculation'!$F26="TEC Del","",IF('CST-Calculation'!AI26&gt;0,'CST-Calculation'!AI26,IF('CST-Calculation'!$F26=0,"",'CST-Calculation'!$F26)))))</f>
        <v/>
      </c>
      <c r="AJ26" s="714" t="str">
        <f>IF('CST-Calculation'!AJ26=0,"",'CST-Calculation'!AJ26)</f>
        <v/>
      </c>
      <c r="AK26" s="714" t="str">
        <f t="shared" si="16"/>
        <v/>
      </c>
      <c r="AL26" s="714" t="str">
        <f t="shared" si="17"/>
        <v/>
      </c>
      <c r="AM26" s="713" t="str">
        <f>IF(AN26="","",IF('CST-Calculation'!$F26="Indg","",IF('CST-Calculation'!$F26="TEC Del","",IF('CST-Calculation'!AM26&gt;0,'CST-Calculation'!AM26,IF('CST-Calculation'!$F26=0,"",'CST-Calculation'!$F26)))))</f>
        <v/>
      </c>
      <c r="AN26" s="714" t="str">
        <f>IF('CST-Calculation'!AN26=0,"",'CST-Calculation'!AN26)</f>
        <v/>
      </c>
      <c r="AO26" s="714" t="str">
        <f>IF(AM26="","",IF(AN26="TEC Rejected","",IF(AN26="","",ROUND(1.3224*Form!$D$10*AN26,2))))</f>
        <v/>
      </c>
      <c r="AP26" s="714" t="str">
        <f t="shared" si="18"/>
        <v/>
      </c>
      <c r="AQ26" s="713" t="str">
        <f>IF(AR26="","",IF('CST-Calculation'!$F26="Indg","",IF('CST-Calculation'!$F26="TEC Del","",IF('CST-Calculation'!AQ26&gt;0,'CST-Calculation'!AQ26,IF('CST-Calculation'!$F26=0,"",'CST-Calculation'!$F26)))))</f>
        <v/>
      </c>
      <c r="AR26" s="714" t="str">
        <f>IF('CST-Calculation'!AR26=0,"",'CST-Calculation'!AR26)</f>
        <v/>
      </c>
      <c r="AS26" s="714" t="str">
        <f>IF(AQ26="","",IF(AR26="TEC Rejected","",IF(AR26="","",ROUND(1.3224*Form!$D$10*AR26,2))))</f>
        <v/>
      </c>
      <c r="AT26" s="714" t="str">
        <f t="shared" si="19"/>
        <v/>
      </c>
      <c r="AU26" s="713" t="str">
        <f>IF(AV26="","",IF('CST-Calculation'!$F26="Indg","",IF('CST-Calculation'!$F26="TEC Del","",IF('CST-Calculation'!AU26&gt;0,'CST-Calculation'!AU26,IF('CST-Calculation'!$F26=0,"",'CST-Calculation'!$F26)))))</f>
        <v/>
      </c>
      <c r="AV26" s="714" t="str">
        <f>IF('CST-Calculation'!AV26=0,"",'CST-Calculation'!AV26)</f>
        <v/>
      </c>
      <c r="AW26" s="714" t="str">
        <f>IF(AU26="","",IF(AV26="TEC Rejected","",IF(AV26="","",ROUND(1.3224*Form!$D$10*AV26,2))))</f>
        <v/>
      </c>
      <c r="AX26" s="714" t="str">
        <f t="shared" si="20"/>
        <v/>
      </c>
      <c r="AY26" s="715" t="str">
        <f t="shared" si="21"/>
        <v>NO OFFER</v>
      </c>
      <c r="AZ26" s="716" t="str">
        <f t="shared" si="22"/>
        <v>NO OFFER</v>
      </c>
      <c r="BA26" s="716" t="str">
        <f t="shared" si="23"/>
        <v>&lt;= 20%</v>
      </c>
      <c r="BB26" s="716">
        <f>IF(AY26="EST",ROUND(BD26/1.18,2),IF(AY26="ADRYS",ROUND(BD26/1.18,2),ROUND(BD26/(1.3224*Form!$D$10),2)))</f>
        <v>0</v>
      </c>
      <c r="BC26" s="784">
        <f>IF(OR(AY26="EST",AY26="ADRYS"),ROUND(BE26/1.18,2),ROUND(BE26/(1.3224*Form!$D$10),2))</f>
        <v>0</v>
      </c>
      <c r="BD26" s="717">
        <f>IF(F26="Indg",0,IF(F26="TEC Del",0,IF(AND(IF(G26="",TRUE,G26&lt;=ROUNDUP(1.2*F26,0)),IF(K26="",TRUE,K26&lt;=ROUNDUP(1.2*F26,0)),IF(O26="",TRUE,O26&lt;=ROUNDUP(1.2*F26,0)),IF(S26="",TRUE,S26&lt;=ROUNDUP(1.2*F26,0)),IF(W26="",TRUE,W26&lt;=ROUNDUP(1.2*F26,0)),IF(AA26="",TRUE,AA26&lt;=ROUNDUP(1.2*F26,0)),IF(AE26="",TRUE,AE26&lt;=ROUNDUP(1.2*F26,0)),IF(AI26="",TRUE,AI26&lt;=ROUNDUP(1.2*F26,0)),IF(AM26="",TRUE,AM26&lt;=ROUNDUP(1.2*F26,0)),IF(AQ26="",TRUE,AQ26&lt;=ROUNDUP(1.2*F26,0)),IF(AU26="",TRUE,AU26&lt;=ROUNDUP(1.2*F26,0))),IF(F26=0,0,(IF(SUM(I26,M26,Q26,U26,Y26,AC26,AG26,AK26,AO26,AS26,AW26)=0,0,SMALL((I26,M26,Q26,U26,Y26,AC26,AG26,AK26,AO26,AS26,AW26),COUNTIF((I26:AW26),0)+1)))),IF(BE26=J26,I26,IF(BE26=N26,M26,IF(BE26=R26,Q26,IF(BE26=V26,U26,IF(BE26=Z26,Y26,IF(BE26=AD26,AC26,IF(BE26=AH26,AG26,IF(BE26=AL26,AK26,IF(BE26=AP26,AO26,IF(BE26=AT26,AS26,IF(BE26=AX26,AW26))))))))))))))</f>
        <v>0</v>
      </c>
      <c r="BE26" s="714">
        <f>IF(F26="Indg",0,IF(F26="TEC Del",0,IF(AND(IF(G26="",TRUE,G26&lt;=ROUNDUP(1.2*F26,0)),IF(K26="",TRUE,K26&lt;=ROUNDUP(1.2*F26,0)),IF(O26="",TRUE,O26&lt;=ROUNDUP(1.2*F26,0)),IF(S26="",TRUE,S26&lt;=ROUNDUP(1.2*F26,0)),IF(W26="",TRUE,W26&lt;=ROUNDUP(1.2*F26,0)),IF(AA26="",TRUE,AA26&lt;=ROUNDUP(1.2*F26,0)),IF(AE26="",TRUE,AE26&lt;=ROUNDUP(1.2*F26,0)),IF(AI26="",TRUE,AI26&lt;=ROUNDUP(1.2*F26,0)),IF(AM26="",TRUE,AM26&lt;=ROUNDUP(1.2*F26,0)),IF(AQ26="",TRUE,AQ26&lt;=ROUNDUP(1.2*F26,0)),IF(AU26="",TRUE,AU26&lt;=ROUNDUP(1.2*F26,0))),ROUND(BD26*IF(BD26=I26,G26,IF(BD26=M26,K26,IF(BD26=Q26,O26,IF(BD26=U26,S26,IF(BD26=Y26,W26,IF(BD26=AC26,AA26,IF(BD26=AG26,AE26,IF(BD26=AK26,AI26,IF(BD26=AO26,AM26,IF(BD26=AS26,AQ26,IF(BD26=AW26,AU26))))))))))),2),(IF(SUM(J26,N26,R26,V26,Z26,AD26,AH26,AL26,AP26,AT26,AX26)=0,0,SMALL((J26,N26,R26,V26,Z26,AD26,AH26,AL26,AP26,AT26,AX26),COUNTIF((J26:AX26),0)+1))))))</f>
        <v>0</v>
      </c>
      <c r="BF26" s="714">
        <f>IF('Annexure-I'!L23="",'Annexure-I'!F23,'Annexure-I'!L23)</f>
        <v>128.97</v>
      </c>
      <c r="BG26" s="714" t="str">
        <f>IF('Annexure-I'!M23="",'Annexure-I'!G23,'Annexure-I'!M23)</f>
        <v>CONTRACT-A22</v>
      </c>
      <c r="BH26" s="764">
        <f>IF('Annexure-I'!N23="",'Annexure-I'!H23,'Annexure-I'!N23)</f>
        <v>39196</v>
      </c>
      <c r="BI26" s="717">
        <f>IF('Annexure-I'!P23="",'Annexure-I'!J23,'Annexure-I'!P23)</f>
        <v>295.22000000000003</v>
      </c>
      <c r="BJ26" s="717">
        <f>IF('Annexure-I'!Q23="",'Annexure-I'!K23,'Annexure-I'!Q23)</f>
        <v>32317.223259840008</v>
      </c>
      <c r="BK26" s="714">
        <f>'Annexure-I'!F23</f>
        <v>128.97</v>
      </c>
      <c r="BL26" s="718" t="str">
        <f>'Annexure-I'!G23</f>
        <v>CONTRACT-A22</v>
      </c>
      <c r="BM26" s="764">
        <f>IF('Annexure-I'!H23=0,"",'Annexure-I'!H23)</f>
        <v>39196</v>
      </c>
      <c r="BN26" s="717">
        <f>'Annexure-I'!J23</f>
        <v>295.22000000000003</v>
      </c>
      <c r="BO26" s="717">
        <f>'Annexure-I'!K23</f>
        <v>32317.223259840008</v>
      </c>
      <c r="BP26" s="714">
        <f>IF(OR(AY26="EST",AY26="ADRYS"),ROUND((BC26*1.18)/(1.3224*Form!$D$10),2),BC26)</f>
        <v>0</v>
      </c>
      <c r="BQ26" s="714">
        <f>ROUND(BS26/(1.3224*Form!$D$10),2)</f>
        <v>0</v>
      </c>
      <c r="BR26" s="714">
        <f t="shared" si="24"/>
        <v>0</v>
      </c>
      <c r="BS26" s="714">
        <f t="shared" si="25"/>
        <v>0</v>
      </c>
      <c r="BT26" s="719">
        <f t="shared" si="26"/>
        <v>0</v>
      </c>
      <c r="BU26" s="714"/>
      <c r="BV26" s="714">
        <f t="shared" si="8"/>
        <v>0</v>
      </c>
      <c r="BW26" s="714">
        <f>IF(OR(AY26="EST",AY26="ADRYS"),ROUND(1.18*BU26,2),ROUND(BU26*1.3224*Form!$D$10,2))</f>
        <v>0</v>
      </c>
      <c r="BX26" s="714">
        <f t="shared" si="9"/>
        <v>0</v>
      </c>
      <c r="BY26" s="719">
        <f t="shared" si="10"/>
        <v>0</v>
      </c>
      <c r="BZ26" s="714">
        <f t="shared" si="11"/>
        <v>290855.01</v>
      </c>
      <c r="CA26" s="720"/>
      <c r="CB26" s="720"/>
      <c r="CC26" s="4"/>
      <c r="CD26" s="4"/>
      <c r="CE26" s="4"/>
      <c r="CF26" s="4"/>
      <c r="CG26" s="4"/>
      <c r="CH26" s="4"/>
      <c r="CI26" s="721"/>
    </row>
    <row r="27" spans="1:89" s="579" customFormat="1" ht="45" x14ac:dyDescent="0.25">
      <c r="A27" s="712">
        <f>SUBTOTAL(2,$B$5:B27)</f>
        <v>23</v>
      </c>
      <c r="B27" s="754">
        <v>23</v>
      </c>
      <c r="C27" s="755" t="s">
        <v>691</v>
      </c>
      <c r="D27" s="755" t="s">
        <v>595</v>
      </c>
      <c r="E27" s="754">
        <v>11</v>
      </c>
      <c r="F27" s="658">
        <f>'Annexure-I'!E24</f>
        <v>11</v>
      </c>
      <c r="G27" s="784" t="str">
        <f>IF('CST-Calculation'!G27=0,"",'CST-Calculation'!G27)</f>
        <v/>
      </c>
      <c r="H27" s="784" t="str">
        <f>IF('CST-Calculation'!H27=0,"",'CST-Calculation'!H27)</f>
        <v/>
      </c>
      <c r="I27" s="714" t="str">
        <f>IF(G27="","",IF(H27="TEC Rejected","",IF(H27="","",ROUND(1.3224*Form!$D$10*H27,2))))</f>
        <v/>
      </c>
      <c r="J27" s="714" t="str">
        <f t="shared" si="0"/>
        <v/>
      </c>
      <c r="K27" s="713" t="str">
        <f>IF(L27="","",IF('CST-Calculation'!$F27="Indg","",IF('CST-Calculation'!$F27="TEC Del","",IF('CST-Calculation'!K27&gt;0,'CST-Calculation'!K27,IF('CST-Calculation'!$F27=0,"",'CST-Calculation'!$F27)))))</f>
        <v/>
      </c>
      <c r="L27" s="714" t="str">
        <f>IF('CST-Calculation'!L27=0,"",'CST-Calculation'!L27)</f>
        <v/>
      </c>
      <c r="M27" s="714" t="str">
        <f>IF(K27="","",IF(L27="TEC Rejected","",IF(L27="","",ROUND(1.3224*Form!$D$10*L27,2))))</f>
        <v/>
      </c>
      <c r="N27" s="714" t="str">
        <f t="shared" si="1"/>
        <v/>
      </c>
      <c r="O27" s="89" t="str">
        <f>IF(P27="","",IF('CST-Calculation'!$F27="Indg","",IF('CST-Calculation'!$F27="TEC Del","",IF('CST-Calculation'!O27&gt;0,'CST-Calculation'!O27,IF('CST-Calculation'!$F27=0,"",'CST-Calculation'!$F27)))))</f>
        <v/>
      </c>
      <c r="P27" s="714" t="str">
        <f>IF('CST-Calculation'!P27=0,"",'CST-Calculation'!P27)</f>
        <v/>
      </c>
      <c r="Q27" s="714" t="str">
        <f>IF(O27="","",IF(P27="TEC Rejected","",IF(P27="","",ROUND(1.3224*Form!$D$10*P27,2))))</f>
        <v/>
      </c>
      <c r="R27" s="714" t="str">
        <f t="shared" si="2"/>
        <v/>
      </c>
      <c r="S27" s="89" t="str">
        <f>IF(T27="","",IF('CST-Calculation'!$F27="Indg","",IF('CST-Calculation'!$F27="TEC Del","",IF('CST-Calculation'!S27&gt;0,'CST-Calculation'!S27,IF('CST-Calculation'!$F27=0,"",'CST-Calculation'!$F27)))))</f>
        <v/>
      </c>
      <c r="T27" s="714" t="str">
        <f>IF('CST-Calculation'!T27=0,"",'CST-Calculation'!T27)</f>
        <v/>
      </c>
      <c r="U27" s="714" t="str">
        <f>IF(S27="","",IF(T27="TEC Rejected","",IF(T27="","",ROUND(1.3224*Form!$D$10*T27,2))))</f>
        <v/>
      </c>
      <c r="V27" s="714" t="str">
        <f t="shared" si="3"/>
        <v/>
      </c>
      <c r="W27" s="713" t="str">
        <f>IF(X27="","",IF('CST-Calculation'!$F27="Indg","",IF('CST-Calculation'!$F27="TEC Del","",IF('CST-Calculation'!W27&gt;0,'CST-Calculation'!W27,IF('CST-Calculation'!$F27=0,"",'CST-Calculation'!$F27)))))</f>
        <v/>
      </c>
      <c r="X27" s="714" t="str">
        <f>IF('CST-Calculation'!X27=0,"",'CST-Calculation'!X27)</f>
        <v/>
      </c>
      <c r="Y27" s="714" t="str">
        <f>IF(W27="","",IF(X27="TEC Rejected","",IF(X27="","",ROUND(1.3224*Form!$D$10*X27,2))))</f>
        <v/>
      </c>
      <c r="Z27" s="714" t="str">
        <f t="shared" si="12"/>
        <v/>
      </c>
      <c r="AA27" s="713" t="str">
        <f>IF(AB27="","",IF('CST-Calculation'!$F27="Indg","",IF('CST-Calculation'!$F27="TEC Del","",IF('CST-Calculation'!AA27&gt;0,'CST-Calculation'!AA27,IF('CST-Calculation'!$F27=0,"",'CST-Calculation'!$F27)))))</f>
        <v/>
      </c>
      <c r="AB27" s="714" t="str">
        <f>IF('CST-Calculation'!AB27=0,"",'CST-Calculation'!AB27)</f>
        <v/>
      </c>
      <c r="AC27" s="714" t="str">
        <f t="shared" si="13"/>
        <v/>
      </c>
      <c r="AD27" s="714" t="str">
        <f t="shared" si="14"/>
        <v/>
      </c>
      <c r="AE27" s="713" t="str">
        <f>IF(AF27="","",IF('CST-Calculation'!$F27="Indg","",IF('CST-Calculation'!$F27="TEC Del","",IF('CST-Calculation'!AE27&gt;0,'CST-Calculation'!AE27,IF('CST-Calculation'!$F27=0,"",'CST-Calculation'!$F27)))))</f>
        <v/>
      </c>
      <c r="AF27" s="714" t="str">
        <f>IF('CST-Calculation'!AF27=0,"",'CST-Calculation'!AF27)</f>
        <v/>
      </c>
      <c r="AG27" s="714" t="str">
        <f>IF(AE27="","",IF(AF27="TEC Rejected","",IF(AF27="","",ROUND(1.3224*Form!$D$10*AF27,2))))</f>
        <v/>
      </c>
      <c r="AH27" s="714" t="str">
        <f t="shared" si="15"/>
        <v/>
      </c>
      <c r="AI27" s="713" t="str">
        <f>IF(AJ27="","",IF('CST-Calculation'!$F27="Indg","",IF('CST-Calculation'!$F27="TEC Del","",IF('CST-Calculation'!AI27&gt;0,'CST-Calculation'!AI27,IF('CST-Calculation'!$F27=0,"",'CST-Calculation'!$F27)))))</f>
        <v/>
      </c>
      <c r="AJ27" s="714" t="str">
        <f>IF('CST-Calculation'!AJ27=0,"",'CST-Calculation'!AJ27)</f>
        <v/>
      </c>
      <c r="AK27" s="714" t="str">
        <f t="shared" si="16"/>
        <v/>
      </c>
      <c r="AL27" s="714" t="str">
        <f t="shared" si="17"/>
        <v/>
      </c>
      <c r="AM27" s="713" t="str">
        <f>IF(AN27="","",IF('CST-Calculation'!$F27="Indg","",IF('CST-Calculation'!$F27="TEC Del","",IF('CST-Calculation'!AM27&gt;0,'CST-Calculation'!AM27,IF('CST-Calculation'!$F27=0,"",'CST-Calculation'!$F27)))))</f>
        <v/>
      </c>
      <c r="AN27" s="714" t="str">
        <f>IF('CST-Calculation'!AN27=0,"",'CST-Calculation'!AN27)</f>
        <v/>
      </c>
      <c r="AO27" s="714" t="str">
        <f>IF(AM27="","",IF(AN27="TEC Rejected","",IF(AN27="","",ROUND(1.3224*Form!$D$10*AN27,2))))</f>
        <v/>
      </c>
      <c r="AP27" s="714" t="str">
        <f t="shared" si="18"/>
        <v/>
      </c>
      <c r="AQ27" s="713" t="str">
        <f>IF(AR27="","",IF('CST-Calculation'!$F27="Indg","",IF('CST-Calculation'!$F27="TEC Del","",IF('CST-Calculation'!AQ27&gt;0,'CST-Calculation'!AQ27,IF('CST-Calculation'!$F27=0,"",'CST-Calculation'!$F27)))))</f>
        <v/>
      </c>
      <c r="AR27" s="714" t="str">
        <f>IF('CST-Calculation'!AR27=0,"",'CST-Calculation'!AR27)</f>
        <v/>
      </c>
      <c r="AS27" s="714" t="str">
        <f>IF(AQ27="","",IF(AR27="TEC Rejected","",IF(AR27="","",ROUND(1.3224*Form!$D$10*AR27,2))))</f>
        <v/>
      </c>
      <c r="AT27" s="714" t="str">
        <f t="shared" si="19"/>
        <v/>
      </c>
      <c r="AU27" s="713" t="str">
        <f>IF(AV27="","",IF('CST-Calculation'!$F27="Indg","",IF('CST-Calculation'!$F27="TEC Del","",IF('CST-Calculation'!AU27&gt;0,'CST-Calculation'!AU27,IF('CST-Calculation'!$F27=0,"",'CST-Calculation'!$F27)))))</f>
        <v/>
      </c>
      <c r="AV27" s="714" t="str">
        <f>IF('CST-Calculation'!AV27=0,"",'CST-Calculation'!AV27)</f>
        <v/>
      </c>
      <c r="AW27" s="714" t="str">
        <f>IF(AU27="","",IF(AV27="TEC Rejected","",IF(AV27="","",ROUND(1.3224*Form!$D$10*AV27,2))))</f>
        <v/>
      </c>
      <c r="AX27" s="714" t="str">
        <f t="shared" si="20"/>
        <v/>
      </c>
      <c r="AY27" s="715" t="str">
        <f t="shared" si="21"/>
        <v>NO OFFER</v>
      </c>
      <c r="AZ27" s="716" t="str">
        <f t="shared" si="22"/>
        <v>NO OFFER</v>
      </c>
      <c r="BA27" s="716" t="str">
        <f t="shared" si="23"/>
        <v>&lt;= 20%</v>
      </c>
      <c r="BB27" s="716">
        <f>IF(AY27="EST",ROUND(BD27/1.18,2),IF(AY27="ADRYS",ROUND(BD27/1.18,2),ROUND(BD27/(1.3224*Form!$D$10),2)))</f>
        <v>0</v>
      </c>
      <c r="BC27" s="784">
        <f>IF(OR(AY27="EST",AY27="ADRYS"),ROUND(BE27/1.18,2),ROUND(BE27/(1.3224*Form!$D$10),2))</f>
        <v>0</v>
      </c>
      <c r="BD27" s="717">
        <f>IF(F27="Indg",0,IF(F27="TEC Del",0,IF(AND(IF(G27="",TRUE,G27&lt;=ROUNDUP(1.2*F27,0)),IF(K27="",TRUE,K27&lt;=ROUNDUP(1.2*F27,0)),IF(O27="",TRUE,O27&lt;=ROUNDUP(1.2*F27,0)),IF(S27="",TRUE,S27&lt;=ROUNDUP(1.2*F27,0)),IF(W27="",TRUE,W27&lt;=ROUNDUP(1.2*F27,0)),IF(AA27="",TRUE,AA27&lt;=ROUNDUP(1.2*F27,0)),IF(AE27="",TRUE,AE27&lt;=ROUNDUP(1.2*F27,0)),IF(AI27="",TRUE,AI27&lt;=ROUNDUP(1.2*F27,0)),IF(AM27="",TRUE,AM27&lt;=ROUNDUP(1.2*F27,0)),IF(AQ27="",TRUE,AQ27&lt;=ROUNDUP(1.2*F27,0)),IF(AU27="",TRUE,AU27&lt;=ROUNDUP(1.2*F27,0))),IF(F27=0,0,(IF(SUM(I27,M27,Q27,U27,Y27,AC27,AG27,AK27,AO27,AS27,AW27)=0,0,SMALL((I27,M27,Q27,U27,Y27,AC27,AG27,AK27,AO27,AS27,AW27),COUNTIF((I27:AW27),0)+1)))),IF(BE27=J27,I27,IF(BE27=N27,M27,IF(BE27=R27,Q27,IF(BE27=V27,U27,IF(BE27=Z27,Y27,IF(BE27=AD27,AC27,IF(BE27=AH27,AG27,IF(BE27=AL27,AK27,IF(BE27=AP27,AO27,IF(BE27=AT27,AS27,IF(BE27=AX27,AW27))))))))))))))</f>
        <v>0</v>
      </c>
      <c r="BE27" s="714">
        <f>IF(F27="Indg",0,IF(F27="TEC Del",0,IF(AND(IF(G27="",TRUE,G27&lt;=ROUNDUP(1.2*F27,0)),IF(K27="",TRUE,K27&lt;=ROUNDUP(1.2*F27,0)),IF(O27="",TRUE,O27&lt;=ROUNDUP(1.2*F27,0)),IF(S27="",TRUE,S27&lt;=ROUNDUP(1.2*F27,0)),IF(W27="",TRUE,W27&lt;=ROUNDUP(1.2*F27,0)),IF(AA27="",TRUE,AA27&lt;=ROUNDUP(1.2*F27,0)),IF(AE27="",TRUE,AE27&lt;=ROUNDUP(1.2*F27,0)),IF(AI27="",TRUE,AI27&lt;=ROUNDUP(1.2*F27,0)),IF(AM27="",TRUE,AM27&lt;=ROUNDUP(1.2*F27,0)),IF(AQ27="",TRUE,AQ27&lt;=ROUNDUP(1.2*F27,0)),IF(AU27="",TRUE,AU27&lt;=ROUNDUP(1.2*F27,0))),ROUND(BD27*IF(BD27=I27,G27,IF(BD27=M27,K27,IF(BD27=Q27,O27,IF(BD27=U27,S27,IF(BD27=Y27,W27,IF(BD27=AC27,AA27,IF(BD27=AG27,AE27,IF(BD27=AK27,AI27,IF(BD27=AO27,AM27,IF(BD27=AS27,AQ27,IF(BD27=AW27,AU27))))))))))),2),(IF(SUM(J27,N27,R27,V27,Z27,AD27,AH27,AL27,AP27,AT27,AX27)=0,0,SMALL((J27,N27,R27,V27,Z27,AD27,AH27,AL27,AP27,AT27,AX27),COUNTIF((J27:AX27),0)+1))))))</f>
        <v>0</v>
      </c>
      <c r="BF27" s="714">
        <f>IF('Annexure-I'!L24="",'Annexure-I'!F24,'Annexure-I'!L24)</f>
        <v>2.17</v>
      </c>
      <c r="BG27" s="714" t="str">
        <f>IF('Annexure-I'!M24="",'Annexure-I'!G24,'Annexure-I'!M24)</f>
        <v>CONTRACT-A23</v>
      </c>
      <c r="BH27" s="764">
        <f>IF('Annexure-I'!N24="",'Annexure-I'!H24,'Annexure-I'!N24)</f>
        <v>42367</v>
      </c>
      <c r="BI27" s="717">
        <f>IF('Annexure-I'!P24="",'Annexure-I'!J24,'Annexure-I'!P24)</f>
        <v>3.4</v>
      </c>
      <c r="BJ27" s="717">
        <f>IF('Annexure-I'!Q24="",'Annexure-I'!K24,'Annexure-I'!Q24)</f>
        <v>372.19212479999999</v>
      </c>
      <c r="BK27" s="714">
        <f>'Annexure-I'!F24</f>
        <v>2.17</v>
      </c>
      <c r="BL27" s="718" t="str">
        <f>'Annexure-I'!G24</f>
        <v>CONTRACT-A23</v>
      </c>
      <c r="BM27" s="764">
        <f>IF('Annexure-I'!H24=0,"",'Annexure-I'!H24)</f>
        <v>42367</v>
      </c>
      <c r="BN27" s="717">
        <f>'Annexure-I'!J24</f>
        <v>3.4</v>
      </c>
      <c r="BO27" s="717">
        <f>'Annexure-I'!K24</f>
        <v>372.19212479999999</v>
      </c>
      <c r="BP27" s="714">
        <f>IF(OR(AY27="EST",AY27="ADRYS"),ROUND((BC27*1.18)/(1.3224*Form!$D$10),2),BC27)</f>
        <v>0</v>
      </c>
      <c r="BQ27" s="714">
        <f>ROUND(BS27/(1.3224*Form!$D$10),2)</f>
        <v>0</v>
      </c>
      <c r="BR27" s="714">
        <f t="shared" si="24"/>
        <v>0</v>
      </c>
      <c r="BS27" s="714">
        <f t="shared" si="25"/>
        <v>0</v>
      </c>
      <c r="BT27" s="719">
        <f t="shared" si="26"/>
        <v>0</v>
      </c>
      <c r="BU27" s="714"/>
      <c r="BV27" s="714">
        <f t="shared" si="8"/>
        <v>0</v>
      </c>
      <c r="BW27" s="714">
        <f>IF(OR(AY27="EST",AY27="ADRYS"),ROUND(1.18*BU27,2),ROUND(BU27*1.3224*Form!$D$10,2))</f>
        <v>0</v>
      </c>
      <c r="BX27" s="714">
        <f t="shared" si="9"/>
        <v>0</v>
      </c>
      <c r="BY27" s="719">
        <f t="shared" si="10"/>
        <v>0</v>
      </c>
      <c r="BZ27" s="714">
        <f t="shared" si="11"/>
        <v>4094.11</v>
      </c>
      <c r="CA27" s="720"/>
      <c r="CB27" s="720"/>
      <c r="CC27" s="4"/>
      <c r="CD27" s="4"/>
      <c r="CE27" s="4"/>
      <c r="CF27" s="4"/>
      <c r="CG27" s="4"/>
      <c r="CH27" s="4"/>
      <c r="CI27" s="721"/>
    </row>
    <row r="28" spans="1:89" s="579" customFormat="1" ht="47.25" x14ac:dyDescent="0.25">
      <c r="A28" s="712">
        <f>SUBTOTAL(2,$B$5:B28)</f>
        <v>24</v>
      </c>
      <c r="B28" s="754">
        <v>24</v>
      </c>
      <c r="C28" s="756" t="s">
        <v>692</v>
      </c>
      <c r="D28" s="755" t="s">
        <v>123</v>
      </c>
      <c r="E28" s="754">
        <v>46</v>
      </c>
      <c r="F28" s="658">
        <f>'Annexure-I'!E25</f>
        <v>46</v>
      </c>
      <c r="G28" s="784" t="str">
        <f>IF('CST-Calculation'!G28=0,"",'CST-Calculation'!G28)</f>
        <v/>
      </c>
      <c r="H28" s="784" t="str">
        <f>IF('CST-Calculation'!H28=0,"",'CST-Calculation'!H28)</f>
        <v/>
      </c>
      <c r="I28" s="714" t="str">
        <f>IF(G28="","",IF(H28="TEC Rejected","",IF(H28="","",ROUND(1.3224*Form!$D$10*H28,2))))</f>
        <v/>
      </c>
      <c r="J28" s="714" t="str">
        <f t="shared" si="0"/>
        <v/>
      </c>
      <c r="K28" s="713" t="str">
        <f>IF(L28="","",IF('CST-Calculation'!$F28="Indg","",IF('CST-Calculation'!$F28="TEC Del","",IF('CST-Calculation'!K28&gt;0,'CST-Calculation'!K28,IF('CST-Calculation'!$F28=0,"",'CST-Calculation'!$F28)))))</f>
        <v/>
      </c>
      <c r="L28" s="714" t="str">
        <f>IF('CST-Calculation'!L28=0,"",'CST-Calculation'!L28)</f>
        <v/>
      </c>
      <c r="M28" s="714" t="str">
        <f>IF(K28="","",IF(L28="TEC Rejected","",IF(L28="","",ROUND(1.3224*Form!$D$10*L28,2))))</f>
        <v/>
      </c>
      <c r="N28" s="714" t="str">
        <f t="shared" si="1"/>
        <v/>
      </c>
      <c r="O28" s="89">
        <f>IF(P28="","",IF('CST-Calculation'!$F28="Indg","",IF('CST-Calculation'!$F28="TEC Del","",IF('CST-Calculation'!O28&gt;0,'CST-Calculation'!O28,IF('CST-Calculation'!$F28=0,"",'CST-Calculation'!$F28)))))</f>
        <v>46</v>
      </c>
      <c r="P28" s="714">
        <f>IF('CST-Calculation'!P28=0,"",'CST-Calculation'!P28)</f>
        <v>3.6</v>
      </c>
      <c r="Q28" s="714">
        <f>IF(O28="","",IF(P28="TEC Rejected","",IF(P28="","",ROUND(1.3224*Form!$D$10*P28,2))))</f>
        <v>394.09</v>
      </c>
      <c r="R28" s="714">
        <f t="shared" si="2"/>
        <v>18128.14</v>
      </c>
      <c r="S28" s="89">
        <f>IF(T28="","",IF('CST-Calculation'!$F28="Indg","",IF('CST-Calculation'!$F28="TEC Del","",IF('CST-Calculation'!S28&gt;0,'CST-Calculation'!S28,IF('CST-Calculation'!$F28=0,"",'CST-Calculation'!$F28)))))</f>
        <v>46</v>
      </c>
      <c r="T28" s="714">
        <f>IF('CST-Calculation'!T28=0,"",'CST-Calculation'!T28)</f>
        <v>9.6</v>
      </c>
      <c r="U28" s="714">
        <f>IF(S28="","",IF(T28="TEC Rejected","",IF(T28="","",ROUND(1.3224*Form!$D$10*T28,2))))</f>
        <v>1050.9000000000001</v>
      </c>
      <c r="V28" s="714">
        <f t="shared" si="3"/>
        <v>48341.4</v>
      </c>
      <c r="W28" s="713" t="str">
        <f>IF(X28="","",IF('CST-Calculation'!$F28="Indg","",IF('CST-Calculation'!$F28="TEC Del","",IF('CST-Calculation'!W28&gt;0,'CST-Calculation'!W28,IF('CST-Calculation'!$F28=0,"",'CST-Calculation'!$F28)))))</f>
        <v/>
      </c>
      <c r="X28" s="714" t="str">
        <f>IF('CST-Calculation'!X28=0,"",'CST-Calculation'!X28)</f>
        <v/>
      </c>
      <c r="Y28" s="714" t="str">
        <f>IF(W28="","",IF(X28="TEC Rejected","",IF(X28="","",ROUND(1.3224*Form!$D$10*X28,2))))</f>
        <v/>
      </c>
      <c r="Z28" s="714" t="str">
        <f t="shared" si="12"/>
        <v/>
      </c>
      <c r="AA28" s="713">
        <f>IF(AB28="","",IF('CST-Calculation'!$F28="Indg","",IF('CST-Calculation'!$F28="TEC Del","",IF('CST-Calculation'!AA28&gt;0,'CST-Calculation'!AA28,IF('CST-Calculation'!$F28=0,"",'CST-Calculation'!$F28)))))</f>
        <v>46</v>
      </c>
      <c r="AB28" s="714">
        <f>IF('CST-Calculation'!AB28=0,"",'CST-Calculation'!AB28)</f>
        <v>90</v>
      </c>
      <c r="AC28" s="714">
        <f t="shared" si="13"/>
        <v>106.2</v>
      </c>
      <c r="AD28" s="714">
        <f t="shared" si="14"/>
        <v>4885.2</v>
      </c>
      <c r="AE28" s="713" t="str">
        <f>IF(AF28="","",IF('CST-Calculation'!$F28="Indg","",IF('CST-Calculation'!$F28="TEC Del","",IF('CST-Calculation'!AE28&gt;0,'CST-Calculation'!AE28,IF('CST-Calculation'!$F28=0,"",'CST-Calculation'!$F28)))))</f>
        <v/>
      </c>
      <c r="AF28" s="714" t="str">
        <f>IF('CST-Calculation'!AF28=0,"",'CST-Calculation'!AF28)</f>
        <v/>
      </c>
      <c r="AG28" s="714" t="str">
        <f>IF(AE28="","",IF(AF28="TEC Rejected","",IF(AF28="","",ROUND(1.3224*Form!$D$10*AF28,2))))</f>
        <v/>
      </c>
      <c r="AH28" s="714" t="str">
        <f t="shared" si="15"/>
        <v/>
      </c>
      <c r="AI28" s="713" t="str">
        <f>IF(AJ28="","",IF('CST-Calculation'!$F28="Indg","",IF('CST-Calculation'!$F28="TEC Del","",IF('CST-Calculation'!AI28&gt;0,'CST-Calculation'!AI28,IF('CST-Calculation'!$F28=0,"",'CST-Calculation'!$F28)))))</f>
        <v/>
      </c>
      <c r="AJ28" s="714" t="str">
        <f>IF('CST-Calculation'!AJ28=0,"",'CST-Calculation'!AJ28)</f>
        <v/>
      </c>
      <c r="AK28" s="714" t="str">
        <f t="shared" si="16"/>
        <v/>
      </c>
      <c r="AL28" s="714" t="str">
        <f t="shared" si="17"/>
        <v/>
      </c>
      <c r="AM28" s="713" t="str">
        <f>IF(AN28="","",IF('CST-Calculation'!$F28="Indg","",IF('CST-Calculation'!$F28="TEC Del","",IF('CST-Calculation'!AM28&gt;0,'CST-Calculation'!AM28,IF('CST-Calculation'!$F28=0,"",'CST-Calculation'!$F28)))))</f>
        <v/>
      </c>
      <c r="AN28" s="714" t="str">
        <f>IF('CST-Calculation'!AN28=0,"",'CST-Calculation'!AN28)</f>
        <v/>
      </c>
      <c r="AO28" s="714" t="str">
        <f>IF(AM28="","",IF(AN28="TEC Rejected","",IF(AN28="","",ROUND(1.3224*Form!$D$10*AN28,2))))</f>
        <v/>
      </c>
      <c r="AP28" s="714" t="str">
        <f t="shared" si="18"/>
        <v/>
      </c>
      <c r="AQ28" s="713" t="str">
        <f>IF(AR28="","",IF('CST-Calculation'!$F28="Indg","",IF('CST-Calculation'!$F28="TEC Del","",IF('CST-Calculation'!AQ28&gt;0,'CST-Calculation'!AQ28,IF('CST-Calculation'!$F28=0,"",'CST-Calculation'!$F28)))))</f>
        <v/>
      </c>
      <c r="AR28" s="714" t="str">
        <f>IF('CST-Calculation'!AR28=0,"",'CST-Calculation'!AR28)</f>
        <v/>
      </c>
      <c r="AS28" s="714" t="str">
        <f>IF(AQ28="","",IF(AR28="TEC Rejected","",IF(AR28="","",ROUND(1.3224*Form!$D$10*AR28,2))))</f>
        <v/>
      </c>
      <c r="AT28" s="714" t="str">
        <f t="shared" si="19"/>
        <v/>
      </c>
      <c r="AU28" s="713" t="str">
        <f>IF(AV28="","",IF('CST-Calculation'!$F28="Indg","",IF('CST-Calculation'!$F28="TEC Del","",IF('CST-Calculation'!AU28&gt;0,'CST-Calculation'!AU28,IF('CST-Calculation'!$F28=0,"",'CST-Calculation'!$F28)))))</f>
        <v/>
      </c>
      <c r="AV28" s="714" t="str">
        <f>IF('CST-Calculation'!AV28=0,"",'CST-Calculation'!AV28)</f>
        <v/>
      </c>
      <c r="AW28" s="714" t="str">
        <f>IF(AU28="","",IF(AV28="TEC Rejected","",IF(AV28="","",ROUND(1.3224*Form!$D$10*AV28,2))))</f>
        <v/>
      </c>
      <c r="AX28" s="714" t="str">
        <f t="shared" si="20"/>
        <v/>
      </c>
      <c r="AY28" s="715" t="str">
        <f t="shared" si="21"/>
        <v>ADRYS</v>
      </c>
      <c r="AZ28" s="716" t="str">
        <f t="shared" si="22"/>
        <v>MULTIPLE</v>
      </c>
      <c r="BA28" s="716" t="str">
        <f t="shared" si="23"/>
        <v>&lt;= 20%</v>
      </c>
      <c r="BB28" s="716">
        <f>IF(AY28="EST",ROUND(BD28/1.18,2),IF(AY28="ADRYS",ROUND(BD28/1.18,2),ROUND(BD28/(1.3224*Form!$D$10),2)))</f>
        <v>90</v>
      </c>
      <c r="BC28" s="784">
        <f>IF(OR(AY28="EST",AY28="ADRYS"),ROUND(BE28/1.18,2),ROUND(BE28/(1.3224*Form!$D$10),2))</f>
        <v>4140</v>
      </c>
      <c r="BD28" s="717">
        <f>IF(F28="Indg",0,IF(F28="TEC Del",0,IF(AND(IF(G28="",TRUE,G28&lt;=ROUNDUP(1.2*F28,0)),IF(K28="",TRUE,K28&lt;=ROUNDUP(1.2*F28,0)),IF(O28="",TRUE,O28&lt;=ROUNDUP(1.2*F28,0)),IF(S28="",TRUE,S28&lt;=ROUNDUP(1.2*F28,0)),IF(W28="",TRUE,W28&lt;=ROUNDUP(1.2*F28,0)),IF(AA28="",TRUE,AA28&lt;=ROUNDUP(1.2*F28,0)),IF(AE28="",TRUE,AE28&lt;=ROUNDUP(1.2*F28,0)),IF(AI28="",TRUE,AI28&lt;=ROUNDUP(1.2*F28,0)),IF(AM28="",TRUE,AM28&lt;=ROUNDUP(1.2*F28,0)),IF(AQ28="",TRUE,AQ28&lt;=ROUNDUP(1.2*F28,0)),IF(AU28="",TRUE,AU28&lt;=ROUNDUP(1.2*F28,0))),IF(F28=0,0,(IF(SUM(I28,M28,Q28,U28,Y28,AC28,AG28,AK28,AO28,AS28,AW28)=0,0,SMALL((I28,M28,Q28,U28,Y28,AC28,AG28,AK28,AO28,AS28,AW28),COUNTIF((I28:AW28),0)+1)))),IF(BE28=J28,I28,IF(BE28=N28,M28,IF(BE28=R28,Q28,IF(BE28=V28,U28,IF(BE28=Z28,Y28,IF(BE28=AD28,AC28,IF(BE28=AH28,AG28,IF(BE28=AL28,AK28,IF(BE28=AP28,AO28,IF(BE28=AT28,AS28,IF(BE28=AX28,AW28))))))))))))))</f>
        <v>106.2</v>
      </c>
      <c r="BE28" s="714">
        <f>IF(F28="Indg",0,IF(F28="TEC Del",0,IF(AND(IF(G28="",TRUE,G28&lt;=ROUNDUP(1.2*F28,0)),IF(K28="",TRUE,K28&lt;=ROUNDUP(1.2*F28,0)),IF(O28="",TRUE,O28&lt;=ROUNDUP(1.2*F28,0)),IF(S28="",TRUE,S28&lt;=ROUNDUP(1.2*F28,0)),IF(W28="",TRUE,W28&lt;=ROUNDUP(1.2*F28,0)),IF(AA28="",TRUE,AA28&lt;=ROUNDUP(1.2*F28,0)),IF(AE28="",TRUE,AE28&lt;=ROUNDUP(1.2*F28,0)),IF(AI28="",TRUE,AI28&lt;=ROUNDUP(1.2*F28,0)),IF(AM28="",TRUE,AM28&lt;=ROUNDUP(1.2*F28,0)),IF(AQ28="",TRUE,AQ28&lt;=ROUNDUP(1.2*F28,0)),IF(AU28="",TRUE,AU28&lt;=ROUNDUP(1.2*F28,0))),ROUND(BD28*IF(BD28=I28,G28,IF(BD28=M28,K28,IF(BD28=Q28,O28,IF(BD28=U28,S28,IF(BD28=Y28,W28,IF(BD28=AC28,AA28,IF(BD28=AG28,AE28,IF(BD28=AK28,AI28,IF(BD28=AO28,AM28,IF(BD28=AS28,AQ28,IF(BD28=AW28,AU28))))))))))),2),(IF(SUM(J28,N28,R28,V28,Z28,AD28,AH28,AL28,AP28,AT28,AX28)=0,0,SMALL((J28,N28,R28,V28,Z28,AD28,AH28,AL28,AP28,AT28,AX28),COUNTIF((J28:AX28),0)+1))))))</f>
        <v>4885.2</v>
      </c>
      <c r="BF28" s="714">
        <f>IF('Annexure-I'!L25="",'Annexure-I'!F25,'Annexure-I'!L25)</f>
        <v>10</v>
      </c>
      <c r="BG28" s="714" t="str">
        <f>IF('Annexure-I'!M25="",'Annexure-I'!G25,'Annexure-I'!M25)</f>
        <v>CONTRACT-A24</v>
      </c>
      <c r="BH28" s="764">
        <f>IF('Annexure-I'!N25="",'Annexure-I'!H25,'Annexure-I'!N25)</f>
        <v>42387</v>
      </c>
      <c r="BI28" s="717">
        <f>IF('Annexure-I'!P25="",'Annexure-I'!J25,'Annexure-I'!P25)</f>
        <v>14.89</v>
      </c>
      <c r="BJ28" s="717">
        <f>IF('Annexure-I'!Q25="",'Annexure-I'!K25,'Annexure-I'!Q25)</f>
        <v>1629.9825700800002</v>
      </c>
      <c r="BK28" s="714">
        <f>'Annexure-I'!F25</f>
        <v>10</v>
      </c>
      <c r="BL28" s="718" t="str">
        <f>'Annexure-I'!G25</f>
        <v>CONTRACT-A24</v>
      </c>
      <c r="BM28" s="764">
        <f>IF('Annexure-I'!H25=0,"",'Annexure-I'!H25)</f>
        <v>42387</v>
      </c>
      <c r="BN28" s="717">
        <f>'Annexure-I'!J25</f>
        <v>14.89</v>
      </c>
      <c r="BO28" s="717">
        <f>'Annexure-I'!K25</f>
        <v>1629.9825700800002</v>
      </c>
      <c r="BP28" s="714">
        <f>IF(OR(AY28="EST",AY28="ADRYS"),ROUND((BC28*1.18)/(1.3224*Form!$D$10),2),BC28)</f>
        <v>44.63</v>
      </c>
      <c r="BQ28" s="714">
        <f>ROUND(BS28/(1.3224*Form!$D$10),2)</f>
        <v>684.94</v>
      </c>
      <c r="BR28" s="714">
        <f t="shared" si="24"/>
        <v>4885.2</v>
      </c>
      <c r="BS28" s="714">
        <f t="shared" si="25"/>
        <v>74979.199999999997</v>
      </c>
      <c r="BT28" s="719">
        <f t="shared" si="26"/>
        <v>-0.9348459306047544</v>
      </c>
      <c r="BU28" s="714"/>
      <c r="BV28" s="714">
        <f t="shared" si="8"/>
        <v>0</v>
      </c>
      <c r="BW28" s="714">
        <f>IF(OR(AY28="EST",AY28="ADRYS"),ROUND(1.18*BU28,2),ROUND(BU28*1.3224*Form!$D$10,2))</f>
        <v>0</v>
      </c>
      <c r="BX28" s="714">
        <f t="shared" si="9"/>
        <v>0</v>
      </c>
      <c r="BY28" s="719">
        <f t="shared" si="10"/>
        <v>0</v>
      </c>
      <c r="BZ28" s="714">
        <f t="shared" si="11"/>
        <v>74979.199999999997</v>
      </c>
      <c r="CA28" s="720"/>
      <c r="CB28" s="720"/>
      <c r="CC28" s="4"/>
      <c r="CD28" s="4"/>
      <c r="CE28" s="4"/>
      <c r="CF28" s="4"/>
      <c r="CG28" s="4"/>
      <c r="CH28" s="4"/>
      <c r="CI28" s="721"/>
    </row>
    <row r="29" spans="1:89" s="579" customFormat="1" ht="47.25" x14ac:dyDescent="0.25">
      <c r="A29" s="712">
        <f>SUBTOTAL(2,$B$5:B29)</f>
        <v>25</v>
      </c>
      <c r="B29" s="754">
        <v>25</v>
      </c>
      <c r="C29" s="755" t="s">
        <v>693</v>
      </c>
      <c r="D29" s="755" t="s">
        <v>123</v>
      </c>
      <c r="E29" s="754">
        <v>20</v>
      </c>
      <c r="F29" s="658">
        <f>'Annexure-I'!E26</f>
        <v>20</v>
      </c>
      <c r="G29" s="784" t="str">
        <f>IF('CST-Calculation'!G29=0,"",'CST-Calculation'!G29)</f>
        <v/>
      </c>
      <c r="H29" s="784" t="str">
        <f>IF('CST-Calculation'!H29=0,"",'CST-Calculation'!H29)</f>
        <v/>
      </c>
      <c r="I29" s="714" t="str">
        <f>IF(G29="","",IF(H29="TEC Rejected","",IF(H29="","",ROUND(1.3224*Form!$D$10*H29,2))))</f>
        <v/>
      </c>
      <c r="J29" s="714" t="str">
        <f t="shared" si="0"/>
        <v/>
      </c>
      <c r="K29" s="713" t="str">
        <f>IF(L29="","",IF('CST-Calculation'!$F29="Indg","",IF('CST-Calculation'!$F29="TEC Del","",IF('CST-Calculation'!K29&gt;0,'CST-Calculation'!K29,IF('CST-Calculation'!$F29=0,"",'CST-Calculation'!$F29)))))</f>
        <v/>
      </c>
      <c r="L29" s="714" t="str">
        <f>IF('CST-Calculation'!L29=0,"",'CST-Calculation'!L29)</f>
        <v/>
      </c>
      <c r="M29" s="714" t="str">
        <f>IF(K29="","",IF(L29="TEC Rejected","",IF(L29="","",ROUND(1.3224*Form!$D$10*L29,2))))</f>
        <v/>
      </c>
      <c r="N29" s="714" t="str">
        <f t="shared" si="1"/>
        <v/>
      </c>
      <c r="O29" s="89">
        <f>IF(P29="","",IF('CST-Calculation'!$F29="Indg","",IF('CST-Calculation'!$F29="TEC Del","",IF('CST-Calculation'!O29&gt;0,'CST-Calculation'!O29,IF('CST-Calculation'!$F29=0,"",'CST-Calculation'!$F29)))))</f>
        <v>20</v>
      </c>
      <c r="P29" s="714">
        <f>IF('CST-Calculation'!P29=0,"",'CST-Calculation'!P29)</f>
        <v>3.6</v>
      </c>
      <c r="Q29" s="714">
        <f>IF(O29="","",IF(P29="TEC Rejected","",IF(P29="","",ROUND(1.3224*Form!$D$10*P29,2))))</f>
        <v>394.09</v>
      </c>
      <c r="R29" s="714">
        <f t="shared" si="2"/>
        <v>7881.8</v>
      </c>
      <c r="S29" s="89">
        <f>IF(T29="","",IF('CST-Calculation'!$F29="Indg","",IF('CST-Calculation'!$F29="TEC Del","",IF('CST-Calculation'!S29&gt;0,'CST-Calculation'!S29,IF('CST-Calculation'!$F29=0,"",'CST-Calculation'!$F29)))))</f>
        <v>20</v>
      </c>
      <c r="T29" s="714">
        <f>IF('CST-Calculation'!T29=0,"",'CST-Calculation'!T29)</f>
        <v>8.8000000000000007</v>
      </c>
      <c r="U29" s="714">
        <f>IF(S29="","",IF(T29="TEC Rejected","",IF(T29="","",ROUND(1.3224*Form!$D$10*T29,2))))</f>
        <v>963.32</v>
      </c>
      <c r="V29" s="714">
        <f t="shared" si="3"/>
        <v>19266.400000000001</v>
      </c>
      <c r="W29" s="713" t="str">
        <f>IF(X29="","",IF('CST-Calculation'!$F29="Indg","",IF('CST-Calculation'!$F29="TEC Del","",IF('CST-Calculation'!W29&gt;0,'CST-Calculation'!W29,IF('CST-Calculation'!$F29=0,"",'CST-Calculation'!$F29)))))</f>
        <v/>
      </c>
      <c r="X29" s="714" t="str">
        <f>IF('CST-Calculation'!X29=0,"",'CST-Calculation'!X29)</f>
        <v/>
      </c>
      <c r="Y29" s="714" t="str">
        <f>IF(W29="","",IF(X29="TEC Rejected","",IF(X29="","",ROUND(1.3224*Form!$D$10*X29,2))))</f>
        <v/>
      </c>
      <c r="Z29" s="714" t="str">
        <f t="shared" si="12"/>
        <v/>
      </c>
      <c r="AA29" s="713">
        <f>IF(AB29="","",IF('CST-Calculation'!$F29="Indg","",IF('CST-Calculation'!$F29="TEC Del","",IF('CST-Calculation'!AA29&gt;0,'CST-Calculation'!AA29,IF('CST-Calculation'!$F29=0,"",'CST-Calculation'!$F29)))))</f>
        <v>20</v>
      </c>
      <c r="AB29" s="714">
        <f>IF('CST-Calculation'!AB29=0,"",'CST-Calculation'!AB29)</f>
        <v>90</v>
      </c>
      <c r="AC29" s="714">
        <f t="shared" si="13"/>
        <v>106.2</v>
      </c>
      <c r="AD29" s="714">
        <f t="shared" si="14"/>
        <v>2124</v>
      </c>
      <c r="AE29" s="713" t="str">
        <f>IF(AF29="","",IF('CST-Calculation'!$F29="Indg","",IF('CST-Calculation'!$F29="TEC Del","",IF('CST-Calculation'!AE29&gt;0,'CST-Calculation'!AE29,IF('CST-Calculation'!$F29=0,"",'CST-Calculation'!$F29)))))</f>
        <v/>
      </c>
      <c r="AF29" s="714" t="str">
        <f>IF('CST-Calculation'!AF29=0,"",'CST-Calculation'!AF29)</f>
        <v/>
      </c>
      <c r="AG29" s="714" t="str">
        <f>IF(AE29="","",IF(AF29="TEC Rejected","",IF(AF29="","",ROUND(1.3224*Form!$D$10*AF29,2))))</f>
        <v/>
      </c>
      <c r="AH29" s="714" t="str">
        <f t="shared" si="15"/>
        <v/>
      </c>
      <c r="AI29" s="713" t="str">
        <f>IF(AJ29="","",IF('CST-Calculation'!$F29="Indg","",IF('CST-Calculation'!$F29="TEC Del","",IF('CST-Calculation'!AI29&gt;0,'CST-Calculation'!AI29,IF('CST-Calculation'!$F29=0,"",'CST-Calculation'!$F29)))))</f>
        <v/>
      </c>
      <c r="AJ29" s="714" t="str">
        <f>IF('CST-Calculation'!AJ29=0,"",'CST-Calculation'!AJ29)</f>
        <v/>
      </c>
      <c r="AK29" s="714" t="str">
        <f t="shared" si="16"/>
        <v/>
      </c>
      <c r="AL29" s="714" t="str">
        <f t="shared" si="17"/>
        <v/>
      </c>
      <c r="AM29" s="713" t="str">
        <f>IF(AN29="","",IF('CST-Calculation'!$F29="Indg","",IF('CST-Calculation'!$F29="TEC Del","",IF('CST-Calculation'!AM29&gt;0,'CST-Calculation'!AM29,IF('CST-Calculation'!$F29=0,"",'CST-Calculation'!$F29)))))</f>
        <v/>
      </c>
      <c r="AN29" s="714" t="str">
        <f>IF('CST-Calculation'!AN29=0,"",'CST-Calculation'!AN29)</f>
        <v/>
      </c>
      <c r="AO29" s="714" t="str">
        <f>IF(AM29="","",IF(AN29="TEC Rejected","",IF(AN29="","",ROUND(1.3224*Form!$D$10*AN29,2))))</f>
        <v/>
      </c>
      <c r="AP29" s="714" t="str">
        <f t="shared" si="18"/>
        <v/>
      </c>
      <c r="AQ29" s="713" t="str">
        <f>IF(AR29="","",IF('CST-Calculation'!$F29="Indg","",IF('CST-Calculation'!$F29="TEC Del","",IF('CST-Calculation'!AQ29&gt;0,'CST-Calculation'!AQ29,IF('CST-Calculation'!$F29=0,"",'CST-Calculation'!$F29)))))</f>
        <v/>
      </c>
      <c r="AR29" s="714" t="str">
        <f>IF('CST-Calculation'!AR29=0,"",'CST-Calculation'!AR29)</f>
        <v/>
      </c>
      <c r="AS29" s="714" t="str">
        <f>IF(AQ29="","",IF(AR29="TEC Rejected","",IF(AR29="","",ROUND(1.3224*Form!$D$10*AR29,2))))</f>
        <v/>
      </c>
      <c r="AT29" s="714" t="str">
        <f t="shared" si="19"/>
        <v/>
      </c>
      <c r="AU29" s="713" t="str">
        <f>IF(AV29="","",IF('CST-Calculation'!$F29="Indg","",IF('CST-Calculation'!$F29="TEC Del","",IF('CST-Calculation'!AU29&gt;0,'CST-Calculation'!AU29,IF('CST-Calculation'!$F29=0,"",'CST-Calculation'!$F29)))))</f>
        <v/>
      </c>
      <c r="AV29" s="714" t="str">
        <f>IF('CST-Calculation'!AV29=0,"",'CST-Calculation'!AV29)</f>
        <v/>
      </c>
      <c r="AW29" s="714" t="str">
        <f>IF(AU29="","",IF(AV29="TEC Rejected","",IF(AV29="","",ROUND(1.3224*Form!$D$10*AV29,2))))</f>
        <v/>
      </c>
      <c r="AX29" s="714" t="str">
        <f t="shared" si="20"/>
        <v/>
      </c>
      <c r="AY29" s="715" t="str">
        <f t="shared" si="21"/>
        <v>ADRYS</v>
      </c>
      <c r="AZ29" s="716" t="str">
        <f t="shared" si="22"/>
        <v>MULTIPLE</v>
      </c>
      <c r="BA29" s="716" t="str">
        <f t="shared" si="23"/>
        <v>&lt;= 20%</v>
      </c>
      <c r="BB29" s="716">
        <f>IF(AY29="EST",ROUND(BD29/1.18,2),IF(AY29="ADRYS",ROUND(BD29/1.18,2),ROUND(BD29/(1.3224*Form!$D$10),2)))</f>
        <v>90</v>
      </c>
      <c r="BC29" s="784">
        <f>IF(OR(AY29="EST",AY29="ADRYS"),ROUND(BE29/1.18,2),ROUND(BE29/(1.3224*Form!$D$10),2))</f>
        <v>1800</v>
      </c>
      <c r="BD29" s="717">
        <f>IF(F29="Indg",0,IF(F29="TEC Del",0,IF(AND(IF(G29="",TRUE,G29&lt;=ROUNDUP(1.2*F29,0)),IF(K29="",TRUE,K29&lt;=ROUNDUP(1.2*F29,0)),IF(O29="",TRUE,O29&lt;=ROUNDUP(1.2*F29,0)),IF(S29="",TRUE,S29&lt;=ROUNDUP(1.2*F29,0)),IF(W29="",TRUE,W29&lt;=ROUNDUP(1.2*F29,0)),IF(AA29="",TRUE,AA29&lt;=ROUNDUP(1.2*F29,0)),IF(AE29="",TRUE,AE29&lt;=ROUNDUP(1.2*F29,0)),IF(AI29="",TRUE,AI29&lt;=ROUNDUP(1.2*F29,0)),IF(AM29="",TRUE,AM29&lt;=ROUNDUP(1.2*F29,0)),IF(AQ29="",TRUE,AQ29&lt;=ROUNDUP(1.2*F29,0)),IF(AU29="",TRUE,AU29&lt;=ROUNDUP(1.2*F29,0))),IF(F29=0,0,(IF(SUM(I29,M29,Q29,U29,Y29,AC29,AG29,AK29,AO29,AS29,AW29)=0,0,SMALL((I29,M29,Q29,U29,Y29,AC29,AG29,AK29,AO29,AS29,AW29),COUNTIF((I29:AW29),0)+1)))),IF(BE29=J29,I29,IF(BE29=N29,M29,IF(BE29=R29,Q29,IF(BE29=V29,U29,IF(BE29=Z29,Y29,IF(BE29=AD29,AC29,IF(BE29=AH29,AG29,IF(BE29=AL29,AK29,IF(BE29=AP29,AO29,IF(BE29=AT29,AS29,IF(BE29=AX29,AW29))))))))))))))</f>
        <v>106.2</v>
      </c>
      <c r="BE29" s="714">
        <f>IF(F29="Indg",0,IF(F29="TEC Del",0,IF(AND(IF(G29="",TRUE,G29&lt;=ROUNDUP(1.2*F29,0)),IF(K29="",TRUE,K29&lt;=ROUNDUP(1.2*F29,0)),IF(O29="",TRUE,O29&lt;=ROUNDUP(1.2*F29,0)),IF(S29="",TRUE,S29&lt;=ROUNDUP(1.2*F29,0)),IF(W29="",TRUE,W29&lt;=ROUNDUP(1.2*F29,0)),IF(AA29="",TRUE,AA29&lt;=ROUNDUP(1.2*F29,0)),IF(AE29="",TRUE,AE29&lt;=ROUNDUP(1.2*F29,0)),IF(AI29="",TRUE,AI29&lt;=ROUNDUP(1.2*F29,0)),IF(AM29="",TRUE,AM29&lt;=ROUNDUP(1.2*F29,0)),IF(AQ29="",TRUE,AQ29&lt;=ROUNDUP(1.2*F29,0)),IF(AU29="",TRUE,AU29&lt;=ROUNDUP(1.2*F29,0))),ROUND(BD29*IF(BD29=I29,G29,IF(BD29=M29,K29,IF(BD29=Q29,O29,IF(BD29=U29,S29,IF(BD29=Y29,W29,IF(BD29=AC29,AA29,IF(BD29=AG29,AE29,IF(BD29=AK29,AI29,IF(BD29=AO29,AM29,IF(BD29=AS29,AQ29,IF(BD29=AW29,AU29))))))))))),2),(IF(SUM(J29,N29,R29,V29,Z29,AD29,AH29,AL29,AP29,AT29,AX29)=0,0,SMALL((J29,N29,R29,V29,Z29,AD29,AH29,AL29,AP29,AT29,AX29),COUNTIF((J29:AX29),0)+1))))))</f>
        <v>2124</v>
      </c>
      <c r="BF29" s="714">
        <f>IF('Annexure-I'!L26="",'Annexure-I'!F26,'Annexure-I'!L26)</f>
        <v>10</v>
      </c>
      <c r="BG29" s="714" t="str">
        <f>IF('Annexure-I'!M26="",'Annexure-I'!G26,'Annexure-I'!M26)</f>
        <v>CONTRACT-A25</v>
      </c>
      <c r="BH29" s="764">
        <f>IF('Annexure-I'!N26="",'Annexure-I'!H26,'Annexure-I'!N26)</f>
        <v>42387</v>
      </c>
      <c r="BI29" s="717">
        <f>IF('Annexure-I'!P26="",'Annexure-I'!J26,'Annexure-I'!P26)</f>
        <v>14.89</v>
      </c>
      <c r="BJ29" s="717">
        <f>IF('Annexure-I'!Q26="",'Annexure-I'!K26,'Annexure-I'!Q26)</f>
        <v>1629.9825700800002</v>
      </c>
      <c r="BK29" s="714">
        <f>'Annexure-I'!F26</f>
        <v>10</v>
      </c>
      <c r="BL29" s="718" t="str">
        <f>'Annexure-I'!G26</f>
        <v>CONTRACT-A25</v>
      </c>
      <c r="BM29" s="764">
        <f>IF('Annexure-I'!H26=0,"",'Annexure-I'!H26)</f>
        <v>42387</v>
      </c>
      <c r="BN29" s="717">
        <f>'Annexure-I'!J26</f>
        <v>14.89</v>
      </c>
      <c r="BO29" s="717">
        <f>'Annexure-I'!K26</f>
        <v>1629.9825700800002</v>
      </c>
      <c r="BP29" s="714">
        <f>IF(OR(AY29="EST",AY29="ADRYS"),ROUND((BC29*1.18)/(1.3224*Form!$D$10),2),BC29)</f>
        <v>19.399999999999999</v>
      </c>
      <c r="BQ29" s="714">
        <f>ROUND(BS29/(1.3224*Form!$D$10),2)</f>
        <v>297.8</v>
      </c>
      <c r="BR29" s="714">
        <f t="shared" si="24"/>
        <v>2124</v>
      </c>
      <c r="BS29" s="714">
        <f t="shared" si="25"/>
        <v>32599.65</v>
      </c>
      <c r="BT29" s="719">
        <f t="shared" si="26"/>
        <v>-0.93484592625994456</v>
      </c>
      <c r="BU29" s="714"/>
      <c r="BV29" s="714">
        <f t="shared" si="8"/>
        <v>0</v>
      </c>
      <c r="BW29" s="714">
        <f>IF(OR(AY29="EST",AY29="ADRYS"),ROUND(1.18*BU29,2),ROUND(BU29*1.3224*Form!$D$10,2))</f>
        <v>0</v>
      </c>
      <c r="BX29" s="714">
        <f t="shared" si="9"/>
        <v>0</v>
      </c>
      <c r="BY29" s="719">
        <f t="shared" si="10"/>
        <v>0</v>
      </c>
      <c r="BZ29" s="714">
        <f t="shared" si="11"/>
        <v>32599.65</v>
      </c>
      <c r="CA29" s="720"/>
      <c r="CB29" s="720"/>
      <c r="CC29" s="4"/>
      <c r="CD29" s="4"/>
      <c r="CE29" s="4"/>
      <c r="CF29" s="4"/>
      <c r="CG29" s="4"/>
      <c r="CH29" s="4"/>
      <c r="CI29" s="721"/>
    </row>
    <row r="30" spans="1:89" s="579" customFormat="1" ht="45" x14ac:dyDescent="0.25">
      <c r="A30" s="712">
        <f>SUBTOTAL(2,$B$5:B30)</f>
        <v>26</v>
      </c>
      <c r="B30" s="754">
        <v>26</v>
      </c>
      <c r="C30" s="756" t="s">
        <v>694</v>
      </c>
      <c r="D30" s="755" t="s">
        <v>596</v>
      </c>
      <c r="E30" s="754">
        <v>5</v>
      </c>
      <c r="F30" s="658">
        <f>'Annexure-I'!E27</f>
        <v>5</v>
      </c>
      <c r="G30" s="784" t="str">
        <f>IF('CST-Calculation'!G30=0,"",'CST-Calculation'!G30)</f>
        <v/>
      </c>
      <c r="H30" s="784" t="str">
        <f>IF('CST-Calculation'!H30=0,"",'CST-Calculation'!H30)</f>
        <v/>
      </c>
      <c r="I30" s="714" t="str">
        <f>IF(G30="","",IF(H30="TEC Rejected","",IF(H30="","",ROUND(1.3224*Form!$D$10*H30,2))))</f>
        <v/>
      </c>
      <c r="J30" s="714" t="str">
        <f t="shared" si="0"/>
        <v/>
      </c>
      <c r="K30" s="713" t="str">
        <f>IF(L30="","",IF('CST-Calculation'!$F30="Indg","",IF('CST-Calculation'!$F30="TEC Del","",IF('CST-Calculation'!K30&gt;0,'CST-Calculation'!K30,IF('CST-Calculation'!$F30=0,"",'CST-Calculation'!$F30)))))</f>
        <v/>
      </c>
      <c r="L30" s="714" t="str">
        <f>IF('CST-Calculation'!L30=0,"",'CST-Calculation'!L30)</f>
        <v/>
      </c>
      <c r="M30" s="714" t="str">
        <f>IF(K30="","",IF(L30="TEC Rejected","",IF(L30="","",ROUND(1.3224*Form!$D$10*L30,2))))</f>
        <v/>
      </c>
      <c r="N30" s="714" t="str">
        <f t="shared" si="1"/>
        <v/>
      </c>
      <c r="O30" s="89">
        <f>IF(P30="","",IF('CST-Calculation'!$F30="Indg","",IF('CST-Calculation'!$F30="TEC Del","",IF('CST-Calculation'!O30&gt;0,'CST-Calculation'!O30,IF('CST-Calculation'!$F30=0,"",'CST-Calculation'!$F30)))))</f>
        <v>5</v>
      </c>
      <c r="P30" s="714">
        <f>IF('CST-Calculation'!P30=0,"",'CST-Calculation'!P30)</f>
        <v>4583</v>
      </c>
      <c r="Q30" s="714">
        <f>IF(O30="","",IF(P30="TEC Rejected","",IF(P30="","",ROUND(1.3224*Form!$D$10*P30,2))))</f>
        <v>501693.09</v>
      </c>
      <c r="R30" s="714">
        <f t="shared" si="2"/>
        <v>2508465.4500000002</v>
      </c>
      <c r="S30" s="89">
        <f>IF(T30="","",IF('CST-Calculation'!$F30="Indg","",IF('CST-Calculation'!$F30="TEC Del","",IF('CST-Calculation'!S30&gt;0,'CST-Calculation'!S30,IF('CST-Calculation'!$F30=0,"",'CST-Calculation'!$F30)))))</f>
        <v>5</v>
      </c>
      <c r="T30" s="714">
        <f>IF('CST-Calculation'!T30=0,"",'CST-Calculation'!T30)</f>
        <v>4920</v>
      </c>
      <c r="U30" s="714">
        <f>IF(S30="","",IF(T30="TEC Rejected","",IF(T30="","",ROUND(1.3224*Form!$D$10*T30,2))))</f>
        <v>538583.9</v>
      </c>
      <c r="V30" s="714">
        <f t="shared" si="3"/>
        <v>2692919.5</v>
      </c>
      <c r="W30" s="713" t="str">
        <f>IF(X30="","",IF('CST-Calculation'!$F30="Indg","",IF('CST-Calculation'!$F30="TEC Del","",IF('CST-Calculation'!W30&gt;0,'CST-Calculation'!W30,IF('CST-Calculation'!$F30=0,"",'CST-Calculation'!$F30)))))</f>
        <v/>
      </c>
      <c r="X30" s="714" t="str">
        <f>IF('CST-Calculation'!X30=0,"",'CST-Calculation'!X30)</f>
        <v/>
      </c>
      <c r="Y30" s="714" t="str">
        <f>IF(W30="","",IF(X30="TEC Rejected","",IF(X30="","",ROUND(1.3224*Form!$D$10*X30,2))))</f>
        <v/>
      </c>
      <c r="Z30" s="714" t="str">
        <f t="shared" si="12"/>
        <v/>
      </c>
      <c r="AA30" s="713" t="str">
        <f>IF(AB30="","",IF('CST-Calculation'!$F30="Indg","",IF('CST-Calculation'!$F30="TEC Del","",IF('CST-Calculation'!AA30&gt;0,'CST-Calculation'!AA30,IF('CST-Calculation'!$F30=0,"",'CST-Calculation'!$F30)))))</f>
        <v/>
      </c>
      <c r="AB30" s="714" t="str">
        <f>IF('CST-Calculation'!AB30=0,"",'CST-Calculation'!AB30)</f>
        <v/>
      </c>
      <c r="AC30" s="714" t="str">
        <f t="shared" si="13"/>
        <v/>
      </c>
      <c r="AD30" s="714" t="str">
        <f t="shared" si="14"/>
        <v/>
      </c>
      <c r="AE30" s="713" t="str">
        <f>IF(AF30="","",IF('CST-Calculation'!$F30="Indg","",IF('CST-Calculation'!$F30="TEC Del","",IF('CST-Calculation'!AE30&gt;0,'CST-Calculation'!AE30,IF('CST-Calculation'!$F30=0,"",'CST-Calculation'!$F30)))))</f>
        <v/>
      </c>
      <c r="AF30" s="714" t="str">
        <f>IF('CST-Calculation'!AF30=0,"",'CST-Calculation'!AF30)</f>
        <v/>
      </c>
      <c r="AG30" s="714" t="str">
        <f>IF(AE30="","",IF(AF30="TEC Rejected","",IF(AF30="","",ROUND(1.3224*Form!$D$10*AF30,2))))</f>
        <v/>
      </c>
      <c r="AH30" s="714" t="str">
        <f t="shared" si="15"/>
        <v/>
      </c>
      <c r="AI30" s="713" t="str">
        <f>IF(AJ30="","",IF('CST-Calculation'!$F30="Indg","",IF('CST-Calculation'!$F30="TEC Del","",IF('CST-Calculation'!AI30&gt;0,'CST-Calculation'!AI30,IF('CST-Calculation'!$F30=0,"",'CST-Calculation'!$F30)))))</f>
        <v/>
      </c>
      <c r="AJ30" s="714" t="str">
        <f>IF('CST-Calculation'!AJ30=0,"",'CST-Calculation'!AJ30)</f>
        <v/>
      </c>
      <c r="AK30" s="714" t="str">
        <f t="shared" si="16"/>
        <v/>
      </c>
      <c r="AL30" s="714" t="str">
        <f t="shared" si="17"/>
        <v/>
      </c>
      <c r="AM30" s="713" t="str">
        <f>IF(AN30="","",IF('CST-Calculation'!$F30="Indg","",IF('CST-Calculation'!$F30="TEC Del","",IF('CST-Calculation'!AM30&gt;0,'CST-Calculation'!AM30,IF('CST-Calculation'!$F30=0,"",'CST-Calculation'!$F30)))))</f>
        <v/>
      </c>
      <c r="AN30" s="714" t="str">
        <f>IF('CST-Calculation'!AN30=0,"",'CST-Calculation'!AN30)</f>
        <v/>
      </c>
      <c r="AO30" s="714" t="str">
        <f>IF(AM30="","",IF(AN30="TEC Rejected","",IF(AN30="","",ROUND(1.3224*Form!$D$10*AN30,2))))</f>
        <v/>
      </c>
      <c r="AP30" s="714" t="str">
        <f t="shared" si="18"/>
        <v/>
      </c>
      <c r="AQ30" s="713" t="str">
        <f>IF(AR30="","",IF('CST-Calculation'!$F30="Indg","",IF('CST-Calculation'!$F30="TEC Del","",IF('CST-Calculation'!AQ30&gt;0,'CST-Calculation'!AQ30,IF('CST-Calculation'!$F30=0,"",'CST-Calculation'!$F30)))))</f>
        <v/>
      </c>
      <c r="AR30" s="714" t="str">
        <f>IF('CST-Calculation'!AR30=0,"",'CST-Calculation'!AR30)</f>
        <v/>
      </c>
      <c r="AS30" s="714" t="str">
        <f>IF(AQ30="","",IF(AR30="TEC Rejected","",IF(AR30="","",ROUND(1.3224*Form!$D$10*AR30,2))))</f>
        <v/>
      </c>
      <c r="AT30" s="714" t="str">
        <f t="shared" si="19"/>
        <v/>
      </c>
      <c r="AU30" s="713" t="str">
        <f>IF(AV30="","",IF('CST-Calculation'!$F30="Indg","",IF('CST-Calculation'!$F30="TEC Del","",IF('CST-Calculation'!AU30&gt;0,'CST-Calculation'!AU30,IF('CST-Calculation'!$F30=0,"",'CST-Calculation'!$F30)))))</f>
        <v/>
      </c>
      <c r="AV30" s="714" t="str">
        <f>IF('CST-Calculation'!AV30=0,"",'CST-Calculation'!AV30)</f>
        <v/>
      </c>
      <c r="AW30" s="714" t="str">
        <f>IF(AU30="","",IF(AV30="TEC Rejected","",IF(AV30="","",ROUND(1.3224*Form!$D$10*AV30,2))))</f>
        <v/>
      </c>
      <c r="AX30" s="714" t="str">
        <f t="shared" si="20"/>
        <v/>
      </c>
      <c r="AY30" s="715" t="str">
        <f t="shared" si="21"/>
        <v>GIS</v>
      </c>
      <c r="AZ30" s="716" t="str">
        <f t="shared" si="22"/>
        <v>MULTIPLE</v>
      </c>
      <c r="BA30" s="716" t="str">
        <f t="shared" si="23"/>
        <v>&lt;= 20%</v>
      </c>
      <c r="BB30" s="716">
        <f>IF(AY30="EST",ROUND(BD30/1.18,2),IF(AY30="ADRYS",ROUND(BD30/1.18,2),ROUND(BD30/(1.3224*Form!$D$10),2)))</f>
        <v>4583</v>
      </c>
      <c r="BC30" s="784">
        <f>IF(OR(AY30="EST",AY30="ADRYS"),ROUND(BE30/1.18,2),ROUND(BE30/(1.3224*Form!$D$10),2))</f>
        <v>22915</v>
      </c>
      <c r="BD30" s="717">
        <f>IF(F30="Indg",0,IF(F30="TEC Del",0,IF(AND(IF(G30="",TRUE,G30&lt;=ROUNDUP(1.2*F30,0)),IF(K30="",TRUE,K30&lt;=ROUNDUP(1.2*F30,0)),IF(O30="",TRUE,O30&lt;=ROUNDUP(1.2*F30,0)),IF(S30="",TRUE,S30&lt;=ROUNDUP(1.2*F30,0)),IF(W30="",TRUE,W30&lt;=ROUNDUP(1.2*F30,0)),IF(AA30="",TRUE,AA30&lt;=ROUNDUP(1.2*F30,0)),IF(AE30="",TRUE,AE30&lt;=ROUNDUP(1.2*F30,0)),IF(AI30="",TRUE,AI30&lt;=ROUNDUP(1.2*F30,0)),IF(AM30="",TRUE,AM30&lt;=ROUNDUP(1.2*F30,0)),IF(AQ30="",TRUE,AQ30&lt;=ROUNDUP(1.2*F30,0)),IF(AU30="",TRUE,AU30&lt;=ROUNDUP(1.2*F30,0))),IF(F30=0,0,(IF(SUM(I30,M30,Q30,U30,Y30,AC30,AG30,AK30,AO30,AS30,AW30)=0,0,SMALL((I30,M30,Q30,U30,Y30,AC30,AG30,AK30,AO30,AS30,AW30),COUNTIF((I30:AW30),0)+1)))),IF(BE30=J30,I30,IF(BE30=N30,M30,IF(BE30=R30,Q30,IF(BE30=V30,U30,IF(BE30=Z30,Y30,IF(BE30=AD30,AC30,IF(BE30=AH30,AG30,IF(BE30=AL30,AK30,IF(BE30=AP30,AO30,IF(BE30=AT30,AS30,IF(BE30=AX30,AW30))))))))))))))</f>
        <v>501693.09</v>
      </c>
      <c r="BE30" s="714">
        <f>IF(F30="Indg",0,IF(F30="TEC Del",0,IF(AND(IF(G30="",TRUE,G30&lt;=ROUNDUP(1.2*F30,0)),IF(K30="",TRUE,K30&lt;=ROUNDUP(1.2*F30,0)),IF(O30="",TRUE,O30&lt;=ROUNDUP(1.2*F30,0)),IF(S30="",TRUE,S30&lt;=ROUNDUP(1.2*F30,0)),IF(W30="",TRUE,W30&lt;=ROUNDUP(1.2*F30,0)),IF(AA30="",TRUE,AA30&lt;=ROUNDUP(1.2*F30,0)),IF(AE30="",TRUE,AE30&lt;=ROUNDUP(1.2*F30,0)),IF(AI30="",TRUE,AI30&lt;=ROUNDUP(1.2*F30,0)),IF(AM30="",TRUE,AM30&lt;=ROUNDUP(1.2*F30,0)),IF(AQ30="",TRUE,AQ30&lt;=ROUNDUP(1.2*F30,0)),IF(AU30="",TRUE,AU30&lt;=ROUNDUP(1.2*F30,0))),ROUND(BD30*IF(BD30=I30,G30,IF(BD30=M30,K30,IF(BD30=Q30,O30,IF(BD30=U30,S30,IF(BD30=Y30,W30,IF(BD30=AC30,AA30,IF(BD30=AG30,AE30,IF(BD30=AK30,AI30,IF(BD30=AO30,AM30,IF(BD30=AS30,AQ30,IF(BD30=AW30,AU30))))))))))),2),(IF(SUM(J30,N30,R30,V30,Z30,AD30,AH30,AL30,AP30,AT30,AX30)=0,0,SMALL((J30,N30,R30,V30,Z30,AD30,AH30,AL30,AP30,AT30,AX30),COUNTIF((J30:AX30),0)+1))))))</f>
        <v>2508465.4500000002</v>
      </c>
      <c r="BF30" s="714">
        <f>IF('Annexure-I'!L27="",'Annexure-I'!F27,'Annexure-I'!L27)</f>
        <v>2394.14</v>
      </c>
      <c r="BG30" s="714" t="str">
        <f>IF('Annexure-I'!M27="",'Annexure-I'!G27,'Annexure-I'!M27)</f>
        <v>CONTRACT-A26</v>
      </c>
      <c r="BH30" s="764">
        <f>IF('Annexure-I'!N27="",'Annexure-I'!H27,'Annexure-I'!N27)</f>
        <v>40967</v>
      </c>
      <c r="BI30" s="717">
        <f>IF('Annexure-I'!P27="",'Annexure-I'!J27,'Annexure-I'!P27)</f>
        <v>4386.26</v>
      </c>
      <c r="BJ30" s="717">
        <f>IF('Annexure-I'!Q27="",'Annexure-I'!K27,'Annexure-I'!Q27)</f>
        <v>480156.30274272006</v>
      </c>
      <c r="BK30" s="714">
        <f>'Annexure-I'!F27</f>
        <v>2394.14</v>
      </c>
      <c r="BL30" s="718" t="str">
        <f>'Annexure-I'!G27</f>
        <v>CONTRACT-A26</v>
      </c>
      <c r="BM30" s="764">
        <f>IF('Annexure-I'!H27=0,"",'Annexure-I'!H27)</f>
        <v>40967</v>
      </c>
      <c r="BN30" s="717">
        <f>'Annexure-I'!J27</f>
        <v>4386.26</v>
      </c>
      <c r="BO30" s="717">
        <f>'Annexure-I'!K27</f>
        <v>480156.30274272006</v>
      </c>
      <c r="BP30" s="714">
        <f>IF(OR(AY30="EST",AY30="ADRYS"),ROUND((BC30*1.18)/(1.3224*Form!$D$10),2),BC30)</f>
        <v>22915</v>
      </c>
      <c r="BQ30" s="714">
        <f>ROUND(BS30/(1.3224*Form!$D$10),2)</f>
        <v>21931.3</v>
      </c>
      <c r="BR30" s="714">
        <f t="shared" si="24"/>
        <v>2508465.4500000002</v>
      </c>
      <c r="BS30" s="714">
        <f t="shared" si="25"/>
        <v>2400781.5099999998</v>
      </c>
      <c r="BT30" s="719">
        <f t="shared" si="26"/>
        <v>4.4853702659514577E-2</v>
      </c>
      <c r="BU30" s="714"/>
      <c r="BV30" s="714">
        <f t="shared" si="8"/>
        <v>0</v>
      </c>
      <c r="BW30" s="714">
        <f>IF(OR(AY30="EST",AY30="ADRYS"),ROUND(1.18*BU30,2),ROUND(BU30*1.3224*Form!$D$10,2))</f>
        <v>0</v>
      </c>
      <c r="BX30" s="714">
        <f t="shared" si="9"/>
        <v>0</v>
      </c>
      <c r="BY30" s="719">
        <f>IF((BX30)=0,0,(BX30-BS30)/BS30)</f>
        <v>0</v>
      </c>
      <c r="BZ30" s="714">
        <f t="shared" si="11"/>
        <v>2400781.5099999998</v>
      </c>
      <c r="CA30" s="722"/>
      <c r="CB30" s="722"/>
      <c r="CC30" s="4"/>
      <c r="CD30" s="4"/>
      <c r="CE30" s="4"/>
      <c r="CF30" s="4"/>
      <c r="CG30" s="4"/>
      <c r="CH30" s="4"/>
      <c r="CI30" s="721"/>
    </row>
    <row r="31" spans="1:89" s="579" customFormat="1" ht="45" x14ac:dyDescent="0.25">
      <c r="A31" s="712">
        <f>SUBTOTAL(2,$B$5:B31)</f>
        <v>27</v>
      </c>
      <c r="B31" s="754">
        <v>27</v>
      </c>
      <c r="C31" s="755" t="s">
        <v>695</v>
      </c>
      <c r="D31" s="755" t="s">
        <v>597</v>
      </c>
      <c r="E31" s="754">
        <v>121</v>
      </c>
      <c r="F31" s="658">
        <f>'Annexure-I'!E28</f>
        <v>121</v>
      </c>
      <c r="G31" s="784" t="str">
        <f>IF('CST-Calculation'!G31=0,"",'CST-Calculation'!G31)</f>
        <v/>
      </c>
      <c r="H31" s="784" t="str">
        <f>IF('CST-Calculation'!H31=0,"",'CST-Calculation'!H31)</f>
        <v/>
      </c>
      <c r="I31" s="714" t="str">
        <f>IF(G31="","",IF(H31="TEC Rejected","",IF(H31="","",ROUND(1.3224*Form!$D$10*H31,2))))</f>
        <v/>
      </c>
      <c r="J31" s="714" t="str">
        <f t="shared" si="0"/>
        <v/>
      </c>
      <c r="K31" s="713" t="str">
        <f>IF(L31="","",IF('CST-Calculation'!$F31="Indg","",IF('CST-Calculation'!$F31="TEC Del","",IF('CST-Calculation'!K31&gt;0,'CST-Calculation'!K31,IF('CST-Calculation'!$F31=0,"",'CST-Calculation'!$F31)))))</f>
        <v/>
      </c>
      <c r="L31" s="714" t="str">
        <f>IF('CST-Calculation'!L31=0,"",'CST-Calculation'!L31)</f>
        <v/>
      </c>
      <c r="M31" s="714" t="str">
        <f>IF(K31="","",IF(L31="TEC Rejected","",IF(L31="","",ROUND(1.3224*Form!$D$10*L31,2))))</f>
        <v/>
      </c>
      <c r="N31" s="714" t="str">
        <f t="shared" si="1"/>
        <v/>
      </c>
      <c r="O31" s="89">
        <f>IF(P31="","",IF('CST-Calculation'!$F31="Indg","",IF('CST-Calculation'!$F31="TEC Del","",IF('CST-Calculation'!O31&gt;0,'CST-Calculation'!O31,IF('CST-Calculation'!$F31=0,"",'CST-Calculation'!$F31)))))</f>
        <v>121</v>
      </c>
      <c r="P31" s="714">
        <f>IF('CST-Calculation'!P31=0,"",'CST-Calculation'!P31)</f>
        <v>6.5</v>
      </c>
      <c r="Q31" s="714">
        <f>IF(O31="","",IF(P31="TEC Rejected","",IF(P31="","",ROUND(1.3224*Form!$D$10*P31,2))))</f>
        <v>711.54</v>
      </c>
      <c r="R31" s="714">
        <f t="shared" si="2"/>
        <v>86096.34</v>
      </c>
      <c r="S31" s="89">
        <f>IF(T31="","",IF('CST-Calculation'!$F31="Indg","",IF('CST-Calculation'!$F31="TEC Del","",IF('CST-Calculation'!S31&gt;0,'CST-Calculation'!S31,IF('CST-Calculation'!$F31=0,"",'CST-Calculation'!$F31)))))</f>
        <v>121</v>
      </c>
      <c r="T31" s="714">
        <f>IF('CST-Calculation'!T31=0,"",'CST-Calculation'!T31)</f>
        <v>23.1</v>
      </c>
      <c r="U31" s="714">
        <f>IF(S31="","",IF(T31="TEC Rejected","",IF(T31="","",ROUND(1.3224*Form!$D$10*T31,2))))</f>
        <v>2528.7199999999998</v>
      </c>
      <c r="V31" s="714">
        <f t="shared" si="3"/>
        <v>305975.12</v>
      </c>
      <c r="W31" s="713" t="str">
        <f>IF(X31="","",IF('CST-Calculation'!$F31="Indg","",IF('CST-Calculation'!$F31="TEC Del","",IF('CST-Calculation'!W31&gt;0,'CST-Calculation'!W31,IF('CST-Calculation'!$F31=0,"",'CST-Calculation'!$F31)))))</f>
        <v/>
      </c>
      <c r="X31" s="714" t="str">
        <f>IF('CST-Calculation'!X31=0,"",'CST-Calculation'!X31)</f>
        <v/>
      </c>
      <c r="Y31" s="714" t="str">
        <f>IF(W31="","",IF(X31="TEC Rejected","",IF(X31="","",ROUND(1.3224*Form!$D$10*X31,2))))</f>
        <v/>
      </c>
      <c r="Z31" s="714" t="str">
        <f t="shared" si="12"/>
        <v/>
      </c>
      <c r="AA31" s="713">
        <f>IF(AB31="","",IF('CST-Calculation'!$F31="Indg","",IF('CST-Calculation'!$F31="TEC Del","",IF('CST-Calculation'!AA31&gt;0,'CST-Calculation'!AA31,IF('CST-Calculation'!$F31=0,"",'CST-Calculation'!$F31)))))</f>
        <v>121</v>
      </c>
      <c r="AB31" s="714">
        <f>IF('CST-Calculation'!AB31=0,"",'CST-Calculation'!AB31)</f>
        <v>465</v>
      </c>
      <c r="AC31" s="714">
        <f t="shared" si="13"/>
        <v>548.70000000000005</v>
      </c>
      <c r="AD31" s="714">
        <f t="shared" si="14"/>
        <v>66392.7</v>
      </c>
      <c r="AE31" s="713" t="str">
        <f>IF(AF31="","",IF('CST-Calculation'!$F31="Indg","",IF('CST-Calculation'!$F31="TEC Del","",IF('CST-Calculation'!AE31&gt;0,'CST-Calculation'!AE31,IF('CST-Calculation'!$F31=0,"",'CST-Calculation'!$F31)))))</f>
        <v/>
      </c>
      <c r="AF31" s="714" t="str">
        <f>IF('CST-Calculation'!AF31=0,"",'CST-Calculation'!AF31)</f>
        <v/>
      </c>
      <c r="AG31" s="714" t="str">
        <f>IF(AE31="","",IF(AF31="TEC Rejected","",IF(AF31="","",ROUND(1.3224*Form!$D$10*AF31,2))))</f>
        <v/>
      </c>
      <c r="AH31" s="714" t="str">
        <f t="shared" si="15"/>
        <v/>
      </c>
      <c r="AI31" s="713">
        <f>IF(AJ31="","",IF('CST-Calculation'!$F31="Indg","",IF('CST-Calculation'!$F31="TEC Del","",IF('CST-Calculation'!AI31&gt;0,'CST-Calculation'!AI31,IF('CST-Calculation'!$F31=0,"",'CST-Calculation'!$F31)))))</f>
        <v>121</v>
      </c>
      <c r="AJ31" s="714">
        <f>IF('CST-Calculation'!AJ31=0,"",'CST-Calculation'!AJ31)</f>
        <v>581</v>
      </c>
      <c r="AK31" s="714">
        <f t="shared" si="16"/>
        <v>685.58</v>
      </c>
      <c r="AL31" s="714">
        <f t="shared" si="17"/>
        <v>82955.179999999993</v>
      </c>
      <c r="AM31" s="713" t="str">
        <f>IF(AN31="","",IF('CST-Calculation'!$F31="Indg","",IF('CST-Calculation'!$F31="TEC Del","",IF('CST-Calculation'!AM31&gt;0,'CST-Calculation'!AM31,IF('CST-Calculation'!$F31=0,"",'CST-Calculation'!$F31)))))</f>
        <v/>
      </c>
      <c r="AN31" s="714" t="str">
        <f>IF('CST-Calculation'!AN31=0,"",'CST-Calculation'!AN31)</f>
        <v/>
      </c>
      <c r="AO31" s="714" t="str">
        <f>IF(AM31="","",IF(AN31="TEC Rejected","",IF(AN31="","",ROUND(1.3224*Form!$D$10*AN31,2))))</f>
        <v/>
      </c>
      <c r="AP31" s="714" t="str">
        <f t="shared" si="18"/>
        <v/>
      </c>
      <c r="AQ31" s="713" t="str">
        <f>IF(AR31="","",IF('CST-Calculation'!$F31="Indg","",IF('CST-Calculation'!$F31="TEC Del","",IF('CST-Calculation'!AQ31&gt;0,'CST-Calculation'!AQ31,IF('CST-Calculation'!$F31=0,"",'CST-Calculation'!$F31)))))</f>
        <v/>
      </c>
      <c r="AR31" s="714" t="str">
        <f>IF('CST-Calculation'!AR31=0,"",'CST-Calculation'!AR31)</f>
        <v/>
      </c>
      <c r="AS31" s="714" t="str">
        <f>IF(AQ31="","",IF(AR31="TEC Rejected","",IF(AR31="","",ROUND(1.3224*Form!$D$10*AR31,2))))</f>
        <v/>
      </c>
      <c r="AT31" s="714" t="str">
        <f t="shared" si="19"/>
        <v/>
      </c>
      <c r="AU31" s="713" t="str">
        <f>IF(AV31="","",IF('CST-Calculation'!$F31="Indg","",IF('CST-Calculation'!$F31="TEC Del","",IF('CST-Calculation'!AU31&gt;0,'CST-Calculation'!AU31,IF('CST-Calculation'!$F31=0,"",'CST-Calculation'!$F31)))))</f>
        <v/>
      </c>
      <c r="AV31" s="714" t="str">
        <f>IF('CST-Calculation'!AV31=0,"",'CST-Calculation'!AV31)</f>
        <v/>
      </c>
      <c r="AW31" s="714" t="str">
        <f>IF(AU31="","",IF(AV31="TEC Rejected","",IF(AV31="","",ROUND(1.3224*Form!$D$10*AV31,2))))</f>
        <v/>
      </c>
      <c r="AX31" s="714" t="str">
        <f t="shared" si="20"/>
        <v/>
      </c>
      <c r="AY31" s="715" t="str">
        <f t="shared" si="21"/>
        <v>ADRYS</v>
      </c>
      <c r="AZ31" s="716" t="str">
        <f t="shared" si="22"/>
        <v>MULTIPLE</v>
      </c>
      <c r="BA31" s="716" t="str">
        <f t="shared" si="23"/>
        <v>&lt;= 20%</v>
      </c>
      <c r="BB31" s="716">
        <f>IF(AY31="EST",ROUND(BD31/1.18,2),IF(AY31="ADRYS",ROUND(BD31/1.18,2),ROUND(BD31/(1.3224*Form!$D$10),2)))</f>
        <v>465</v>
      </c>
      <c r="BC31" s="784">
        <f>IF(OR(AY31="EST",AY31="ADRYS"),ROUND(BE31/1.18,2),ROUND(BE31/(1.3224*Form!$D$10),2))</f>
        <v>56265</v>
      </c>
      <c r="BD31" s="717">
        <f>IF(F31="Indg",0,IF(F31="TEC Del",0,IF(AND(IF(G31="",TRUE,G31&lt;=ROUNDUP(1.2*F31,0)),IF(K31="",TRUE,K31&lt;=ROUNDUP(1.2*F31,0)),IF(O31="",TRUE,O31&lt;=ROUNDUP(1.2*F31,0)),IF(S31="",TRUE,S31&lt;=ROUNDUP(1.2*F31,0)),IF(W31="",TRUE,W31&lt;=ROUNDUP(1.2*F31,0)),IF(AA31="",TRUE,AA31&lt;=ROUNDUP(1.2*F31,0)),IF(AE31="",TRUE,AE31&lt;=ROUNDUP(1.2*F31,0)),IF(AI31="",TRUE,AI31&lt;=ROUNDUP(1.2*F31,0)),IF(AM31="",TRUE,AM31&lt;=ROUNDUP(1.2*F31,0)),IF(AQ31="",TRUE,AQ31&lt;=ROUNDUP(1.2*F31,0)),IF(AU31="",TRUE,AU31&lt;=ROUNDUP(1.2*F31,0))),IF(F31=0,0,(IF(SUM(I31,M31,Q31,U31,Y31,AC31,AG31,AK31,AO31,AS31,AW31)=0,0,SMALL((I31,M31,Q31,U31,Y31,AC31,AG31,AK31,AO31,AS31,AW31),COUNTIF((I31:AW31),0)+1)))),IF(BE31=J31,I31,IF(BE31=N31,M31,IF(BE31=R31,Q31,IF(BE31=V31,U31,IF(BE31=Z31,Y31,IF(BE31=AD31,AC31,IF(BE31=AH31,AG31,IF(BE31=AL31,AK31,IF(BE31=AP31,AO31,IF(BE31=AT31,AS31,IF(BE31=AX31,AW31))))))))))))))</f>
        <v>548.70000000000005</v>
      </c>
      <c r="BE31" s="714">
        <f>IF(F31="Indg",0,IF(F31="TEC Del",0,IF(AND(IF(G31="",TRUE,G31&lt;=ROUNDUP(1.2*F31,0)),IF(K31="",TRUE,K31&lt;=ROUNDUP(1.2*F31,0)),IF(O31="",TRUE,O31&lt;=ROUNDUP(1.2*F31,0)),IF(S31="",TRUE,S31&lt;=ROUNDUP(1.2*F31,0)),IF(W31="",TRUE,W31&lt;=ROUNDUP(1.2*F31,0)),IF(AA31="",TRUE,AA31&lt;=ROUNDUP(1.2*F31,0)),IF(AE31="",TRUE,AE31&lt;=ROUNDUP(1.2*F31,0)),IF(AI31="",TRUE,AI31&lt;=ROUNDUP(1.2*F31,0)),IF(AM31="",TRUE,AM31&lt;=ROUNDUP(1.2*F31,0)),IF(AQ31="",TRUE,AQ31&lt;=ROUNDUP(1.2*F31,0)),IF(AU31="",TRUE,AU31&lt;=ROUNDUP(1.2*F31,0))),ROUND(BD31*IF(BD31=I31,G31,IF(BD31=M31,K31,IF(BD31=Q31,O31,IF(BD31=U31,S31,IF(BD31=Y31,W31,IF(BD31=AC31,AA31,IF(BD31=AG31,AE31,IF(BD31=AK31,AI31,IF(BD31=AO31,AM31,IF(BD31=AS31,AQ31,IF(BD31=AW31,AU31))))))))))),2),(IF(SUM(J31,N31,R31,V31,Z31,AD31,AH31,AL31,AP31,AT31,AX31)=0,0,SMALL((J31,N31,R31,V31,Z31,AD31,AH31,AL31,AP31,AT31,AX31),COUNTIF((J31:AX31),0)+1))))))</f>
        <v>66392.7</v>
      </c>
      <c r="BF31" s="714">
        <f>IF('Annexure-I'!L28="",'Annexure-I'!F28,'Annexure-I'!L28)</f>
        <v>7.03</v>
      </c>
      <c r="BG31" s="714" t="str">
        <f>IF('Annexure-I'!M28="",'Annexure-I'!G28,'Annexure-I'!M28)</f>
        <v>CONTRACT-A27</v>
      </c>
      <c r="BH31" s="764">
        <f>IF('Annexure-I'!N28="",'Annexure-I'!H28,'Annexure-I'!N28)</f>
        <v>41789</v>
      </c>
      <c r="BI31" s="717">
        <f>IF('Annexure-I'!P28="",'Annexure-I'!J28,'Annexure-I'!P28)</f>
        <v>11.57</v>
      </c>
      <c r="BJ31" s="717">
        <f>IF('Annexure-I'!Q28="",'Annexure-I'!K28,'Annexure-I'!Q28)</f>
        <v>1266.5479070400002</v>
      </c>
      <c r="BK31" s="714">
        <f>'Annexure-I'!F28</f>
        <v>7.03</v>
      </c>
      <c r="BL31" s="718" t="str">
        <f>'Annexure-I'!G28</f>
        <v>CONTRACT-A27</v>
      </c>
      <c r="BM31" s="764">
        <f>IF('Annexure-I'!H28=0,"",'Annexure-I'!H28)</f>
        <v>41789</v>
      </c>
      <c r="BN31" s="717">
        <f>'Annexure-I'!J28</f>
        <v>11.57</v>
      </c>
      <c r="BO31" s="717">
        <f>'Annexure-I'!K28</f>
        <v>1266.5479070400002</v>
      </c>
      <c r="BP31" s="714">
        <f>IF(OR(AY31="EST",AY31="ADRYS"),ROUND((BC31*1.18)/(1.3224*Form!$D$10),2),BC31)</f>
        <v>606.5</v>
      </c>
      <c r="BQ31" s="714">
        <f>ROUND(BS31/(1.3224*Form!$D$10),2)</f>
        <v>1399.97</v>
      </c>
      <c r="BR31" s="714">
        <f t="shared" si="24"/>
        <v>66392.7</v>
      </c>
      <c r="BS31" s="714">
        <f t="shared" si="25"/>
        <v>153252.29999999999</v>
      </c>
      <c r="BT31" s="719">
        <f t="shared" si="26"/>
        <v>-0.56677518053562648</v>
      </c>
      <c r="BU31" s="714"/>
      <c r="BV31" s="714">
        <f t="shared" si="8"/>
        <v>0</v>
      </c>
      <c r="BW31" s="714">
        <f>IF(OR(AY31="EST",AY31="ADRYS"),ROUND(1.18*BU31,2),ROUND(BU31*1.3224*Form!$D$10,2))</f>
        <v>0</v>
      </c>
      <c r="BX31" s="714">
        <f t="shared" si="9"/>
        <v>0</v>
      </c>
      <c r="BY31" s="719">
        <f t="shared" si="10"/>
        <v>0</v>
      </c>
      <c r="BZ31" s="714">
        <f t="shared" si="11"/>
        <v>153252.29999999999</v>
      </c>
      <c r="CA31" s="719"/>
      <c r="CB31" s="720"/>
      <c r="CC31" s="4"/>
      <c r="CD31" s="4"/>
      <c r="CE31" s="4"/>
      <c r="CF31" s="4"/>
      <c r="CG31" s="4"/>
      <c r="CH31" s="4"/>
      <c r="CI31" s="721"/>
      <c r="CJ31" s="645"/>
      <c r="CK31" s="592"/>
    </row>
    <row r="32" spans="1:89" s="579" customFormat="1" ht="45" x14ac:dyDescent="0.25">
      <c r="A32" s="712">
        <f>SUBTOTAL(2,$B$5:B32)</f>
        <v>28</v>
      </c>
      <c r="B32" s="754">
        <v>28</v>
      </c>
      <c r="C32" s="756" t="s">
        <v>696</v>
      </c>
      <c r="D32" s="755" t="s">
        <v>598</v>
      </c>
      <c r="E32" s="754">
        <v>15</v>
      </c>
      <c r="F32" s="658">
        <f>'Annexure-I'!E29</f>
        <v>15</v>
      </c>
      <c r="G32" s="784" t="str">
        <f>IF('CST-Calculation'!G32=0,"",'CST-Calculation'!G32)</f>
        <v/>
      </c>
      <c r="H32" s="784" t="str">
        <f>IF('CST-Calculation'!H32=0,"",'CST-Calculation'!H32)</f>
        <v/>
      </c>
      <c r="I32" s="714" t="str">
        <f>IF(G32="","",IF(H32="TEC Rejected","",IF(H32="","",ROUND(1.3224*Form!$D$10*H32,2))))</f>
        <v/>
      </c>
      <c r="J32" s="714" t="str">
        <f t="shared" si="0"/>
        <v/>
      </c>
      <c r="K32" s="713" t="str">
        <f>IF(L32="","",IF('CST-Calculation'!$F32="Indg","",IF('CST-Calculation'!$F32="TEC Del","",IF('CST-Calculation'!K32&gt;0,'CST-Calculation'!K32,IF('CST-Calculation'!$F32=0,"",'CST-Calculation'!$F32)))))</f>
        <v/>
      </c>
      <c r="L32" s="714" t="str">
        <f>IF('CST-Calculation'!L32=0,"",'CST-Calculation'!L32)</f>
        <v/>
      </c>
      <c r="M32" s="714" t="str">
        <f>IF(K32="","",IF(L32="TEC Rejected","",IF(L32="","",ROUND(1.3224*Form!$D$10*L32,2))))</f>
        <v/>
      </c>
      <c r="N32" s="714" t="str">
        <f t="shared" si="1"/>
        <v/>
      </c>
      <c r="O32" s="89" t="str">
        <f>IF(P32="","",IF('CST-Calculation'!$F32="Indg","",IF('CST-Calculation'!$F32="TEC Del","",IF('CST-Calculation'!O32&gt;0,'CST-Calculation'!O32,IF('CST-Calculation'!$F32=0,"",'CST-Calculation'!$F32)))))</f>
        <v/>
      </c>
      <c r="P32" s="714" t="str">
        <f>IF('CST-Calculation'!P32=0,"",'CST-Calculation'!P32)</f>
        <v/>
      </c>
      <c r="Q32" s="714" t="str">
        <f>IF(O32="","",IF(P32="TEC Rejected","",IF(P32="","",ROUND(1.3224*Form!$D$10*P32,2))))</f>
        <v/>
      </c>
      <c r="R32" s="714" t="str">
        <f t="shared" si="2"/>
        <v/>
      </c>
      <c r="S32" s="89" t="str">
        <f>IF(T32="","",IF('CST-Calculation'!$F32="Indg","",IF('CST-Calculation'!$F32="TEC Del","",IF('CST-Calculation'!S32&gt;0,'CST-Calculation'!S32,IF('CST-Calculation'!$F32=0,"",'CST-Calculation'!$F32)))))</f>
        <v/>
      </c>
      <c r="T32" s="714" t="str">
        <f>IF('CST-Calculation'!T32=0,"",'CST-Calculation'!T32)</f>
        <v/>
      </c>
      <c r="U32" s="714" t="str">
        <f>IF(S32="","",IF(T32="TEC Rejected","",IF(T32="","",ROUND(1.3224*Form!$D$10*T32,2))))</f>
        <v/>
      </c>
      <c r="V32" s="714" t="str">
        <f t="shared" si="3"/>
        <v/>
      </c>
      <c r="W32" s="713" t="str">
        <f>IF(X32="","",IF('CST-Calculation'!$F32="Indg","",IF('CST-Calculation'!$F32="TEC Del","",IF('CST-Calculation'!W32&gt;0,'CST-Calculation'!W32,IF('CST-Calculation'!$F32=0,"",'CST-Calculation'!$F32)))))</f>
        <v/>
      </c>
      <c r="X32" s="714" t="str">
        <f>IF('CST-Calculation'!X32=0,"",'CST-Calculation'!X32)</f>
        <v/>
      </c>
      <c r="Y32" s="714" t="str">
        <f>IF(W32="","",IF(X32="TEC Rejected","",IF(X32="","",ROUND(1.3224*Form!$D$10*X32,2))))</f>
        <v/>
      </c>
      <c r="Z32" s="714" t="str">
        <f t="shared" si="12"/>
        <v/>
      </c>
      <c r="AA32" s="713" t="str">
        <f>IF(AB32="","",IF('CST-Calculation'!$F32="Indg","",IF('CST-Calculation'!$F32="TEC Del","",IF('CST-Calculation'!AA32&gt;0,'CST-Calculation'!AA32,IF('CST-Calculation'!$F32=0,"",'CST-Calculation'!$F32)))))</f>
        <v/>
      </c>
      <c r="AB32" s="714" t="str">
        <f>IF('CST-Calculation'!AB32=0,"",'CST-Calculation'!AB32)</f>
        <v/>
      </c>
      <c r="AC32" s="714" t="str">
        <f t="shared" si="13"/>
        <v/>
      </c>
      <c r="AD32" s="714" t="str">
        <f t="shared" si="14"/>
        <v/>
      </c>
      <c r="AE32" s="713" t="str">
        <f>IF(AF32="","",IF('CST-Calculation'!$F32="Indg","",IF('CST-Calculation'!$F32="TEC Del","",IF('CST-Calculation'!AE32&gt;0,'CST-Calculation'!AE32,IF('CST-Calculation'!$F32=0,"",'CST-Calculation'!$F32)))))</f>
        <v/>
      </c>
      <c r="AF32" s="714" t="str">
        <f>IF('CST-Calculation'!AF32=0,"",'CST-Calculation'!AF32)</f>
        <v/>
      </c>
      <c r="AG32" s="714" t="str">
        <f>IF(AE32="","",IF(AF32="TEC Rejected","",IF(AF32="","",ROUND(1.3224*Form!$D$10*AF32,2))))</f>
        <v/>
      </c>
      <c r="AH32" s="714" t="str">
        <f t="shared" si="15"/>
        <v/>
      </c>
      <c r="AI32" s="713" t="str">
        <f>IF(AJ32="","",IF('CST-Calculation'!$F32="Indg","",IF('CST-Calculation'!$F32="TEC Del","",IF('CST-Calculation'!AI32&gt;0,'CST-Calculation'!AI32,IF('CST-Calculation'!$F32=0,"",'CST-Calculation'!$F32)))))</f>
        <v/>
      </c>
      <c r="AJ32" s="714" t="str">
        <f>IF('CST-Calculation'!AJ32=0,"",'CST-Calculation'!AJ32)</f>
        <v/>
      </c>
      <c r="AK32" s="714" t="str">
        <f t="shared" si="16"/>
        <v/>
      </c>
      <c r="AL32" s="714" t="str">
        <f t="shared" si="17"/>
        <v/>
      </c>
      <c r="AM32" s="713" t="str">
        <f>IF(AN32="","",IF('CST-Calculation'!$F32="Indg","",IF('CST-Calculation'!$F32="TEC Del","",IF('CST-Calculation'!AM32&gt;0,'CST-Calculation'!AM32,IF('CST-Calculation'!$F32=0,"",'CST-Calculation'!$F32)))))</f>
        <v/>
      </c>
      <c r="AN32" s="714" t="str">
        <f>IF('CST-Calculation'!AN32=0,"",'CST-Calculation'!AN32)</f>
        <v/>
      </c>
      <c r="AO32" s="714" t="str">
        <f>IF(AM32="","",IF(AN32="TEC Rejected","",IF(AN32="","",ROUND(1.3224*Form!$D$10*AN32,2))))</f>
        <v/>
      </c>
      <c r="AP32" s="714" t="str">
        <f t="shared" si="18"/>
        <v/>
      </c>
      <c r="AQ32" s="713" t="str">
        <f>IF(AR32="","",IF('CST-Calculation'!$F32="Indg","",IF('CST-Calculation'!$F32="TEC Del","",IF('CST-Calculation'!AQ32&gt;0,'CST-Calculation'!AQ32,IF('CST-Calculation'!$F32=0,"",'CST-Calculation'!$F32)))))</f>
        <v/>
      </c>
      <c r="AR32" s="714" t="str">
        <f>IF('CST-Calculation'!AR32=0,"",'CST-Calculation'!AR32)</f>
        <v/>
      </c>
      <c r="AS32" s="714" t="str">
        <f>IF(AQ32="","",IF(AR32="TEC Rejected","",IF(AR32="","",ROUND(1.3224*Form!$D$10*AR32,2))))</f>
        <v/>
      </c>
      <c r="AT32" s="714" t="str">
        <f t="shared" si="19"/>
        <v/>
      </c>
      <c r="AU32" s="713" t="str">
        <f>IF(AV32="","",IF('CST-Calculation'!$F32="Indg","",IF('CST-Calculation'!$F32="TEC Del","",IF('CST-Calculation'!AU32&gt;0,'CST-Calculation'!AU32,IF('CST-Calculation'!$F32=0,"",'CST-Calculation'!$F32)))))</f>
        <v/>
      </c>
      <c r="AV32" s="714" t="str">
        <f>IF('CST-Calculation'!AV32=0,"",'CST-Calculation'!AV32)</f>
        <v/>
      </c>
      <c r="AW32" s="714" t="str">
        <f>IF(AU32="","",IF(AV32="TEC Rejected","",IF(AV32="","",ROUND(1.3224*Form!$D$10*AV32,2))))</f>
        <v/>
      </c>
      <c r="AX32" s="714" t="str">
        <f t="shared" si="20"/>
        <v/>
      </c>
      <c r="AY32" s="715" t="str">
        <f t="shared" si="21"/>
        <v>NO OFFER</v>
      </c>
      <c r="AZ32" s="716" t="str">
        <f t="shared" si="22"/>
        <v>NO OFFER</v>
      </c>
      <c r="BA32" s="716" t="str">
        <f t="shared" si="23"/>
        <v>&lt;= 20%</v>
      </c>
      <c r="BB32" s="716">
        <f>IF(AY32="EST",ROUND(BD32/1.18,2),IF(AY32="ADRYS",ROUND(BD32/1.18,2),ROUND(BD32/(1.3224*Form!$D$10),2)))</f>
        <v>0</v>
      </c>
      <c r="BC32" s="784">
        <f>IF(OR(AY32="EST",AY32="ADRYS"),ROUND(BE32/1.18,2),ROUND(BE32/(1.3224*Form!$D$10),2))</f>
        <v>0</v>
      </c>
      <c r="BD32" s="717">
        <f>IF(F32="Indg",0,IF(F32="TEC Del",0,IF(AND(IF(G32="",TRUE,G32&lt;=ROUNDUP(1.2*F32,0)),IF(K32="",TRUE,K32&lt;=ROUNDUP(1.2*F32,0)),IF(O32="",TRUE,O32&lt;=ROUNDUP(1.2*F32,0)),IF(S32="",TRUE,S32&lt;=ROUNDUP(1.2*F32,0)),IF(W32="",TRUE,W32&lt;=ROUNDUP(1.2*F32,0)),IF(AA32="",TRUE,AA32&lt;=ROUNDUP(1.2*F32,0)),IF(AE32="",TRUE,AE32&lt;=ROUNDUP(1.2*F32,0)),IF(AI32="",TRUE,AI32&lt;=ROUNDUP(1.2*F32,0)),IF(AM32="",TRUE,AM32&lt;=ROUNDUP(1.2*F32,0)),IF(AQ32="",TRUE,AQ32&lt;=ROUNDUP(1.2*F32,0)),IF(AU32="",TRUE,AU32&lt;=ROUNDUP(1.2*F32,0))),IF(F32=0,0,(IF(SUM(I32,M32,Q32,U32,Y32,AC32,AG32,AK32,AO32,AS32,AW32)=0,0,SMALL((I32,M32,Q32,U32,Y32,AC32,AG32,AK32,AO32,AS32,AW32),COUNTIF((I32:AW32),0)+1)))),IF(BE32=J32,I32,IF(BE32=N32,M32,IF(BE32=R32,Q32,IF(BE32=V32,U32,IF(BE32=Z32,Y32,IF(BE32=AD32,AC32,IF(BE32=AH32,AG32,IF(BE32=AL32,AK32,IF(BE32=AP32,AO32,IF(BE32=AT32,AS32,IF(BE32=AX32,AW32))))))))))))))</f>
        <v>0</v>
      </c>
      <c r="BE32" s="714">
        <f>IF(F32="Indg",0,IF(F32="TEC Del",0,IF(AND(IF(G32="",TRUE,G32&lt;=ROUNDUP(1.2*F32,0)),IF(K32="",TRUE,K32&lt;=ROUNDUP(1.2*F32,0)),IF(O32="",TRUE,O32&lt;=ROUNDUP(1.2*F32,0)),IF(S32="",TRUE,S32&lt;=ROUNDUP(1.2*F32,0)),IF(W32="",TRUE,W32&lt;=ROUNDUP(1.2*F32,0)),IF(AA32="",TRUE,AA32&lt;=ROUNDUP(1.2*F32,0)),IF(AE32="",TRUE,AE32&lt;=ROUNDUP(1.2*F32,0)),IF(AI32="",TRUE,AI32&lt;=ROUNDUP(1.2*F32,0)),IF(AM32="",TRUE,AM32&lt;=ROUNDUP(1.2*F32,0)),IF(AQ32="",TRUE,AQ32&lt;=ROUNDUP(1.2*F32,0)),IF(AU32="",TRUE,AU32&lt;=ROUNDUP(1.2*F32,0))),ROUND(BD32*IF(BD32=I32,G32,IF(BD32=M32,K32,IF(BD32=Q32,O32,IF(BD32=U32,S32,IF(BD32=Y32,W32,IF(BD32=AC32,AA32,IF(BD32=AG32,AE32,IF(BD32=AK32,AI32,IF(BD32=AO32,AM32,IF(BD32=AS32,AQ32,IF(BD32=AW32,AU32))))))))))),2),(IF(SUM(J32,N32,R32,V32,Z32,AD32,AH32,AL32,AP32,AT32,AX32)=0,0,SMALL((J32,N32,R32,V32,Z32,AD32,AH32,AL32,AP32,AT32,AX32),COUNTIF((J32:AX32),0)+1))))))</f>
        <v>0</v>
      </c>
      <c r="BF32" s="714">
        <f>IF('Annexure-I'!L29="",'Annexure-I'!F29,'Annexure-I'!L29)</f>
        <v>29.97</v>
      </c>
      <c r="BG32" s="714" t="str">
        <f>IF('Annexure-I'!M29="",'Annexure-I'!G29,'Annexure-I'!M29)</f>
        <v>CONTRACT-A28</v>
      </c>
      <c r="BH32" s="764" t="str">
        <f>IF('Annexure-I'!N29="",'Annexure-I'!H29,'Annexure-I'!N29)</f>
        <v>29-12-2015</v>
      </c>
      <c r="BI32" s="717">
        <f>IF('Annexure-I'!P29="",'Annexure-I'!J29,'Annexure-I'!P29)</f>
        <v>46.89</v>
      </c>
      <c r="BJ32" s="717">
        <f>IF('Annexure-I'!Q29="",'Annexure-I'!K29,'Annexure-I'!Q29)</f>
        <v>5132.9672740800006</v>
      </c>
      <c r="BK32" s="714">
        <f>'Annexure-I'!F29</f>
        <v>29.97</v>
      </c>
      <c r="BL32" s="718" t="str">
        <f>'Annexure-I'!G29</f>
        <v>CONTRACT-A28</v>
      </c>
      <c r="BM32" s="764" t="str">
        <f>IF('Annexure-I'!H29=0,"",'Annexure-I'!H29)</f>
        <v>29-12-2015</v>
      </c>
      <c r="BN32" s="717">
        <f>'Annexure-I'!J29</f>
        <v>46.89</v>
      </c>
      <c r="BO32" s="717">
        <f>'Annexure-I'!K29</f>
        <v>5132.9672740800006</v>
      </c>
      <c r="BP32" s="714">
        <f>IF(OR(AY32="EST",AY32="ADRYS"),ROUND((BC32*1.18)/(1.3224*Form!$D$10),2),BC32)</f>
        <v>0</v>
      </c>
      <c r="BQ32" s="714">
        <f>ROUND(BS32/(1.3224*Form!$D$10),2)</f>
        <v>0</v>
      </c>
      <c r="BR32" s="714">
        <f t="shared" si="24"/>
        <v>0</v>
      </c>
      <c r="BS32" s="714">
        <f t="shared" si="25"/>
        <v>0</v>
      </c>
      <c r="BT32" s="719">
        <f t="shared" si="26"/>
        <v>0</v>
      </c>
      <c r="BU32" s="714"/>
      <c r="BV32" s="714">
        <f t="shared" si="8"/>
        <v>0</v>
      </c>
      <c r="BW32" s="714">
        <f>IF(OR(AY32="EST",AY32="ADRYS"),ROUND(1.18*BU32,2),ROUND(BU32*1.3224*Form!$D$10,2))</f>
        <v>0</v>
      </c>
      <c r="BX32" s="714">
        <f t="shared" si="9"/>
        <v>0</v>
      </c>
      <c r="BY32" s="719">
        <f t="shared" si="10"/>
        <v>0</v>
      </c>
      <c r="BZ32" s="714">
        <f t="shared" si="11"/>
        <v>76994.509999999995</v>
      </c>
      <c r="CA32" s="720"/>
      <c r="CB32" s="720"/>
      <c r="CC32" s="4"/>
      <c r="CD32" s="4"/>
      <c r="CE32" s="4"/>
      <c r="CF32" s="4"/>
      <c r="CG32" s="4"/>
      <c r="CH32" s="4"/>
      <c r="CI32" s="721"/>
    </row>
    <row r="33" spans="1:89" s="579" customFormat="1" ht="45" x14ac:dyDescent="0.25">
      <c r="A33" s="712">
        <f>SUBTOTAL(2,$B$5:B33)</f>
        <v>29</v>
      </c>
      <c r="B33" s="754">
        <v>29</v>
      </c>
      <c r="C33" s="755" t="s">
        <v>697</v>
      </c>
      <c r="D33" s="755" t="s">
        <v>465</v>
      </c>
      <c r="E33" s="754">
        <v>3</v>
      </c>
      <c r="F33" s="658">
        <f>'Annexure-I'!E30</f>
        <v>3</v>
      </c>
      <c r="G33" s="784" t="str">
        <f>IF('CST-Calculation'!G33=0,"",'CST-Calculation'!G33)</f>
        <v/>
      </c>
      <c r="H33" s="784" t="str">
        <f>IF('CST-Calculation'!H33=0,"",'CST-Calculation'!H33)</f>
        <v/>
      </c>
      <c r="I33" s="714" t="str">
        <f>IF(G33="","",IF(H33="TEC Rejected","",IF(H33="","",ROUND(1.3224*Form!$D$10*H33,2))))</f>
        <v/>
      </c>
      <c r="J33" s="714" t="str">
        <f t="shared" si="0"/>
        <v/>
      </c>
      <c r="K33" s="713" t="str">
        <f>IF(L33="","",IF('CST-Calculation'!$F33="Indg","",IF('CST-Calculation'!$F33="TEC Del","",IF('CST-Calculation'!K33&gt;0,'CST-Calculation'!K33,IF('CST-Calculation'!$F33=0,"",'CST-Calculation'!$F33)))))</f>
        <v/>
      </c>
      <c r="L33" s="714" t="str">
        <f>IF('CST-Calculation'!L33=0,"",'CST-Calculation'!L33)</f>
        <v/>
      </c>
      <c r="M33" s="714" t="str">
        <f>IF(K33="","",IF(L33="TEC Rejected","",IF(L33="","",ROUND(1.3224*Form!$D$10*L33,2))))</f>
        <v/>
      </c>
      <c r="N33" s="714" t="str">
        <f t="shared" si="1"/>
        <v/>
      </c>
      <c r="O33" s="89" t="str">
        <f>IF(P33="","",IF('CST-Calculation'!$F33="Indg","",IF('CST-Calculation'!$F33="TEC Del","",IF('CST-Calculation'!O33&gt;0,'CST-Calculation'!O33,IF('CST-Calculation'!$F33=0,"",'CST-Calculation'!$F33)))))</f>
        <v/>
      </c>
      <c r="P33" s="714" t="str">
        <f>IF('CST-Calculation'!P33=0,"",'CST-Calculation'!P33)</f>
        <v/>
      </c>
      <c r="Q33" s="714" t="str">
        <f>IF(O33="","",IF(P33="TEC Rejected","",IF(P33="","",ROUND(1.3224*Form!$D$10*P33,2))))</f>
        <v/>
      </c>
      <c r="R33" s="714" t="str">
        <f t="shared" si="2"/>
        <v/>
      </c>
      <c r="S33" s="89" t="str">
        <f>IF(T33="","",IF('CST-Calculation'!$F33="Indg","",IF('CST-Calculation'!$F33="TEC Del","",IF('CST-Calculation'!S33&gt;0,'CST-Calculation'!S33,IF('CST-Calculation'!$F33=0,"",'CST-Calculation'!$F33)))))</f>
        <v/>
      </c>
      <c r="T33" s="714" t="str">
        <f>IF('CST-Calculation'!T33=0,"",'CST-Calculation'!T33)</f>
        <v/>
      </c>
      <c r="U33" s="714" t="str">
        <f>IF(S33="","",IF(T33="TEC Rejected","",IF(T33="","",ROUND(1.3224*Form!$D$10*T33,2))))</f>
        <v/>
      </c>
      <c r="V33" s="714" t="str">
        <f t="shared" si="3"/>
        <v/>
      </c>
      <c r="W33" s="713" t="str">
        <f>IF(X33="","",IF('CST-Calculation'!$F33="Indg","",IF('CST-Calculation'!$F33="TEC Del","",IF('CST-Calculation'!W33&gt;0,'CST-Calculation'!W33,IF('CST-Calculation'!$F33=0,"",'CST-Calculation'!$F33)))))</f>
        <v/>
      </c>
      <c r="X33" s="714" t="str">
        <f>IF('CST-Calculation'!X33=0,"",'CST-Calculation'!X33)</f>
        <v/>
      </c>
      <c r="Y33" s="714" t="str">
        <f>IF(W33="","",IF(X33="TEC Rejected","",IF(X33="","",ROUND(1.3224*Form!$D$10*X33,2))))</f>
        <v/>
      </c>
      <c r="Z33" s="714" t="str">
        <f t="shared" si="12"/>
        <v/>
      </c>
      <c r="AA33" s="713">
        <f>IF(AB33="","",IF('CST-Calculation'!$F33="Indg","",IF('CST-Calculation'!$F33="TEC Del","",IF('CST-Calculation'!AA33&gt;0,'CST-Calculation'!AA33,IF('CST-Calculation'!$F33=0,"",'CST-Calculation'!$F33)))))</f>
        <v>3</v>
      </c>
      <c r="AB33" s="714">
        <f>IF('CST-Calculation'!AB33=0,"",'CST-Calculation'!AB33)</f>
        <v>3765</v>
      </c>
      <c r="AC33" s="714">
        <f t="shared" si="13"/>
        <v>4442.7</v>
      </c>
      <c r="AD33" s="714">
        <f t="shared" si="14"/>
        <v>13328.1</v>
      </c>
      <c r="AE33" s="713" t="str">
        <f>IF(AF33="","",IF('CST-Calculation'!$F33="Indg","",IF('CST-Calculation'!$F33="TEC Del","",IF('CST-Calculation'!AE33&gt;0,'CST-Calculation'!AE33,IF('CST-Calculation'!$F33=0,"",'CST-Calculation'!$F33)))))</f>
        <v/>
      </c>
      <c r="AF33" s="714" t="str">
        <f>IF('CST-Calculation'!AF33=0,"",'CST-Calculation'!AF33)</f>
        <v/>
      </c>
      <c r="AG33" s="714" t="str">
        <f>IF(AE33="","",IF(AF33="TEC Rejected","",IF(AF33="","",ROUND(1.3224*Form!$D$10*AF33,2))))</f>
        <v/>
      </c>
      <c r="AH33" s="714" t="str">
        <f t="shared" si="15"/>
        <v/>
      </c>
      <c r="AI33" s="713" t="str">
        <f>IF(AJ33="","",IF('CST-Calculation'!$F33="Indg","",IF('CST-Calculation'!$F33="TEC Del","",IF('CST-Calculation'!AI33&gt;0,'CST-Calculation'!AI33,IF('CST-Calculation'!$F33=0,"",'CST-Calculation'!$F33)))))</f>
        <v/>
      </c>
      <c r="AJ33" s="714" t="str">
        <f>IF('CST-Calculation'!AJ33=0,"",'CST-Calculation'!AJ33)</f>
        <v/>
      </c>
      <c r="AK33" s="714" t="str">
        <f t="shared" si="16"/>
        <v/>
      </c>
      <c r="AL33" s="714" t="str">
        <f t="shared" si="17"/>
        <v/>
      </c>
      <c r="AM33" s="713" t="str">
        <f>IF(AN33="","",IF('CST-Calculation'!$F33="Indg","",IF('CST-Calculation'!$F33="TEC Del","",IF('CST-Calculation'!AM33&gt;0,'CST-Calculation'!AM33,IF('CST-Calculation'!$F33=0,"",'CST-Calculation'!$F33)))))</f>
        <v/>
      </c>
      <c r="AN33" s="714" t="str">
        <f>IF('CST-Calculation'!AN33=0,"",'CST-Calculation'!AN33)</f>
        <v/>
      </c>
      <c r="AO33" s="714" t="str">
        <f>IF(AM33="","",IF(AN33="TEC Rejected","",IF(AN33="","",ROUND(1.3224*Form!$D$10*AN33,2))))</f>
        <v/>
      </c>
      <c r="AP33" s="714" t="str">
        <f t="shared" si="18"/>
        <v/>
      </c>
      <c r="AQ33" s="713" t="str">
        <f>IF(AR33="","",IF('CST-Calculation'!$F33="Indg","",IF('CST-Calculation'!$F33="TEC Del","",IF('CST-Calculation'!AQ33&gt;0,'CST-Calculation'!AQ33,IF('CST-Calculation'!$F33=0,"",'CST-Calculation'!$F33)))))</f>
        <v/>
      </c>
      <c r="AR33" s="714" t="str">
        <f>IF('CST-Calculation'!AR33=0,"",'CST-Calculation'!AR33)</f>
        <v/>
      </c>
      <c r="AS33" s="714" t="str">
        <f>IF(AQ33="","",IF(AR33="TEC Rejected","",IF(AR33="","",ROUND(1.3224*Form!$D$10*AR33,2))))</f>
        <v/>
      </c>
      <c r="AT33" s="714" t="str">
        <f t="shared" si="19"/>
        <v/>
      </c>
      <c r="AU33" s="713" t="str">
        <f>IF(AV33="","",IF('CST-Calculation'!$F33="Indg","",IF('CST-Calculation'!$F33="TEC Del","",IF('CST-Calculation'!AU33&gt;0,'CST-Calculation'!AU33,IF('CST-Calculation'!$F33=0,"",'CST-Calculation'!$F33)))))</f>
        <v/>
      </c>
      <c r="AV33" s="714" t="str">
        <f>IF('CST-Calculation'!AV33=0,"",'CST-Calculation'!AV33)</f>
        <v/>
      </c>
      <c r="AW33" s="714" t="str">
        <f>IF(AU33="","",IF(AV33="TEC Rejected","",IF(AV33="","",ROUND(1.3224*Form!$D$10*AV33,2))))</f>
        <v/>
      </c>
      <c r="AX33" s="714" t="str">
        <f t="shared" si="20"/>
        <v/>
      </c>
      <c r="AY33" s="715" t="str">
        <f t="shared" si="21"/>
        <v>ADRYS</v>
      </c>
      <c r="AZ33" s="716" t="str">
        <f t="shared" si="22"/>
        <v>SINGLE</v>
      </c>
      <c r="BA33" s="716" t="str">
        <f t="shared" si="23"/>
        <v>&lt;= 20%</v>
      </c>
      <c r="BB33" s="716">
        <f>IF(AY33="EST",ROUND(BD33/1.18,2),IF(AY33="ADRYS",ROUND(BD33/1.18,2),ROUND(BD33/(1.3224*Form!$D$10),2)))</f>
        <v>3765</v>
      </c>
      <c r="BC33" s="784">
        <f>IF(OR(AY33="EST",AY33="ADRYS"),ROUND(BE33/1.18,2),ROUND(BE33/(1.3224*Form!$D$10),2))</f>
        <v>11295</v>
      </c>
      <c r="BD33" s="717">
        <f>IF(F33="Indg",0,IF(F33="TEC Del",0,IF(AND(IF(G33="",TRUE,G33&lt;=ROUNDUP(1.2*F33,0)),IF(K33="",TRUE,K33&lt;=ROUNDUP(1.2*F33,0)),IF(O33="",TRUE,O33&lt;=ROUNDUP(1.2*F33,0)),IF(S33="",TRUE,S33&lt;=ROUNDUP(1.2*F33,0)),IF(W33="",TRUE,W33&lt;=ROUNDUP(1.2*F33,0)),IF(AA33="",TRUE,AA33&lt;=ROUNDUP(1.2*F33,0)),IF(AE33="",TRUE,AE33&lt;=ROUNDUP(1.2*F33,0)),IF(AI33="",TRUE,AI33&lt;=ROUNDUP(1.2*F33,0)),IF(AM33="",TRUE,AM33&lt;=ROUNDUP(1.2*F33,0)),IF(AQ33="",TRUE,AQ33&lt;=ROUNDUP(1.2*F33,0)),IF(AU33="",TRUE,AU33&lt;=ROUNDUP(1.2*F33,0))),IF(F33=0,0,(IF(SUM(I33,M33,Q33,U33,Y33,AC33,AG33,AK33,AO33,AS33,AW33)=0,0,SMALL((I33,M33,Q33,U33,Y33,AC33,AG33,AK33,AO33,AS33,AW33),COUNTIF((I33:AW33),0)+1)))),IF(BE33=J33,I33,IF(BE33=N33,M33,IF(BE33=R33,Q33,IF(BE33=V33,U33,IF(BE33=Z33,Y33,IF(BE33=AD33,AC33,IF(BE33=AH33,AG33,IF(BE33=AL33,AK33,IF(BE33=AP33,AO33,IF(BE33=AT33,AS33,IF(BE33=AX33,AW33))))))))))))))</f>
        <v>4442.7</v>
      </c>
      <c r="BE33" s="714">
        <f>IF(F33="Indg",0,IF(F33="TEC Del",0,IF(AND(IF(G33="",TRUE,G33&lt;=ROUNDUP(1.2*F33,0)),IF(K33="",TRUE,K33&lt;=ROUNDUP(1.2*F33,0)),IF(O33="",TRUE,O33&lt;=ROUNDUP(1.2*F33,0)),IF(S33="",TRUE,S33&lt;=ROUNDUP(1.2*F33,0)),IF(W33="",TRUE,W33&lt;=ROUNDUP(1.2*F33,0)),IF(AA33="",TRUE,AA33&lt;=ROUNDUP(1.2*F33,0)),IF(AE33="",TRUE,AE33&lt;=ROUNDUP(1.2*F33,0)),IF(AI33="",TRUE,AI33&lt;=ROUNDUP(1.2*F33,0)),IF(AM33="",TRUE,AM33&lt;=ROUNDUP(1.2*F33,0)),IF(AQ33="",TRUE,AQ33&lt;=ROUNDUP(1.2*F33,0)),IF(AU33="",TRUE,AU33&lt;=ROUNDUP(1.2*F33,0))),ROUND(BD33*IF(BD33=I33,G33,IF(BD33=M33,K33,IF(BD33=Q33,O33,IF(BD33=U33,S33,IF(BD33=Y33,W33,IF(BD33=AC33,AA33,IF(BD33=AG33,AE33,IF(BD33=AK33,AI33,IF(BD33=AO33,AM33,IF(BD33=AS33,AQ33,IF(BD33=AW33,AU33))))))))))),2),(IF(SUM(J33,N33,R33,V33,Z33,AD33,AH33,AL33,AP33,AT33,AX33)=0,0,SMALL((J33,N33,R33,V33,Z33,AD33,AH33,AL33,AP33,AT33,AX33),COUNTIF((J33:AX33),0)+1))))))</f>
        <v>13328.1</v>
      </c>
      <c r="BF33" s="714">
        <f>IF('Annexure-I'!L30="",'Annexure-I'!F30,'Annexure-I'!L30)</f>
        <v>822.53</v>
      </c>
      <c r="BG33" s="714" t="str">
        <f>IF('Annexure-I'!M30="",'Annexure-I'!G30,'Annexure-I'!M30)</f>
        <v>CONTRACT-A29</v>
      </c>
      <c r="BH33" s="764">
        <f>IF('Annexure-I'!N30="",'Annexure-I'!H30,'Annexure-I'!N30)</f>
        <v>40967</v>
      </c>
      <c r="BI33" s="717">
        <f>IF('Annexure-I'!P30="",'Annexure-I'!J30,'Annexure-I'!P30)</f>
        <v>1506.94</v>
      </c>
      <c r="BJ33" s="717">
        <f>IF('Annexure-I'!Q30="",'Annexure-I'!K30,'Annexure-I'!Q30)</f>
        <v>164962.11780768001</v>
      </c>
      <c r="BK33" s="714">
        <f>'Annexure-I'!F30</f>
        <v>822.53</v>
      </c>
      <c r="BL33" s="718" t="str">
        <f>'Annexure-I'!G30</f>
        <v>CONTRACT-A29</v>
      </c>
      <c r="BM33" s="764">
        <f>IF('Annexure-I'!H30=0,"",'Annexure-I'!H30)</f>
        <v>40967</v>
      </c>
      <c r="BN33" s="717">
        <f>'Annexure-I'!J30</f>
        <v>1506.94</v>
      </c>
      <c r="BO33" s="717">
        <f>'Annexure-I'!K30</f>
        <v>164962.11780768001</v>
      </c>
      <c r="BP33" s="714">
        <f>IF(OR(AY33="EST",AY33="ADRYS"),ROUND((BC33*1.18)/(1.3224*Form!$D$10),2),BC33)</f>
        <v>121.75</v>
      </c>
      <c r="BQ33" s="714">
        <f>ROUND(BS33/(1.3224*Form!$D$10),2)</f>
        <v>4520.82</v>
      </c>
      <c r="BR33" s="714">
        <f t="shared" si="24"/>
        <v>13328.1</v>
      </c>
      <c r="BS33" s="714">
        <f t="shared" si="25"/>
        <v>494886.35</v>
      </c>
      <c r="BT33" s="719">
        <f t="shared" si="26"/>
        <v>-0.97306836205928904</v>
      </c>
      <c r="BU33" s="714"/>
      <c r="BV33" s="714">
        <f t="shared" si="8"/>
        <v>0</v>
      </c>
      <c r="BW33" s="714">
        <f>IF(OR(AY33="EST",AY33="ADRYS"),ROUND(1.18*BU33,2),ROUND(BU33*1.3224*Form!$D$10,2))</f>
        <v>0</v>
      </c>
      <c r="BX33" s="714">
        <f t="shared" si="9"/>
        <v>0</v>
      </c>
      <c r="BY33" s="719">
        <f t="shared" si="10"/>
        <v>0</v>
      </c>
      <c r="BZ33" s="714">
        <f t="shared" si="11"/>
        <v>494886.35</v>
      </c>
      <c r="CA33" s="720"/>
      <c r="CB33" s="720"/>
      <c r="CC33" s="4"/>
      <c r="CD33" s="4"/>
      <c r="CE33" s="4"/>
      <c r="CF33" s="4"/>
      <c r="CG33" s="4"/>
      <c r="CH33" s="4"/>
      <c r="CI33" s="721"/>
    </row>
    <row r="34" spans="1:89" s="579" customFormat="1" ht="45" x14ac:dyDescent="0.25">
      <c r="A34" s="712">
        <f>SUBTOTAL(2,$B$5:B34)</f>
        <v>30</v>
      </c>
      <c r="B34" s="754">
        <v>30</v>
      </c>
      <c r="C34" s="756" t="s">
        <v>698</v>
      </c>
      <c r="D34" s="755" t="s">
        <v>599</v>
      </c>
      <c r="E34" s="754">
        <v>4</v>
      </c>
      <c r="F34" s="658">
        <f>'Annexure-I'!E31</f>
        <v>4</v>
      </c>
      <c r="G34" s="784" t="str">
        <f>IF('CST-Calculation'!G34=0,"",'CST-Calculation'!G34)</f>
        <v/>
      </c>
      <c r="H34" s="784" t="str">
        <f>IF('CST-Calculation'!H34=0,"",'CST-Calculation'!H34)</f>
        <v/>
      </c>
      <c r="I34" s="714" t="str">
        <f>IF(G34="","",IF(H34="TEC Rejected","",IF(H34="","",ROUND(1.3224*Form!$D$10*H34,2))))</f>
        <v/>
      </c>
      <c r="J34" s="714" t="str">
        <f t="shared" si="0"/>
        <v/>
      </c>
      <c r="K34" s="713" t="str">
        <f>IF(L34="","",IF('CST-Calculation'!$F34="Indg","",IF('CST-Calculation'!$F34="TEC Del","",IF('CST-Calculation'!K34&gt;0,'CST-Calculation'!K34,IF('CST-Calculation'!$F34=0,"",'CST-Calculation'!$F34)))))</f>
        <v/>
      </c>
      <c r="L34" s="714" t="str">
        <f>IF('CST-Calculation'!L34=0,"",'CST-Calculation'!L34)</f>
        <v/>
      </c>
      <c r="M34" s="714" t="str">
        <f>IF(K34="","",IF(L34="TEC Rejected","",IF(L34="","",ROUND(1.3224*Form!$D$10*L34,2))))</f>
        <v/>
      </c>
      <c r="N34" s="714" t="str">
        <f t="shared" si="1"/>
        <v/>
      </c>
      <c r="O34" s="89" t="str">
        <f>IF(P34="","",IF('CST-Calculation'!$F34="Indg","",IF('CST-Calculation'!$F34="TEC Del","",IF('CST-Calculation'!O34&gt;0,'CST-Calculation'!O34,IF('CST-Calculation'!$F34=0,"",'CST-Calculation'!$F34)))))</f>
        <v/>
      </c>
      <c r="P34" s="714" t="str">
        <f>IF('CST-Calculation'!P34=0,"",'CST-Calculation'!P34)</f>
        <v/>
      </c>
      <c r="Q34" s="714" t="str">
        <f>IF(O34="","",IF(P34="TEC Rejected","",IF(P34="","",ROUND(1.3224*Form!$D$10*P34,2))))</f>
        <v/>
      </c>
      <c r="R34" s="714" t="str">
        <f t="shared" si="2"/>
        <v/>
      </c>
      <c r="S34" s="89" t="str">
        <f>IF(T34="","",IF('CST-Calculation'!$F34="Indg","",IF('CST-Calculation'!$F34="TEC Del","",IF('CST-Calculation'!S34&gt;0,'CST-Calculation'!S34,IF('CST-Calculation'!$F34=0,"",'CST-Calculation'!$F34)))))</f>
        <v/>
      </c>
      <c r="T34" s="714" t="str">
        <f>IF('CST-Calculation'!T34=0,"",'CST-Calculation'!T34)</f>
        <v/>
      </c>
      <c r="U34" s="714" t="str">
        <f>IF(S34="","",IF(T34="TEC Rejected","",IF(T34="","",ROUND(1.3224*Form!$D$10*T34,2))))</f>
        <v/>
      </c>
      <c r="V34" s="714" t="str">
        <f t="shared" si="3"/>
        <v/>
      </c>
      <c r="W34" s="713" t="str">
        <f>IF(X34="","",IF('CST-Calculation'!$F34="Indg","",IF('CST-Calculation'!$F34="TEC Del","",IF('CST-Calculation'!W34&gt;0,'CST-Calculation'!W34,IF('CST-Calculation'!$F34=0,"",'CST-Calculation'!$F34)))))</f>
        <v/>
      </c>
      <c r="X34" s="714" t="str">
        <f>IF('CST-Calculation'!X34=0,"",'CST-Calculation'!X34)</f>
        <v/>
      </c>
      <c r="Y34" s="714" t="str">
        <f>IF(W34="","",IF(X34="TEC Rejected","",IF(X34="","",ROUND(1.3224*Form!$D$10*X34,2))))</f>
        <v/>
      </c>
      <c r="Z34" s="714" t="str">
        <f t="shared" si="12"/>
        <v/>
      </c>
      <c r="AA34" s="713" t="str">
        <f>IF(AB34="","",IF('CST-Calculation'!$F34="Indg","",IF('CST-Calculation'!$F34="TEC Del","",IF('CST-Calculation'!AA34&gt;0,'CST-Calculation'!AA34,IF('CST-Calculation'!$F34=0,"",'CST-Calculation'!$F34)))))</f>
        <v/>
      </c>
      <c r="AB34" s="714" t="str">
        <f>IF('CST-Calculation'!AB34=0,"",'CST-Calculation'!AB34)</f>
        <v/>
      </c>
      <c r="AC34" s="714" t="str">
        <f t="shared" si="13"/>
        <v/>
      </c>
      <c r="AD34" s="714" t="str">
        <f t="shared" si="14"/>
        <v/>
      </c>
      <c r="AE34" s="713" t="str">
        <f>IF(AF34="","",IF('CST-Calculation'!$F34="Indg","",IF('CST-Calculation'!$F34="TEC Del","",IF('CST-Calculation'!AE34&gt;0,'CST-Calculation'!AE34,IF('CST-Calculation'!$F34=0,"",'CST-Calculation'!$F34)))))</f>
        <v/>
      </c>
      <c r="AF34" s="714" t="str">
        <f>IF('CST-Calculation'!AF34=0,"",'CST-Calculation'!AF34)</f>
        <v/>
      </c>
      <c r="AG34" s="714" t="str">
        <f>IF(AE34="","",IF(AF34="TEC Rejected","",IF(AF34="","",ROUND(1.3224*Form!$D$10*AF34,2))))</f>
        <v/>
      </c>
      <c r="AH34" s="714" t="str">
        <f t="shared" si="15"/>
        <v/>
      </c>
      <c r="AI34" s="713" t="str">
        <f>IF(AJ34="","",IF('CST-Calculation'!$F34="Indg","",IF('CST-Calculation'!$F34="TEC Del","",IF('CST-Calculation'!AI34&gt;0,'CST-Calculation'!AI34,IF('CST-Calculation'!$F34=0,"",'CST-Calculation'!$F34)))))</f>
        <v/>
      </c>
      <c r="AJ34" s="714" t="str">
        <f>IF('CST-Calculation'!AJ34=0,"",'CST-Calculation'!AJ34)</f>
        <v/>
      </c>
      <c r="AK34" s="714" t="str">
        <f t="shared" si="16"/>
        <v/>
      </c>
      <c r="AL34" s="714" t="str">
        <f t="shared" si="17"/>
        <v/>
      </c>
      <c r="AM34" s="713" t="str">
        <f>IF(AN34="","",IF('CST-Calculation'!$F34="Indg","",IF('CST-Calculation'!$F34="TEC Del","",IF('CST-Calculation'!AM34&gt;0,'CST-Calculation'!AM34,IF('CST-Calculation'!$F34=0,"",'CST-Calculation'!$F34)))))</f>
        <v/>
      </c>
      <c r="AN34" s="714" t="str">
        <f>IF('CST-Calculation'!AN34=0,"",'CST-Calculation'!AN34)</f>
        <v/>
      </c>
      <c r="AO34" s="714" t="str">
        <f>IF(AM34="","",IF(AN34="TEC Rejected","",IF(AN34="","",ROUND(1.3224*Form!$D$10*AN34,2))))</f>
        <v/>
      </c>
      <c r="AP34" s="714" t="str">
        <f t="shared" si="18"/>
        <v/>
      </c>
      <c r="AQ34" s="713" t="str">
        <f>IF(AR34="","",IF('CST-Calculation'!$F34="Indg","",IF('CST-Calculation'!$F34="TEC Del","",IF('CST-Calculation'!AQ34&gt;0,'CST-Calculation'!AQ34,IF('CST-Calculation'!$F34=0,"",'CST-Calculation'!$F34)))))</f>
        <v/>
      </c>
      <c r="AR34" s="714" t="str">
        <f>IF('CST-Calculation'!AR34=0,"",'CST-Calculation'!AR34)</f>
        <v/>
      </c>
      <c r="AS34" s="714" t="str">
        <f>IF(AQ34="","",IF(AR34="TEC Rejected","",IF(AR34="","",ROUND(1.3224*Form!$D$10*AR34,2))))</f>
        <v/>
      </c>
      <c r="AT34" s="714" t="str">
        <f t="shared" si="19"/>
        <v/>
      </c>
      <c r="AU34" s="713" t="str">
        <f>IF(AV34="","",IF('CST-Calculation'!$F34="Indg","",IF('CST-Calculation'!$F34="TEC Del","",IF('CST-Calculation'!AU34&gt;0,'CST-Calculation'!AU34,IF('CST-Calculation'!$F34=0,"",'CST-Calculation'!$F34)))))</f>
        <v/>
      </c>
      <c r="AV34" s="714" t="str">
        <f>IF('CST-Calculation'!AV34=0,"",'CST-Calculation'!AV34)</f>
        <v/>
      </c>
      <c r="AW34" s="714" t="str">
        <f>IF(AU34="","",IF(AV34="TEC Rejected","",IF(AV34="","",ROUND(1.3224*Form!$D$10*AV34,2))))</f>
        <v/>
      </c>
      <c r="AX34" s="714" t="str">
        <f t="shared" si="20"/>
        <v/>
      </c>
      <c r="AY34" s="715" t="str">
        <f t="shared" si="21"/>
        <v>NO OFFER</v>
      </c>
      <c r="AZ34" s="716" t="str">
        <f t="shared" si="22"/>
        <v>NO OFFER</v>
      </c>
      <c r="BA34" s="716" t="str">
        <f t="shared" si="23"/>
        <v>&lt;= 20%</v>
      </c>
      <c r="BB34" s="716">
        <f>IF(AY34="EST",ROUND(BD34/1.18,2),IF(AY34="ADRYS",ROUND(BD34/1.18,2),ROUND(BD34/(1.3224*Form!$D$10),2)))</f>
        <v>0</v>
      </c>
      <c r="BC34" s="784">
        <f>IF(OR(AY34="EST",AY34="ADRYS"),ROUND(BE34/1.18,2),ROUND(BE34/(1.3224*Form!$D$10),2))</f>
        <v>0</v>
      </c>
      <c r="BD34" s="717">
        <f>IF(F34="Indg",0,IF(F34="TEC Del",0,IF(AND(IF(G34="",TRUE,G34&lt;=ROUNDUP(1.2*F34,0)),IF(K34="",TRUE,K34&lt;=ROUNDUP(1.2*F34,0)),IF(O34="",TRUE,O34&lt;=ROUNDUP(1.2*F34,0)),IF(S34="",TRUE,S34&lt;=ROUNDUP(1.2*F34,0)),IF(W34="",TRUE,W34&lt;=ROUNDUP(1.2*F34,0)),IF(AA34="",TRUE,AA34&lt;=ROUNDUP(1.2*F34,0)),IF(AE34="",TRUE,AE34&lt;=ROUNDUP(1.2*F34,0)),IF(AI34="",TRUE,AI34&lt;=ROUNDUP(1.2*F34,0)),IF(AM34="",TRUE,AM34&lt;=ROUNDUP(1.2*F34,0)),IF(AQ34="",TRUE,AQ34&lt;=ROUNDUP(1.2*F34,0)),IF(AU34="",TRUE,AU34&lt;=ROUNDUP(1.2*F34,0))),IF(F34=0,0,(IF(SUM(I34,M34,Q34,U34,Y34,AC34,AG34,AK34,AO34,AS34,AW34)=0,0,SMALL((I34,M34,Q34,U34,Y34,AC34,AG34,AK34,AO34,AS34,AW34),COUNTIF((I34:AW34),0)+1)))),IF(BE34=J34,I34,IF(BE34=N34,M34,IF(BE34=R34,Q34,IF(BE34=V34,U34,IF(BE34=Z34,Y34,IF(BE34=AD34,AC34,IF(BE34=AH34,AG34,IF(BE34=AL34,AK34,IF(BE34=AP34,AO34,IF(BE34=AT34,AS34,IF(BE34=AX34,AW34))))))))))))))</f>
        <v>0</v>
      </c>
      <c r="BE34" s="714">
        <f>IF(F34="Indg",0,IF(F34="TEC Del",0,IF(AND(IF(G34="",TRUE,G34&lt;=ROUNDUP(1.2*F34,0)),IF(K34="",TRUE,K34&lt;=ROUNDUP(1.2*F34,0)),IF(O34="",TRUE,O34&lt;=ROUNDUP(1.2*F34,0)),IF(S34="",TRUE,S34&lt;=ROUNDUP(1.2*F34,0)),IF(W34="",TRUE,W34&lt;=ROUNDUP(1.2*F34,0)),IF(AA34="",TRUE,AA34&lt;=ROUNDUP(1.2*F34,0)),IF(AE34="",TRUE,AE34&lt;=ROUNDUP(1.2*F34,0)),IF(AI34="",TRUE,AI34&lt;=ROUNDUP(1.2*F34,0)),IF(AM34="",TRUE,AM34&lt;=ROUNDUP(1.2*F34,0)),IF(AQ34="",TRUE,AQ34&lt;=ROUNDUP(1.2*F34,0)),IF(AU34="",TRUE,AU34&lt;=ROUNDUP(1.2*F34,0))),ROUND(BD34*IF(BD34=I34,G34,IF(BD34=M34,K34,IF(BD34=Q34,O34,IF(BD34=U34,S34,IF(BD34=Y34,W34,IF(BD34=AC34,AA34,IF(BD34=AG34,AE34,IF(BD34=AK34,AI34,IF(BD34=AO34,AM34,IF(BD34=AS34,AQ34,IF(BD34=AW34,AU34))))))))))),2),(IF(SUM(J34,N34,R34,V34,Z34,AD34,AH34,AL34,AP34,AT34,AX34)=0,0,SMALL((J34,N34,R34,V34,Z34,AD34,AH34,AL34,AP34,AT34,AX34),COUNTIF((J34:AX34),0)+1))))))</f>
        <v>0</v>
      </c>
      <c r="BF34" s="714">
        <f>IF('Annexure-I'!L31="",'Annexure-I'!F31,'Annexure-I'!L31)</f>
        <v>35494.03</v>
      </c>
      <c r="BG34" s="714" t="str">
        <f>IF('Annexure-I'!M31="",'Annexure-I'!G31,'Annexure-I'!M31)</f>
        <v>CONTRACT-A30</v>
      </c>
      <c r="BH34" s="764">
        <f>IF('Annexure-I'!N31="",'Annexure-I'!H31,'Annexure-I'!N31)</f>
        <v>40967</v>
      </c>
      <c r="BI34" s="717">
        <f>IF('Annexure-I'!P31="",'Annexure-I'!J31,'Annexure-I'!P31)</f>
        <v>65027.94</v>
      </c>
      <c r="BJ34" s="717">
        <f>IF('Annexure-I'!Q31="",'Annexure-I'!K31,'Annexure-I'!Q31)</f>
        <v>7118496.2235196801</v>
      </c>
      <c r="BK34" s="714">
        <f>'Annexure-I'!F31</f>
        <v>35494.03</v>
      </c>
      <c r="BL34" s="718" t="str">
        <f>'Annexure-I'!G31</f>
        <v>CONTRACT-A30</v>
      </c>
      <c r="BM34" s="764">
        <f>IF('Annexure-I'!H31=0,"",'Annexure-I'!H31)</f>
        <v>40967</v>
      </c>
      <c r="BN34" s="717">
        <f>'Annexure-I'!J31</f>
        <v>65027.94</v>
      </c>
      <c r="BO34" s="717">
        <f>'Annexure-I'!K31</f>
        <v>7118496.2235196801</v>
      </c>
      <c r="BP34" s="714">
        <f>IF(OR(AY34="EST",AY34="ADRYS"),ROUND((BC34*1.18)/(1.3224*Form!$D$10),2),BC34)</f>
        <v>0</v>
      </c>
      <c r="BQ34" s="714">
        <f>ROUND(BS34/(1.3224*Form!$D$10),2)</f>
        <v>0</v>
      </c>
      <c r="BR34" s="714">
        <f t="shared" si="24"/>
        <v>0</v>
      </c>
      <c r="BS34" s="714">
        <f t="shared" si="25"/>
        <v>0</v>
      </c>
      <c r="BT34" s="719">
        <f t="shared" si="26"/>
        <v>0</v>
      </c>
      <c r="BU34" s="714"/>
      <c r="BV34" s="714">
        <f t="shared" si="8"/>
        <v>0</v>
      </c>
      <c r="BW34" s="714">
        <f>IF(OR(AY34="EST",AY34="ADRYS"),ROUND(1.18*BU34,2),ROUND(BU34*1.3224*Form!$D$10,2))</f>
        <v>0</v>
      </c>
      <c r="BX34" s="714">
        <f t="shared" si="9"/>
        <v>0</v>
      </c>
      <c r="BY34" s="719">
        <f t="shared" si="10"/>
        <v>0</v>
      </c>
      <c r="BZ34" s="714">
        <f t="shared" si="11"/>
        <v>28473984.890000001</v>
      </c>
      <c r="CA34" s="720"/>
      <c r="CB34" s="720"/>
      <c r="CC34" s="4"/>
      <c r="CD34" s="4"/>
      <c r="CE34" s="4"/>
      <c r="CF34" s="4"/>
      <c r="CG34" s="4"/>
      <c r="CH34" s="4"/>
      <c r="CI34" s="721"/>
    </row>
    <row r="35" spans="1:89" s="579" customFormat="1" ht="45" x14ac:dyDescent="0.25">
      <c r="A35" s="712">
        <f>SUBTOTAL(2,$B$5:B35)</f>
        <v>31</v>
      </c>
      <c r="B35" s="754">
        <v>31</v>
      </c>
      <c r="C35" s="755" t="s">
        <v>699</v>
      </c>
      <c r="D35" s="755" t="s">
        <v>127</v>
      </c>
      <c r="E35" s="754">
        <v>10</v>
      </c>
      <c r="F35" s="658">
        <f>'Annexure-I'!E32</f>
        <v>10</v>
      </c>
      <c r="G35" s="784" t="str">
        <f>IF('CST-Calculation'!G35=0,"",'CST-Calculation'!G35)</f>
        <v/>
      </c>
      <c r="H35" s="784" t="str">
        <f>IF('CST-Calculation'!H35=0,"",'CST-Calculation'!H35)</f>
        <v/>
      </c>
      <c r="I35" s="714" t="str">
        <f>IF(G35="","",IF(H35="TEC Rejected","",IF(H35="","",ROUND(1.3224*Form!$D$10*H35,2))))</f>
        <v/>
      </c>
      <c r="J35" s="714" t="str">
        <f t="shared" si="0"/>
        <v/>
      </c>
      <c r="K35" s="713" t="str">
        <f>IF(L35="","",IF('CST-Calculation'!$F35="Indg","",IF('CST-Calculation'!$F35="TEC Del","",IF('CST-Calculation'!K35&gt;0,'CST-Calculation'!K35,IF('CST-Calculation'!$F35=0,"",'CST-Calculation'!$F35)))))</f>
        <v/>
      </c>
      <c r="L35" s="714" t="str">
        <f>IF('CST-Calculation'!L35=0,"",'CST-Calculation'!L35)</f>
        <v/>
      </c>
      <c r="M35" s="714" t="str">
        <f>IF(K35="","",IF(L35="TEC Rejected","",IF(L35="","",ROUND(1.3224*Form!$D$10*L35,2))))</f>
        <v/>
      </c>
      <c r="N35" s="714" t="str">
        <f t="shared" si="1"/>
        <v/>
      </c>
      <c r="O35" s="89">
        <f>IF(P35="","",IF('CST-Calculation'!$F35="Indg","",IF('CST-Calculation'!$F35="TEC Del","",IF('CST-Calculation'!O35&gt;0,'CST-Calculation'!O35,IF('CST-Calculation'!$F35=0,"",'CST-Calculation'!$F35)))))</f>
        <v>10</v>
      </c>
      <c r="P35" s="714">
        <f>IF('CST-Calculation'!P35=0,"",'CST-Calculation'!P35)</f>
        <v>30</v>
      </c>
      <c r="Q35" s="714">
        <f>IF(O35="","",IF(P35="TEC Rejected","",IF(P35="","",ROUND(1.3224*Form!$D$10*P35,2))))</f>
        <v>3284.05</v>
      </c>
      <c r="R35" s="714">
        <f t="shared" si="2"/>
        <v>32840.5</v>
      </c>
      <c r="S35" s="89">
        <f>IF(T35="","",IF('CST-Calculation'!$F35="Indg","",IF('CST-Calculation'!$F35="TEC Del","",IF('CST-Calculation'!S35&gt;0,'CST-Calculation'!S35,IF('CST-Calculation'!$F35=0,"",'CST-Calculation'!$F35)))))</f>
        <v>10</v>
      </c>
      <c r="T35" s="714">
        <f>IF('CST-Calculation'!T35=0,"",'CST-Calculation'!T35)</f>
        <v>14.4</v>
      </c>
      <c r="U35" s="714">
        <f>IF(S35="","",IF(T35="TEC Rejected","",IF(T35="","",ROUND(1.3224*Form!$D$10*T35,2))))</f>
        <v>1576.34</v>
      </c>
      <c r="V35" s="714">
        <f t="shared" si="3"/>
        <v>15763.4</v>
      </c>
      <c r="W35" s="713" t="str">
        <f>IF(X35="","",IF('CST-Calculation'!$F35="Indg","",IF('CST-Calculation'!$F35="TEC Del","",IF('CST-Calculation'!W35&gt;0,'CST-Calculation'!W35,IF('CST-Calculation'!$F35=0,"",'CST-Calculation'!$F35)))))</f>
        <v/>
      </c>
      <c r="X35" s="714" t="str">
        <f>IF('CST-Calculation'!X35=0,"",'CST-Calculation'!X35)</f>
        <v/>
      </c>
      <c r="Y35" s="714" t="str">
        <f>IF(W35="","",IF(X35="TEC Rejected","",IF(X35="","",ROUND(1.3224*Form!$D$10*X35,2))))</f>
        <v/>
      </c>
      <c r="Z35" s="714" t="str">
        <f t="shared" si="12"/>
        <v/>
      </c>
      <c r="AA35" s="713">
        <f>IF(AB35="","",IF('CST-Calculation'!$F35="Indg","",IF('CST-Calculation'!$F35="TEC Del","",IF('CST-Calculation'!AA35&gt;0,'CST-Calculation'!AA35,IF('CST-Calculation'!$F35=0,"",'CST-Calculation'!$F35)))))</f>
        <v>10</v>
      </c>
      <c r="AB35" s="714">
        <f>IF('CST-Calculation'!AB35=0,"",'CST-Calculation'!AB35)</f>
        <v>315</v>
      </c>
      <c r="AC35" s="714">
        <f t="shared" si="13"/>
        <v>371.7</v>
      </c>
      <c r="AD35" s="714">
        <f t="shared" si="14"/>
        <v>3717</v>
      </c>
      <c r="AE35" s="713" t="str">
        <f>IF(AF35="","",IF('CST-Calculation'!$F35="Indg","",IF('CST-Calculation'!$F35="TEC Del","",IF('CST-Calculation'!AE35&gt;0,'CST-Calculation'!AE35,IF('CST-Calculation'!$F35=0,"",'CST-Calculation'!$F35)))))</f>
        <v/>
      </c>
      <c r="AF35" s="714" t="str">
        <f>IF('CST-Calculation'!AF35=0,"",'CST-Calculation'!AF35)</f>
        <v/>
      </c>
      <c r="AG35" s="714" t="str">
        <f>IF(AE35="","",IF(AF35="TEC Rejected","",IF(AF35="","",ROUND(1.3224*Form!$D$10*AF35,2))))</f>
        <v/>
      </c>
      <c r="AH35" s="714" t="str">
        <f t="shared" si="15"/>
        <v/>
      </c>
      <c r="AI35" s="713" t="str">
        <f>IF(AJ35="","",IF('CST-Calculation'!$F35="Indg","",IF('CST-Calculation'!$F35="TEC Del","",IF('CST-Calculation'!AI35&gt;0,'CST-Calculation'!AI35,IF('CST-Calculation'!$F35=0,"",'CST-Calculation'!$F35)))))</f>
        <v/>
      </c>
      <c r="AJ35" s="714" t="str">
        <f>IF('CST-Calculation'!AJ35=0,"",'CST-Calculation'!AJ35)</f>
        <v/>
      </c>
      <c r="AK35" s="714" t="str">
        <f t="shared" si="16"/>
        <v/>
      </c>
      <c r="AL35" s="714" t="str">
        <f t="shared" si="17"/>
        <v/>
      </c>
      <c r="AM35" s="713" t="str">
        <f>IF(AN35="","",IF('CST-Calculation'!$F35="Indg","",IF('CST-Calculation'!$F35="TEC Del","",IF('CST-Calculation'!AM35&gt;0,'CST-Calculation'!AM35,IF('CST-Calculation'!$F35=0,"",'CST-Calculation'!$F35)))))</f>
        <v/>
      </c>
      <c r="AN35" s="714" t="str">
        <f>IF('CST-Calculation'!AN35=0,"",'CST-Calculation'!AN35)</f>
        <v/>
      </c>
      <c r="AO35" s="714" t="str">
        <f>IF(AM35="","",IF(AN35="TEC Rejected","",IF(AN35="","",ROUND(1.3224*Form!$D$10*AN35,2))))</f>
        <v/>
      </c>
      <c r="AP35" s="714" t="str">
        <f t="shared" si="18"/>
        <v/>
      </c>
      <c r="AQ35" s="713" t="str">
        <f>IF(AR35="","",IF('CST-Calculation'!$F35="Indg","",IF('CST-Calculation'!$F35="TEC Del","",IF('CST-Calculation'!AQ35&gt;0,'CST-Calculation'!AQ35,IF('CST-Calculation'!$F35=0,"",'CST-Calculation'!$F35)))))</f>
        <v/>
      </c>
      <c r="AR35" s="714" t="str">
        <f>IF('CST-Calculation'!AR35=0,"",'CST-Calculation'!AR35)</f>
        <v/>
      </c>
      <c r="AS35" s="714" t="str">
        <f>IF(AQ35="","",IF(AR35="TEC Rejected","",IF(AR35="","",ROUND(1.3224*Form!$D$10*AR35,2))))</f>
        <v/>
      </c>
      <c r="AT35" s="714" t="str">
        <f t="shared" si="19"/>
        <v/>
      </c>
      <c r="AU35" s="713" t="str">
        <f>IF(AV35="","",IF('CST-Calculation'!$F35="Indg","",IF('CST-Calculation'!$F35="TEC Del","",IF('CST-Calculation'!AU35&gt;0,'CST-Calculation'!AU35,IF('CST-Calculation'!$F35=0,"",'CST-Calculation'!$F35)))))</f>
        <v/>
      </c>
      <c r="AV35" s="714" t="str">
        <f>IF('CST-Calculation'!AV35=0,"",'CST-Calculation'!AV35)</f>
        <v/>
      </c>
      <c r="AW35" s="714" t="str">
        <f>IF(AU35="","",IF(AV35="TEC Rejected","",IF(AV35="","",ROUND(1.3224*Form!$D$10*AV35,2))))</f>
        <v/>
      </c>
      <c r="AX35" s="714" t="str">
        <f t="shared" si="20"/>
        <v/>
      </c>
      <c r="AY35" s="715" t="str">
        <f t="shared" si="21"/>
        <v>ADRYS</v>
      </c>
      <c r="AZ35" s="716" t="str">
        <f t="shared" si="22"/>
        <v>MULTIPLE</v>
      </c>
      <c r="BA35" s="716" t="str">
        <f t="shared" si="23"/>
        <v>&lt;= 20%</v>
      </c>
      <c r="BB35" s="716">
        <f>IF(AY35="EST",ROUND(BD35/1.18,2),IF(AY35="ADRYS",ROUND(BD35/1.18,2),ROUND(BD35/(1.3224*Form!$D$10),2)))</f>
        <v>315</v>
      </c>
      <c r="BC35" s="784">
        <f>IF(OR(AY35="EST",AY35="ADRYS"),ROUND(BE35/1.18,2),ROUND(BE35/(1.3224*Form!$D$10),2))</f>
        <v>3150</v>
      </c>
      <c r="BD35" s="717">
        <f>IF(F35="Indg",0,IF(F35="TEC Del",0,IF(AND(IF(G35="",TRUE,G35&lt;=ROUNDUP(1.2*F35,0)),IF(K35="",TRUE,K35&lt;=ROUNDUP(1.2*F35,0)),IF(O35="",TRUE,O35&lt;=ROUNDUP(1.2*F35,0)),IF(S35="",TRUE,S35&lt;=ROUNDUP(1.2*F35,0)),IF(W35="",TRUE,W35&lt;=ROUNDUP(1.2*F35,0)),IF(AA35="",TRUE,AA35&lt;=ROUNDUP(1.2*F35,0)),IF(AE35="",TRUE,AE35&lt;=ROUNDUP(1.2*F35,0)),IF(AI35="",TRUE,AI35&lt;=ROUNDUP(1.2*F35,0)),IF(AM35="",TRUE,AM35&lt;=ROUNDUP(1.2*F35,0)),IF(AQ35="",TRUE,AQ35&lt;=ROUNDUP(1.2*F35,0)),IF(AU35="",TRUE,AU35&lt;=ROUNDUP(1.2*F35,0))),IF(F35=0,0,(IF(SUM(I35,M35,Q35,U35,Y35,AC35,AG35,AK35,AO35,AS35,AW35)=0,0,SMALL((I35,M35,Q35,U35,Y35,AC35,AG35,AK35,AO35,AS35,AW35),COUNTIF((I35:AW35),0)+1)))),IF(BE35=J35,I35,IF(BE35=N35,M35,IF(BE35=R35,Q35,IF(BE35=V35,U35,IF(BE35=Z35,Y35,IF(BE35=AD35,AC35,IF(BE35=AH35,AG35,IF(BE35=AL35,AK35,IF(BE35=AP35,AO35,IF(BE35=AT35,AS35,IF(BE35=AX35,AW35))))))))))))))</f>
        <v>371.7</v>
      </c>
      <c r="BE35" s="714">
        <f>IF(F35="Indg",0,IF(F35="TEC Del",0,IF(AND(IF(G35="",TRUE,G35&lt;=ROUNDUP(1.2*F35,0)),IF(K35="",TRUE,K35&lt;=ROUNDUP(1.2*F35,0)),IF(O35="",TRUE,O35&lt;=ROUNDUP(1.2*F35,0)),IF(S35="",TRUE,S35&lt;=ROUNDUP(1.2*F35,0)),IF(W35="",TRUE,W35&lt;=ROUNDUP(1.2*F35,0)),IF(AA35="",TRUE,AA35&lt;=ROUNDUP(1.2*F35,0)),IF(AE35="",TRUE,AE35&lt;=ROUNDUP(1.2*F35,0)),IF(AI35="",TRUE,AI35&lt;=ROUNDUP(1.2*F35,0)),IF(AM35="",TRUE,AM35&lt;=ROUNDUP(1.2*F35,0)),IF(AQ35="",TRUE,AQ35&lt;=ROUNDUP(1.2*F35,0)),IF(AU35="",TRUE,AU35&lt;=ROUNDUP(1.2*F35,0))),ROUND(BD35*IF(BD35=I35,G35,IF(BD35=M35,K35,IF(BD35=Q35,O35,IF(BD35=U35,S35,IF(BD35=Y35,W35,IF(BD35=AC35,AA35,IF(BD35=AG35,AE35,IF(BD35=AK35,AI35,IF(BD35=AO35,AM35,IF(BD35=AS35,AQ35,IF(BD35=AW35,AU35))))))))))),2),(IF(SUM(J35,N35,R35,V35,Z35,AD35,AH35,AL35,AP35,AT35,AX35)=0,0,SMALL((J35,N35,R35,V35,Z35,AD35,AH35,AL35,AP35,AT35,AX35),COUNTIF((J35:AX35),0)+1))))))</f>
        <v>3717</v>
      </c>
      <c r="BF35" s="714">
        <f>IF('Annexure-I'!L32="",'Annexure-I'!F32,'Annexure-I'!L32)</f>
        <v>7.34</v>
      </c>
      <c r="BG35" s="714" t="str">
        <f>IF('Annexure-I'!M32="",'Annexure-I'!G32,'Annexure-I'!M32)</f>
        <v>CONTRACT-A31</v>
      </c>
      <c r="BH35" s="764">
        <f>IF('Annexure-I'!N32="",'Annexure-I'!H32,'Annexure-I'!N32)</f>
        <v>40967</v>
      </c>
      <c r="BI35" s="717">
        <f>IF('Annexure-I'!P32="",'Annexure-I'!J32,'Annexure-I'!P32)</f>
        <v>13.45</v>
      </c>
      <c r="BJ35" s="717">
        <f>IF('Annexure-I'!Q32="",'Annexure-I'!K32,'Annexure-I'!Q32)</f>
        <v>1472.3482583999998</v>
      </c>
      <c r="BK35" s="714">
        <f>'Annexure-I'!F32</f>
        <v>7.34</v>
      </c>
      <c r="BL35" s="718" t="str">
        <f>'Annexure-I'!G32</f>
        <v>CONTRACT-A31</v>
      </c>
      <c r="BM35" s="764">
        <f>IF('Annexure-I'!H32=0,"",'Annexure-I'!H32)</f>
        <v>40967</v>
      </c>
      <c r="BN35" s="717">
        <f>'Annexure-I'!J32</f>
        <v>13.45</v>
      </c>
      <c r="BO35" s="717">
        <f>'Annexure-I'!K32</f>
        <v>1472.3482583999998</v>
      </c>
      <c r="BP35" s="714">
        <f>IF(OR(AY35="EST",AY35="ADRYS"),ROUND((BC35*1.18)/(1.3224*Form!$D$10),2),BC35)</f>
        <v>33.96</v>
      </c>
      <c r="BQ35" s="714">
        <f>ROUND(BS35/(1.3224*Form!$D$10),2)</f>
        <v>134.5</v>
      </c>
      <c r="BR35" s="714">
        <f t="shared" si="24"/>
        <v>3717</v>
      </c>
      <c r="BS35" s="714">
        <f t="shared" si="25"/>
        <v>14723.48</v>
      </c>
      <c r="BT35" s="719">
        <f t="shared" si="26"/>
        <v>-0.74754609643915704</v>
      </c>
      <c r="BU35" s="714"/>
      <c r="BV35" s="714">
        <f t="shared" si="8"/>
        <v>0</v>
      </c>
      <c r="BW35" s="714">
        <f>IF(OR(AY35="EST",AY35="ADRYS"),ROUND(1.18*BU35,2),ROUND(BU35*1.3224*Form!$D$10,2))</f>
        <v>0</v>
      </c>
      <c r="BX35" s="714">
        <f t="shared" si="9"/>
        <v>0</v>
      </c>
      <c r="BY35" s="719">
        <f>IF((BX35)=0,0,(BX35-BS35)/BS35)</f>
        <v>0</v>
      </c>
      <c r="BZ35" s="714">
        <f t="shared" si="11"/>
        <v>14723.48</v>
      </c>
      <c r="CA35" s="720"/>
      <c r="CB35" s="720"/>
      <c r="CC35" s="4"/>
      <c r="CD35" s="4"/>
      <c r="CE35" s="4"/>
      <c r="CF35" s="4"/>
      <c r="CG35" s="4"/>
      <c r="CH35" s="4"/>
      <c r="CI35" s="721"/>
    </row>
    <row r="36" spans="1:89" s="579" customFormat="1" ht="45" x14ac:dyDescent="0.25">
      <c r="A36" s="712">
        <f>SUBTOTAL(2,$B$5:B36)</f>
        <v>32</v>
      </c>
      <c r="B36" s="754">
        <v>32</v>
      </c>
      <c r="C36" s="756" t="s">
        <v>700</v>
      </c>
      <c r="D36" s="755" t="s">
        <v>127</v>
      </c>
      <c r="E36" s="754">
        <v>20</v>
      </c>
      <c r="F36" s="658">
        <f>'Annexure-I'!E33</f>
        <v>20</v>
      </c>
      <c r="G36" s="784" t="str">
        <f>IF('CST-Calculation'!G36=0,"",'CST-Calculation'!G36)</f>
        <v/>
      </c>
      <c r="H36" s="784" t="str">
        <f>IF('CST-Calculation'!H36=0,"",'CST-Calculation'!H36)</f>
        <v/>
      </c>
      <c r="I36" s="714" t="str">
        <f>IF(G36="","",IF(H36="TEC Rejected","",IF(H36="","",ROUND(1.3224*Form!$D$10*H36,2))))</f>
        <v/>
      </c>
      <c r="J36" s="714" t="str">
        <f t="shared" si="0"/>
        <v/>
      </c>
      <c r="K36" s="713" t="str">
        <f>IF(L36="","",IF('CST-Calculation'!$F36="Indg","",IF('CST-Calculation'!$F36="TEC Del","",IF('CST-Calculation'!K36&gt;0,'CST-Calculation'!K36,IF('CST-Calculation'!$F36=0,"",'CST-Calculation'!$F36)))))</f>
        <v/>
      </c>
      <c r="L36" s="714" t="str">
        <f>IF('CST-Calculation'!L36=0,"",'CST-Calculation'!L36)</f>
        <v/>
      </c>
      <c r="M36" s="714" t="str">
        <f>IF(K36="","",IF(L36="TEC Rejected","",IF(L36="","",ROUND(1.3224*Form!$D$10*L36,2))))</f>
        <v/>
      </c>
      <c r="N36" s="714" t="str">
        <f t="shared" si="1"/>
        <v/>
      </c>
      <c r="O36" s="89">
        <f>IF(P36="","",IF('CST-Calculation'!$F36="Indg","",IF('CST-Calculation'!$F36="TEC Del","",IF('CST-Calculation'!O36&gt;0,'CST-Calculation'!O36,IF('CST-Calculation'!$F36=0,"",'CST-Calculation'!$F36)))))</f>
        <v>20</v>
      </c>
      <c r="P36" s="714">
        <f>IF('CST-Calculation'!P36=0,"",'CST-Calculation'!P36)</f>
        <v>30</v>
      </c>
      <c r="Q36" s="714">
        <f>IF(O36="","",IF(P36="TEC Rejected","",IF(P36="","",ROUND(1.3224*Form!$D$10*P36,2))))</f>
        <v>3284.05</v>
      </c>
      <c r="R36" s="714">
        <f t="shared" si="2"/>
        <v>65681</v>
      </c>
      <c r="S36" s="89">
        <f>IF(T36="","",IF('CST-Calculation'!$F36="Indg","",IF('CST-Calculation'!$F36="TEC Del","",IF('CST-Calculation'!S36&gt;0,'CST-Calculation'!S36,IF('CST-Calculation'!$F36=0,"",'CST-Calculation'!$F36)))))</f>
        <v>20</v>
      </c>
      <c r="T36" s="714">
        <f>IF('CST-Calculation'!T36=0,"",'CST-Calculation'!T36)</f>
        <v>14.4</v>
      </c>
      <c r="U36" s="714">
        <f>IF(S36="","",IF(T36="TEC Rejected","",IF(T36="","",ROUND(1.3224*Form!$D$10*T36,2))))</f>
        <v>1576.34</v>
      </c>
      <c r="V36" s="714">
        <f t="shared" si="3"/>
        <v>31526.799999999999</v>
      </c>
      <c r="W36" s="713" t="str">
        <f>IF(X36="","",IF('CST-Calculation'!$F36="Indg","",IF('CST-Calculation'!$F36="TEC Del","",IF('CST-Calculation'!W36&gt;0,'CST-Calculation'!W36,IF('CST-Calculation'!$F36=0,"",'CST-Calculation'!$F36)))))</f>
        <v/>
      </c>
      <c r="X36" s="714" t="str">
        <f>IF('CST-Calculation'!X36=0,"",'CST-Calculation'!X36)</f>
        <v/>
      </c>
      <c r="Y36" s="714" t="str">
        <f>IF(W36="","",IF(X36="TEC Rejected","",IF(X36="","",ROUND(1.3224*Form!$D$10*X36,2))))</f>
        <v/>
      </c>
      <c r="Z36" s="714" t="str">
        <f t="shared" si="12"/>
        <v/>
      </c>
      <c r="AA36" s="713">
        <f>IF(AB36="","",IF('CST-Calculation'!$F36="Indg","",IF('CST-Calculation'!$F36="TEC Del","",IF('CST-Calculation'!AA36&gt;0,'CST-Calculation'!AA36,IF('CST-Calculation'!$F36=0,"",'CST-Calculation'!$F36)))))</f>
        <v>20</v>
      </c>
      <c r="AB36" s="714">
        <f>IF('CST-Calculation'!AB36=0,"",'CST-Calculation'!AB36)</f>
        <v>315</v>
      </c>
      <c r="AC36" s="714">
        <f t="shared" si="13"/>
        <v>371.7</v>
      </c>
      <c r="AD36" s="714">
        <f t="shared" si="14"/>
        <v>7434</v>
      </c>
      <c r="AE36" s="713" t="str">
        <f>IF(AF36="","",IF('CST-Calculation'!$F36="Indg","",IF('CST-Calculation'!$F36="TEC Del","",IF('CST-Calculation'!AE36&gt;0,'CST-Calculation'!AE36,IF('CST-Calculation'!$F36=0,"",'CST-Calculation'!$F36)))))</f>
        <v/>
      </c>
      <c r="AF36" s="714" t="str">
        <f>IF('CST-Calculation'!AF36=0,"",'CST-Calculation'!AF36)</f>
        <v/>
      </c>
      <c r="AG36" s="714" t="str">
        <f>IF(AE36="","",IF(AF36="TEC Rejected","",IF(AF36="","",ROUND(1.3224*Form!$D$10*AF36,2))))</f>
        <v/>
      </c>
      <c r="AH36" s="714" t="str">
        <f t="shared" si="15"/>
        <v/>
      </c>
      <c r="AI36" s="713" t="str">
        <f>IF(AJ36="","",IF('CST-Calculation'!$F36="Indg","",IF('CST-Calculation'!$F36="TEC Del","",IF('CST-Calculation'!AI36&gt;0,'CST-Calculation'!AI36,IF('CST-Calculation'!$F36=0,"",'CST-Calculation'!$F36)))))</f>
        <v/>
      </c>
      <c r="AJ36" s="714" t="str">
        <f>IF('CST-Calculation'!AJ36=0,"",'CST-Calculation'!AJ36)</f>
        <v/>
      </c>
      <c r="AK36" s="714" t="str">
        <f t="shared" si="16"/>
        <v/>
      </c>
      <c r="AL36" s="714" t="str">
        <f t="shared" si="17"/>
        <v/>
      </c>
      <c r="AM36" s="713" t="str">
        <f>IF(AN36="","",IF('CST-Calculation'!$F36="Indg","",IF('CST-Calculation'!$F36="TEC Del","",IF('CST-Calculation'!AM36&gt;0,'CST-Calculation'!AM36,IF('CST-Calculation'!$F36=0,"",'CST-Calculation'!$F36)))))</f>
        <v/>
      </c>
      <c r="AN36" s="714" t="str">
        <f>IF('CST-Calculation'!AN36=0,"",'CST-Calculation'!AN36)</f>
        <v/>
      </c>
      <c r="AO36" s="714" t="str">
        <f>IF(AM36="","",IF(AN36="TEC Rejected","",IF(AN36="","",ROUND(1.3224*Form!$D$10*AN36,2))))</f>
        <v/>
      </c>
      <c r="AP36" s="714" t="str">
        <f t="shared" si="18"/>
        <v/>
      </c>
      <c r="AQ36" s="713" t="str">
        <f>IF(AR36="","",IF('CST-Calculation'!$F36="Indg","",IF('CST-Calculation'!$F36="TEC Del","",IF('CST-Calculation'!AQ36&gt;0,'CST-Calculation'!AQ36,IF('CST-Calculation'!$F36=0,"",'CST-Calculation'!$F36)))))</f>
        <v/>
      </c>
      <c r="AR36" s="714" t="str">
        <f>IF('CST-Calculation'!AR36=0,"",'CST-Calculation'!AR36)</f>
        <v/>
      </c>
      <c r="AS36" s="714" t="str">
        <f>IF(AQ36="","",IF(AR36="TEC Rejected","",IF(AR36="","",ROUND(1.3224*Form!$D$10*AR36,2))))</f>
        <v/>
      </c>
      <c r="AT36" s="714" t="str">
        <f t="shared" si="19"/>
        <v/>
      </c>
      <c r="AU36" s="713" t="str">
        <f>IF(AV36="","",IF('CST-Calculation'!$F36="Indg","",IF('CST-Calculation'!$F36="TEC Del","",IF('CST-Calculation'!AU36&gt;0,'CST-Calculation'!AU36,IF('CST-Calculation'!$F36=0,"",'CST-Calculation'!$F36)))))</f>
        <v/>
      </c>
      <c r="AV36" s="714" t="str">
        <f>IF('CST-Calculation'!AV36=0,"",'CST-Calculation'!AV36)</f>
        <v/>
      </c>
      <c r="AW36" s="714" t="str">
        <f>IF(AU36="","",IF(AV36="TEC Rejected","",IF(AV36="","",ROUND(1.3224*Form!$D$10*AV36,2))))</f>
        <v/>
      </c>
      <c r="AX36" s="714" t="str">
        <f t="shared" si="20"/>
        <v/>
      </c>
      <c r="AY36" s="715" t="str">
        <f t="shared" si="21"/>
        <v>ADRYS</v>
      </c>
      <c r="AZ36" s="716" t="str">
        <f t="shared" si="22"/>
        <v>MULTIPLE</v>
      </c>
      <c r="BA36" s="716" t="str">
        <f t="shared" si="23"/>
        <v>&lt;= 20%</v>
      </c>
      <c r="BB36" s="716">
        <f>IF(AY36="EST",ROUND(BD36/1.18,2),IF(AY36="ADRYS",ROUND(BD36/1.18,2),ROUND(BD36/(1.3224*Form!$D$10),2)))</f>
        <v>315</v>
      </c>
      <c r="BC36" s="784">
        <f>IF(OR(AY36="EST",AY36="ADRYS"),ROUND(BE36/1.18,2),ROUND(BE36/(1.3224*Form!$D$10),2))</f>
        <v>6300</v>
      </c>
      <c r="BD36" s="717">
        <f>IF(F36="Indg",0,IF(F36="TEC Del",0,IF(AND(IF(G36="",TRUE,G36&lt;=ROUNDUP(1.2*F36,0)),IF(K36="",TRUE,K36&lt;=ROUNDUP(1.2*F36,0)),IF(O36="",TRUE,O36&lt;=ROUNDUP(1.2*F36,0)),IF(S36="",TRUE,S36&lt;=ROUNDUP(1.2*F36,0)),IF(W36="",TRUE,W36&lt;=ROUNDUP(1.2*F36,0)),IF(AA36="",TRUE,AA36&lt;=ROUNDUP(1.2*F36,0)),IF(AE36="",TRUE,AE36&lt;=ROUNDUP(1.2*F36,0)),IF(AI36="",TRUE,AI36&lt;=ROUNDUP(1.2*F36,0)),IF(AM36="",TRUE,AM36&lt;=ROUNDUP(1.2*F36,0)),IF(AQ36="",TRUE,AQ36&lt;=ROUNDUP(1.2*F36,0)),IF(AU36="",TRUE,AU36&lt;=ROUNDUP(1.2*F36,0))),IF(F36=0,0,(IF(SUM(I36,M36,Q36,U36,Y36,AC36,AG36,AK36,AO36,AS36,AW36)=0,0,SMALL((I36,M36,Q36,U36,Y36,AC36,AG36,AK36,AO36,AS36,AW36),COUNTIF((I36:AW36),0)+1)))),IF(BE36=J36,I36,IF(BE36=N36,M36,IF(BE36=R36,Q36,IF(BE36=V36,U36,IF(BE36=Z36,Y36,IF(BE36=AD36,AC36,IF(BE36=AH36,AG36,IF(BE36=AL36,AK36,IF(BE36=AP36,AO36,IF(BE36=AT36,AS36,IF(BE36=AX36,AW36))))))))))))))</f>
        <v>371.7</v>
      </c>
      <c r="BE36" s="714">
        <f>IF(F36="Indg",0,IF(F36="TEC Del",0,IF(AND(IF(G36="",TRUE,G36&lt;=ROUNDUP(1.2*F36,0)),IF(K36="",TRUE,K36&lt;=ROUNDUP(1.2*F36,0)),IF(O36="",TRUE,O36&lt;=ROUNDUP(1.2*F36,0)),IF(S36="",TRUE,S36&lt;=ROUNDUP(1.2*F36,0)),IF(W36="",TRUE,W36&lt;=ROUNDUP(1.2*F36,0)),IF(AA36="",TRUE,AA36&lt;=ROUNDUP(1.2*F36,0)),IF(AE36="",TRUE,AE36&lt;=ROUNDUP(1.2*F36,0)),IF(AI36="",TRUE,AI36&lt;=ROUNDUP(1.2*F36,0)),IF(AM36="",TRUE,AM36&lt;=ROUNDUP(1.2*F36,0)),IF(AQ36="",TRUE,AQ36&lt;=ROUNDUP(1.2*F36,0)),IF(AU36="",TRUE,AU36&lt;=ROUNDUP(1.2*F36,0))),ROUND(BD36*IF(BD36=I36,G36,IF(BD36=M36,K36,IF(BD36=Q36,O36,IF(BD36=U36,S36,IF(BD36=Y36,W36,IF(BD36=AC36,AA36,IF(BD36=AG36,AE36,IF(BD36=AK36,AI36,IF(BD36=AO36,AM36,IF(BD36=AS36,AQ36,IF(BD36=AW36,AU36))))))))))),2),(IF(SUM(J36,N36,R36,V36,Z36,AD36,AH36,AL36,AP36,AT36,AX36)=0,0,SMALL((J36,N36,R36,V36,Z36,AD36,AH36,AL36,AP36,AT36,AX36),COUNTIF((J36:AX36),0)+1))))))</f>
        <v>7434</v>
      </c>
      <c r="BF36" s="714">
        <f>IF('Annexure-I'!L33="",'Annexure-I'!F33,'Annexure-I'!L33)</f>
        <v>4.26</v>
      </c>
      <c r="BG36" s="714" t="str">
        <f>IF('Annexure-I'!M33="",'Annexure-I'!G33,'Annexure-I'!M33)</f>
        <v>CONTRACT-A32</v>
      </c>
      <c r="BH36" s="764">
        <f>IF('Annexure-I'!N33="",'Annexure-I'!H33,'Annexure-I'!N33)</f>
        <v>40966</v>
      </c>
      <c r="BI36" s="717">
        <f>IF('Annexure-I'!P33="",'Annexure-I'!J33,'Annexure-I'!P33)</f>
        <v>7.8</v>
      </c>
      <c r="BJ36" s="717">
        <f>IF('Annexure-I'!Q33="",'Annexure-I'!K33,'Annexure-I'!Q33)</f>
        <v>853.85252159999993</v>
      </c>
      <c r="BK36" s="714">
        <f>'Annexure-I'!F33</f>
        <v>4.26</v>
      </c>
      <c r="BL36" s="718" t="str">
        <f>'Annexure-I'!G33</f>
        <v>CONTRACT-A32</v>
      </c>
      <c r="BM36" s="764">
        <f>IF('Annexure-I'!H33=0,"",'Annexure-I'!H33)</f>
        <v>40966</v>
      </c>
      <c r="BN36" s="717">
        <f>'Annexure-I'!J33</f>
        <v>7.8</v>
      </c>
      <c r="BO36" s="717">
        <f>'Annexure-I'!K33</f>
        <v>853.85252159999993</v>
      </c>
      <c r="BP36" s="714">
        <f>IF(OR(AY36="EST",AY36="ADRYS"),ROUND((BC36*1.18)/(1.3224*Form!$D$10),2),BC36)</f>
        <v>67.91</v>
      </c>
      <c r="BQ36" s="714">
        <f>ROUND(BS36/(1.3224*Form!$D$10),2)</f>
        <v>156</v>
      </c>
      <c r="BR36" s="714">
        <f t="shared" si="24"/>
        <v>7434</v>
      </c>
      <c r="BS36" s="714">
        <f t="shared" si="25"/>
        <v>17077.05</v>
      </c>
      <c r="BT36" s="719">
        <f t="shared" si="26"/>
        <v>-0.56467891117025482</v>
      </c>
      <c r="BU36" s="714"/>
      <c r="BV36" s="714">
        <f t="shared" si="8"/>
        <v>0</v>
      </c>
      <c r="BW36" s="714">
        <f>IF(OR(AY36="EST",AY36="ADRYS"),ROUND(1.18*BU36,2),ROUND(BU36*1.3224*Form!$D$10,2))</f>
        <v>0</v>
      </c>
      <c r="BX36" s="714">
        <f t="shared" si="9"/>
        <v>0</v>
      </c>
      <c r="BY36" s="719">
        <f t="shared" si="10"/>
        <v>0</v>
      </c>
      <c r="BZ36" s="714">
        <f t="shared" si="11"/>
        <v>17077.05</v>
      </c>
      <c r="CA36" s="720"/>
      <c r="CB36" s="720"/>
      <c r="CC36" s="4"/>
      <c r="CD36" s="4"/>
      <c r="CE36" s="4"/>
      <c r="CF36" s="4"/>
      <c r="CG36" s="4"/>
      <c r="CH36" s="4"/>
      <c r="CI36" s="721"/>
    </row>
    <row r="37" spans="1:89" s="579" customFormat="1" ht="45" x14ac:dyDescent="0.25">
      <c r="A37" s="712">
        <f>SUBTOTAL(2,$B$5:B37)</f>
        <v>33</v>
      </c>
      <c r="B37" s="754">
        <v>33</v>
      </c>
      <c r="C37" s="755" t="s">
        <v>701</v>
      </c>
      <c r="D37" s="755" t="s">
        <v>127</v>
      </c>
      <c r="E37" s="754">
        <v>110</v>
      </c>
      <c r="F37" s="658">
        <f>'Annexure-I'!E34</f>
        <v>110</v>
      </c>
      <c r="G37" s="784" t="str">
        <f>IF('CST-Calculation'!G37=0,"",'CST-Calculation'!G37)</f>
        <v/>
      </c>
      <c r="H37" s="784" t="str">
        <f>IF('CST-Calculation'!H37=0,"",'CST-Calculation'!H37)</f>
        <v/>
      </c>
      <c r="I37" s="714" t="str">
        <f>IF(G37="","",IF(H37="TEC Rejected","",IF(H37="","",ROUND(1.3224*Form!$D$10*H37,2))))</f>
        <v/>
      </c>
      <c r="J37" s="714" t="str">
        <f t="shared" si="0"/>
        <v/>
      </c>
      <c r="K37" s="713" t="str">
        <f>IF(L37="","",IF('CST-Calculation'!$F37="Indg","",IF('CST-Calculation'!$F37="TEC Del","",IF('CST-Calculation'!K37&gt;0,'CST-Calculation'!K37,IF('CST-Calculation'!$F37=0,"",'CST-Calculation'!$F37)))))</f>
        <v/>
      </c>
      <c r="L37" s="714" t="str">
        <f>IF('CST-Calculation'!L37=0,"",'CST-Calculation'!L37)</f>
        <v/>
      </c>
      <c r="M37" s="714" t="str">
        <f>IF(K37="","",IF(L37="TEC Rejected","",IF(L37="","",ROUND(1.3224*Form!$D$10*L37,2))))</f>
        <v/>
      </c>
      <c r="N37" s="714" t="str">
        <f t="shared" si="1"/>
        <v/>
      </c>
      <c r="O37" s="89">
        <f>IF(P37="","",IF('CST-Calculation'!$F37="Indg","",IF('CST-Calculation'!$F37="TEC Del","",IF('CST-Calculation'!O37&gt;0,'CST-Calculation'!O37,IF('CST-Calculation'!$F37=0,"",'CST-Calculation'!$F37)))))</f>
        <v>110</v>
      </c>
      <c r="P37" s="714">
        <f>IF('CST-Calculation'!P37=0,"",'CST-Calculation'!P37)</f>
        <v>27</v>
      </c>
      <c r="Q37" s="714">
        <f>IF(O37="","",IF(P37="TEC Rejected","",IF(P37="","",ROUND(1.3224*Form!$D$10*P37,2))))</f>
        <v>2955.64</v>
      </c>
      <c r="R37" s="714">
        <f t="shared" si="2"/>
        <v>325120.40000000002</v>
      </c>
      <c r="S37" s="89">
        <f>IF(T37="","",IF('CST-Calculation'!$F37="Indg","",IF('CST-Calculation'!$F37="TEC Del","",IF('CST-Calculation'!S37&gt;0,'CST-Calculation'!S37,IF('CST-Calculation'!$F37=0,"",'CST-Calculation'!$F37)))))</f>
        <v>110</v>
      </c>
      <c r="T37" s="714">
        <f>IF('CST-Calculation'!T37=0,"",'CST-Calculation'!T37)</f>
        <v>19.5</v>
      </c>
      <c r="U37" s="714">
        <f>IF(S37="","",IF(T37="TEC Rejected","",IF(T37="","",ROUND(1.3224*Form!$D$10*T37,2))))</f>
        <v>2134.63</v>
      </c>
      <c r="V37" s="714">
        <f t="shared" si="3"/>
        <v>234809.3</v>
      </c>
      <c r="W37" s="713" t="str">
        <f>IF(X37="","",IF('CST-Calculation'!$F37="Indg","",IF('CST-Calculation'!$F37="TEC Del","",IF('CST-Calculation'!W37&gt;0,'CST-Calculation'!W37,IF('CST-Calculation'!$F37=0,"",'CST-Calculation'!$F37)))))</f>
        <v/>
      </c>
      <c r="X37" s="714" t="str">
        <f>IF('CST-Calculation'!X37=0,"",'CST-Calculation'!X37)</f>
        <v/>
      </c>
      <c r="Y37" s="714" t="str">
        <f>IF(W37="","",IF(X37="TEC Rejected","",IF(X37="","",ROUND(1.3224*Form!$D$10*X37,2))))</f>
        <v/>
      </c>
      <c r="Z37" s="714" t="str">
        <f t="shared" si="12"/>
        <v/>
      </c>
      <c r="AA37" s="713">
        <f>IF(AB37="","",IF('CST-Calculation'!$F37="Indg","",IF('CST-Calculation'!$F37="TEC Del","",IF('CST-Calculation'!AA37&gt;0,'CST-Calculation'!AA37,IF('CST-Calculation'!$F37=0,"",'CST-Calculation'!$F37)))))</f>
        <v>110</v>
      </c>
      <c r="AB37" s="714">
        <f>IF('CST-Calculation'!AB37=0,"",'CST-Calculation'!AB37)</f>
        <v>465</v>
      </c>
      <c r="AC37" s="714">
        <f t="shared" si="13"/>
        <v>548.70000000000005</v>
      </c>
      <c r="AD37" s="714">
        <f t="shared" si="14"/>
        <v>60357</v>
      </c>
      <c r="AE37" s="713" t="str">
        <f>IF(AF37="","",IF('CST-Calculation'!$F37="Indg","",IF('CST-Calculation'!$F37="TEC Del","",IF('CST-Calculation'!AE37&gt;0,'CST-Calculation'!AE37,IF('CST-Calculation'!$F37=0,"",'CST-Calculation'!$F37)))))</f>
        <v/>
      </c>
      <c r="AF37" s="714" t="str">
        <f>IF('CST-Calculation'!AF37=0,"",'CST-Calculation'!AF37)</f>
        <v/>
      </c>
      <c r="AG37" s="714" t="str">
        <f>IF(AE37="","",IF(AF37="TEC Rejected","",IF(AF37="","",ROUND(1.3224*Form!$D$10*AF37,2))))</f>
        <v/>
      </c>
      <c r="AH37" s="714" t="str">
        <f t="shared" si="15"/>
        <v/>
      </c>
      <c r="AI37" s="713" t="str">
        <f>IF(AJ37="","",IF('CST-Calculation'!$F37="Indg","",IF('CST-Calculation'!$F37="TEC Del","",IF('CST-Calculation'!AI37&gt;0,'CST-Calculation'!AI37,IF('CST-Calculation'!$F37=0,"",'CST-Calculation'!$F37)))))</f>
        <v/>
      </c>
      <c r="AJ37" s="714" t="str">
        <f>IF('CST-Calculation'!AJ37=0,"",'CST-Calculation'!AJ37)</f>
        <v/>
      </c>
      <c r="AK37" s="714" t="str">
        <f t="shared" si="16"/>
        <v/>
      </c>
      <c r="AL37" s="714" t="str">
        <f t="shared" si="17"/>
        <v/>
      </c>
      <c r="AM37" s="713" t="str">
        <f>IF(AN37="","",IF('CST-Calculation'!$F37="Indg","",IF('CST-Calculation'!$F37="TEC Del","",IF('CST-Calculation'!AM37&gt;0,'CST-Calculation'!AM37,IF('CST-Calculation'!$F37=0,"",'CST-Calculation'!$F37)))))</f>
        <v/>
      </c>
      <c r="AN37" s="714" t="str">
        <f>IF('CST-Calculation'!AN37=0,"",'CST-Calculation'!AN37)</f>
        <v/>
      </c>
      <c r="AO37" s="714" t="str">
        <f>IF(AM37="","",IF(AN37="TEC Rejected","",IF(AN37="","",ROUND(1.3224*Form!$D$10*AN37,2))))</f>
        <v/>
      </c>
      <c r="AP37" s="714" t="str">
        <f t="shared" si="18"/>
        <v/>
      </c>
      <c r="AQ37" s="713" t="str">
        <f>IF(AR37="","",IF('CST-Calculation'!$F37="Indg","",IF('CST-Calculation'!$F37="TEC Del","",IF('CST-Calculation'!AQ37&gt;0,'CST-Calculation'!AQ37,IF('CST-Calculation'!$F37=0,"",'CST-Calculation'!$F37)))))</f>
        <v/>
      </c>
      <c r="AR37" s="714" t="str">
        <f>IF('CST-Calculation'!AR37=0,"",'CST-Calculation'!AR37)</f>
        <v/>
      </c>
      <c r="AS37" s="714" t="str">
        <f>IF(AQ37="","",IF(AR37="TEC Rejected","",IF(AR37="","",ROUND(1.3224*Form!$D$10*AR37,2))))</f>
        <v/>
      </c>
      <c r="AT37" s="714" t="str">
        <f t="shared" si="19"/>
        <v/>
      </c>
      <c r="AU37" s="713" t="str">
        <f>IF(AV37="","",IF('CST-Calculation'!$F37="Indg","",IF('CST-Calculation'!$F37="TEC Del","",IF('CST-Calculation'!AU37&gt;0,'CST-Calculation'!AU37,IF('CST-Calculation'!$F37=0,"",'CST-Calculation'!$F37)))))</f>
        <v/>
      </c>
      <c r="AV37" s="714" t="str">
        <f>IF('CST-Calculation'!AV37=0,"",'CST-Calculation'!AV37)</f>
        <v/>
      </c>
      <c r="AW37" s="714" t="str">
        <f>IF(AU37="","",IF(AV37="TEC Rejected","",IF(AV37="","",ROUND(1.3224*Form!$D$10*AV37,2))))</f>
        <v/>
      </c>
      <c r="AX37" s="714" t="str">
        <f t="shared" si="20"/>
        <v/>
      </c>
      <c r="AY37" s="715" t="str">
        <f t="shared" si="21"/>
        <v>ADRYS</v>
      </c>
      <c r="AZ37" s="716" t="str">
        <f t="shared" si="22"/>
        <v>MULTIPLE</v>
      </c>
      <c r="BA37" s="716" t="str">
        <f t="shared" si="23"/>
        <v>&lt;= 20%</v>
      </c>
      <c r="BB37" s="716">
        <f>IF(AY37="EST",ROUND(BD37/1.18,2),IF(AY37="ADRYS",ROUND(BD37/1.18,2),ROUND(BD37/(1.3224*Form!$D$10),2)))</f>
        <v>465</v>
      </c>
      <c r="BC37" s="784">
        <f>IF(OR(AY37="EST",AY37="ADRYS"),ROUND(BE37/1.18,2),ROUND(BE37/(1.3224*Form!$D$10),2))</f>
        <v>51150</v>
      </c>
      <c r="BD37" s="717">
        <f>IF(F37="Indg",0,IF(F37="TEC Del",0,IF(AND(IF(G37="",TRUE,G37&lt;=ROUNDUP(1.2*F37,0)),IF(K37="",TRUE,K37&lt;=ROUNDUP(1.2*F37,0)),IF(O37="",TRUE,O37&lt;=ROUNDUP(1.2*F37,0)),IF(S37="",TRUE,S37&lt;=ROUNDUP(1.2*F37,0)),IF(W37="",TRUE,W37&lt;=ROUNDUP(1.2*F37,0)),IF(AA37="",TRUE,AA37&lt;=ROUNDUP(1.2*F37,0)),IF(AE37="",TRUE,AE37&lt;=ROUNDUP(1.2*F37,0)),IF(AI37="",TRUE,AI37&lt;=ROUNDUP(1.2*F37,0)),IF(AM37="",TRUE,AM37&lt;=ROUNDUP(1.2*F37,0)),IF(AQ37="",TRUE,AQ37&lt;=ROUNDUP(1.2*F37,0)),IF(AU37="",TRUE,AU37&lt;=ROUNDUP(1.2*F37,0))),IF(F37=0,0,(IF(SUM(I37,M37,Q37,U37,Y37,AC37,AG37,AK37,AO37,AS37,AW37)=0,0,SMALL((I37,M37,Q37,U37,Y37,AC37,AG37,AK37,AO37,AS37,AW37),COUNTIF((I37:AW37),0)+1)))),IF(BE37=J37,I37,IF(BE37=N37,M37,IF(BE37=R37,Q37,IF(BE37=V37,U37,IF(BE37=Z37,Y37,IF(BE37=AD37,AC37,IF(BE37=AH37,AG37,IF(BE37=AL37,AK37,IF(BE37=AP37,AO37,IF(BE37=AT37,AS37,IF(BE37=AX37,AW37))))))))))))))</f>
        <v>548.70000000000005</v>
      </c>
      <c r="BE37" s="714">
        <f>IF(F37="Indg",0,IF(F37="TEC Del",0,IF(AND(IF(G37="",TRUE,G37&lt;=ROUNDUP(1.2*F37,0)),IF(K37="",TRUE,K37&lt;=ROUNDUP(1.2*F37,0)),IF(O37="",TRUE,O37&lt;=ROUNDUP(1.2*F37,0)),IF(S37="",TRUE,S37&lt;=ROUNDUP(1.2*F37,0)),IF(W37="",TRUE,W37&lt;=ROUNDUP(1.2*F37,0)),IF(AA37="",TRUE,AA37&lt;=ROUNDUP(1.2*F37,0)),IF(AE37="",TRUE,AE37&lt;=ROUNDUP(1.2*F37,0)),IF(AI37="",TRUE,AI37&lt;=ROUNDUP(1.2*F37,0)),IF(AM37="",TRUE,AM37&lt;=ROUNDUP(1.2*F37,0)),IF(AQ37="",TRUE,AQ37&lt;=ROUNDUP(1.2*F37,0)),IF(AU37="",TRUE,AU37&lt;=ROUNDUP(1.2*F37,0))),ROUND(BD37*IF(BD37=I37,G37,IF(BD37=M37,K37,IF(BD37=Q37,O37,IF(BD37=U37,S37,IF(BD37=Y37,W37,IF(BD37=AC37,AA37,IF(BD37=AG37,AE37,IF(BD37=AK37,AI37,IF(BD37=AO37,AM37,IF(BD37=AS37,AQ37,IF(BD37=AW37,AU37))))))))))),2),(IF(SUM(J37,N37,R37,V37,Z37,AD37,AH37,AL37,AP37,AT37,AX37)=0,0,SMALL((J37,N37,R37,V37,Z37,AD37,AH37,AL37,AP37,AT37,AX37),COUNTIF((J37:AX37),0)+1))))))</f>
        <v>60357</v>
      </c>
      <c r="BF37" s="714">
        <f>IF('Annexure-I'!L34="",'Annexure-I'!F34,'Annexure-I'!L34)</f>
        <v>6.65</v>
      </c>
      <c r="BG37" s="714" t="str">
        <f>IF('Annexure-I'!M34="",'Annexure-I'!G34,'Annexure-I'!M34)</f>
        <v>CONTRACT-A33</v>
      </c>
      <c r="BH37" s="764" t="str">
        <f>IF('Annexure-I'!N34="",'Annexure-I'!H34,'Annexure-I'!N34)</f>
        <v>30-06-2017</v>
      </c>
      <c r="BI37" s="717">
        <f>IF('Annexure-I'!P34="",'Annexure-I'!J34,'Annexure-I'!P34)</f>
        <v>9.42</v>
      </c>
      <c r="BJ37" s="717">
        <f>IF('Annexure-I'!Q34="",'Annexure-I'!K34,'Annexure-I'!Q34)</f>
        <v>1031.1911222399999</v>
      </c>
      <c r="BK37" s="714">
        <f>'Annexure-I'!F34</f>
        <v>6.65</v>
      </c>
      <c r="BL37" s="718" t="str">
        <f>'Annexure-I'!G34</f>
        <v>CONTRACT-A33</v>
      </c>
      <c r="BM37" s="764" t="str">
        <f>IF('Annexure-I'!H34=0,"",'Annexure-I'!H34)</f>
        <v>30-06-2017</v>
      </c>
      <c r="BN37" s="717">
        <f>'Annexure-I'!J34</f>
        <v>9.42</v>
      </c>
      <c r="BO37" s="717">
        <f>'Annexure-I'!K34</f>
        <v>1031.1911222399999</v>
      </c>
      <c r="BP37" s="714">
        <f>IF(OR(AY37="EST",AY37="ADRYS"),ROUND((BC37*1.18)/(1.3224*Form!$D$10),2),BC37)</f>
        <v>551.37</v>
      </c>
      <c r="BQ37" s="714">
        <f>ROUND(BS37/(1.3224*Form!$D$10),2)</f>
        <v>1036.2</v>
      </c>
      <c r="BR37" s="714">
        <f t="shared" si="24"/>
        <v>60357</v>
      </c>
      <c r="BS37" s="714">
        <f t="shared" si="25"/>
        <v>113431.02</v>
      </c>
      <c r="BT37" s="719">
        <f t="shared" si="26"/>
        <v>-0.46789687688605819</v>
      </c>
      <c r="BU37" s="714"/>
      <c r="BV37" s="714">
        <f t="shared" si="8"/>
        <v>0</v>
      </c>
      <c r="BW37" s="714">
        <f>IF(OR(AY37="EST",AY37="ADRYS"),ROUND(1.18*BU37,2),ROUND(BU37*1.3224*Form!$D$10,2))</f>
        <v>0</v>
      </c>
      <c r="BX37" s="714">
        <f t="shared" si="9"/>
        <v>0</v>
      </c>
      <c r="BY37" s="719">
        <f>IF((BX37)=0,0,(BX37-BS37)/BS37)</f>
        <v>0</v>
      </c>
      <c r="BZ37" s="714">
        <f t="shared" si="11"/>
        <v>113431.02</v>
      </c>
      <c r="CA37" s="722"/>
      <c r="CB37" s="722"/>
      <c r="CC37" s="4"/>
      <c r="CD37" s="4"/>
      <c r="CE37" s="4"/>
      <c r="CF37" s="4"/>
      <c r="CG37" s="4"/>
      <c r="CH37" s="4"/>
      <c r="CI37" s="721"/>
    </row>
    <row r="38" spans="1:89" s="579" customFormat="1" ht="45" x14ac:dyDescent="0.25">
      <c r="A38" s="712">
        <f>SUBTOTAL(2,$B$5:B38)</f>
        <v>34</v>
      </c>
      <c r="B38" s="754">
        <v>34</v>
      </c>
      <c r="C38" s="756" t="s">
        <v>702</v>
      </c>
      <c r="D38" s="755" t="s">
        <v>127</v>
      </c>
      <c r="E38" s="754">
        <v>131</v>
      </c>
      <c r="F38" s="658">
        <f>'Annexure-I'!E35</f>
        <v>131</v>
      </c>
      <c r="G38" s="784" t="str">
        <f>IF('CST-Calculation'!G38=0,"",'CST-Calculation'!G38)</f>
        <v/>
      </c>
      <c r="H38" s="784" t="str">
        <f>IF('CST-Calculation'!H38=0,"",'CST-Calculation'!H38)</f>
        <v/>
      </c>
      <c r="I38" s="714" t="str">
        <f>IF(G38="","",IF(H38="TEC Rejected","",IF(H38="","",ROUND(1.3224*Form!$D$10*H38,2))))</f>
        <v/>
      </c>
      <c r="J38" s="714" t="str">
        <f t="shared" si="0"/>
        <v/>
      </c>
      <c r="K38" s="713" t="str">
        <f>IF(L38="","",IF('CST-Calculation'!$F38="Indg","",IF('CST-Calculation'!$F38="TEC Del","",IF('CST-Calculation'!K38&gt;0,'CST-Calculation'!K38,IF('CST-Calculation'!$F38=0,"",'CST-Calculation'!$F38)))))</f>
        <v/>
      </c>
      <c r="L38" s="714" t="str">
        <f>IF('CST-Calculation'!L38=0,"",'CST-Calculation'!L38)</f>
        <v/>
      </c>
      <c r="M38" s="714" t="str">
        <f>IF(K38="","",IF(L38="TEC Rejected","",IF(L38="","",ROUND(1.3224*Form!$D$10*L38,2))))</f>
        <v/>
      </c>
      <c r="N38" s="714" t="str">
        <f t="shared" si="1"/>
        <v/>
      </c>
      <c r="O38" s="89">
        <f>IF(P38="","",IF('CST-Calculation'!$F38="Indg","",IF('CST-Calculation'!$F38="TEC Del","",IF('CST-Calculation'!O38&gt;0,'CST-Calculation'!O38,IF('CST-Calculation'!$F38=0,"",'CST-Calculation'!$F38)))))</f>
        <v>131</v>
      </c>
      <c r="P38" s="714">
        <f>IF('CST-Calculation'!P38=0,"",'CST-Calculation'!P38)</f>
        <v>45</v>
      </c>
      <c r="Q38" s="714">
        <f>IF(O38="","",IF(P38="TEC Rejected","",IF(P38="","",ROUND(1.3224*Form!$D$10*P38,2))))</f>
        <v>4926.07</v>
      </c>
      <c r="R38" s="714">
        <f t="shared" si="2"/>
        <v>645315.17000000004</v>
      </c>
      <c r="S38" s="89">
        <f>IF(T38="","",IF('CST-Calculation'!$F38="Indg","",IF('CST-Calculation'!$F38="TEC Del","",IF('CST-Calculation'!S38&gt;0,'CST-Calculation'!S38,IF('CST-Calculation'!$F38=0,"",'CST-Calculation'!$F38)))))</f>
        <v>131</v>
      </c>
      <c r="T38" s="714">
        <f>IF('CST-Calculation'!T38=0,"",'CST-Calculation'!T38)</f>
        <v>18</v>
      </c>
      <c r="U38" s="714">
        <f>IF(S38="","",IF(T38="TEC Rejected","",IF(T38="","",ROUND(1.3224*Form!$D$10*T38,2))))</f>
        <v>1970.43</v>
      </c>
      <c r="V38" s="714">
        <f t="shared" si="3"/>
        <v>258126.33</v>
      </c>
      <c r="W38" s="713" t="str">
        <f>IF(X38="","",IF('CST-Calculation'!$F38="Indg","",IF('CST-Calculation'!$F38="TEC Del","",IF('CST-Calculation'!W38&gt;0,'CST-Calculation'!W38,IF('CST-Calculation'!$F38=0,"",'CST-Calculation'!$F38)))))</f>
        <v/>
      </c>
      <c r="X38" s="714" t="str">
        <f>IF('CST-Calculation'!X38=0,"",'CST-Calculation'!X38)</f>
        <v/>
      </c>
      <c r="Y38" s="714" t="str">
        <f>IF(W38="","",IF(X38="TEC Rejected","",IF(X38="","",ROUND(1.3224*Form!$D$10*X38,2))))</f>
        <v/>
      </c>
      <c r="Z38" s="714" t="str">
        <f t="shared" si="12"/>
        <v/>
      </c>
      <c r="AA38" s="713">
        <f>IF(AB38="","",IF('CST-Calculation'!$F38="Indg","",IF('CST-Calculation'!$F38="TEC Del","",IF('CST-Calculation'!AA38&gt;0,'CST-Calculation'!AA38,IF('CST-Calculation'!$F38=0,"",'CST-Calculation'!$F38)))))</f>
        <v>131</v>
      </c>
      <c r="AB38" s="714">
        <f>IF('CST-Calculation'!AB38=0,"",'CST-Calculation'!AB38)</f>
        <v>465</v>
      </c>
      <c r="AC38" s="714">
        <f t="shared" si="13"/>
        <v>548.70000000000005</v>
      </c>
      <c r="AD38" s="714">
        <f t="shared" si="14"/>
        <v>71879.7</v>
      </c>
      <c r="AE38" s="713" t="str">
        <f>IF(AF38="","",IF('CST-Calculation'!$F38="Indg","",IF('CST-Calculation'!$F38="TEC Del","",IF('CST-Calculation'!AE38&gt;0,'CST-Calculation'!AE38,IF('CST-Calculation'!$F38=0,"",'CST-Calculation'!$F38)))))</f>
        <v/>
      </c>
      <c r="AF38" s="714" t="str">
        <f>IF('CST-Calculation'!AF38=0,"",'CST-Calculation'!AF38)</f>
        <v/>
      </c>
      <c r="AG38" s="714" t="str">
        <f>IF(AE38="","",IF(AF38="TEC Rejected","",IF(AF38="","",ROUND(1.3224*Form!$D$10*AF38,2))))</f>
        <v/>
      </c>
      <c r="AH38" s="714" t="str">
        <f t="shared" si="15"/>
        <v/>
      </c>
      <c r="AI38" s="713" t="str">
        <f>IF(AJ38="","",IF('CST-Calculation'!$F38="Indg","",IF('CST-Calculation'!$F38="TEC Del","",IF('CST-Calculation'!AI38&gt;0,'CST-Calculation'!AI38,IF('CST-Calculation'!$F38=0,"",'CST-Calculation'!$F38)))))</f>
        <v/>
      </c>
      <c r="AJ38" s="714" t="str">
        <f>IF('CST-Calculation'!AJ38=0,"",'CST-Calculation'!AJ38)</f>
        <v/>
      </c>
      <c r="AK38" s="714" t="str">
        <f t="shared" si="16"/>
        <v/>
      </c>
      <c r="AL38" s="714" t="str">
        <f t="shared" si="17"/>
        <v/>
      </c>
      <c r="AM38" s="713" t="str">
        <f>IF(AN38="","",IF('CST-Calculation'!$F38="Indg","",IF('CST-Calculation'!$F38="TEC Del","",IF('CST-Calculation'!AM38&gt;0,'CST-Calculation'!AM38,IF('CST-Calculation'!$F38=0,"",'CST-Calculation'!$F38)))))</f>
        <v/>
      </c>
      <c r="AN38" s="714" t="str">
        <f>IF('CST-Calculation'!AN38=0,"",'CST-Calculation'!AN38)</f>
        <v/>
      </c>
      <c r="AO38" s="714" t="str">
        <f>IF(AM38="","",IF(AN38="TEC Rejected","",IF(AN38="","",ROUND(1.3224*Form!$D$10*AN38,2))))</f>
        <v/>
      </c>
      <c r="AP38" s="714" t="str">
        <f t="shared" si="18"/>
        <v/>
      </c>
      <c r="AQ38" s="713" t="str">
        <f>IF(AR38="","",IF('CST-Calculation'!$F38="Indg","",IF('CST-Calculation'!$F38="TEC Del","",IF('CST-Calculation'!AQ38&gt;0,'CST-Calculation'!AQ38,IF('CST-Calculation'!$F38=0,"",'CST-Calculation'!$F38)))))</f>
        <v/>
      </c>
      <c r="AR38" s="714" t="str">
        <f>IF('CST-Calculation'!AR38=0,"",'CST-Calculation'!AR38)</f>
        <v/>
      </c>
      <c r="AS38" s="714" t="str">
        <f>IF(AQ38="","",IF(AR38="TEC Rejected","",IF(AR38="","",ROUND(1.3224*Form!$D$10*AR38,2))))</f>
        <v/>
      </c>
      <c r="AT38" s="714" t="str">
        <f t="shared" si="19"/>
        <v/>
      </c>
      <c r="AU38" s="713" t="str">
        <f>IF(AV38="","",IF('CST-Calculation'!$F38="Indg","",IF('CST-Calculation'!$F38="TEC Del","",IF('CST-Calculation'!AU38&gt;0,'CST-Calculation'!AU38,IF('CST-Calculation'!$F38=0,"",'CST-Calculation'!$F38)))))</f>
        <v/>
      </c>
      <c r="AV38" s="714" t="str">
        <f>IF('CST-Calculation'!AV38=0,"",'CST-Calculation'!AV38)</f>
        <v/>
      </c>
      <c r="AW38" s="714" t="str">
        <f>IF(AU38="","",IF(AV38="TEC Rejected","",IF(AV38="","",ROUND(1.3224*Form!$D$10*AV38,2))))</f>
        <v/>
      </c>
      <c r="AX38" s="714" t="str">
        <f t="shared" si="20"/>
        <v/>
      </c>
      <c r="AY38" s="715" t="str">
        <f t="shared" si="21"/>
        <v>ADRYS</v>
      </c>
      <c r="AZ38" s="716" t="str">
        <f t="shared" si="22"/>
        <v>MULTIPLE</v>
      </c>
      <c r="BA38" s="716" t="str">
        <f t="shared" si="23"/>
        <v>&lt;= 20%</v>
      </c>
      <c r="BB38" s="716">
        <f>IF(AY38="EST",ROUND(BD38/1.18,2),IF(AY38="ADRYS",ROUND(BD38/1.18,2),ROUND(BD38/(1.3224*Form!$D$10),2)))</f>
        <v>465</v>
      </c>
      <c r="BC38" s="784">
        <f>IF(OR(AY38="EST",AY38="ADRYS"),ROUND(BE38/1.18,2),ROUND(BE38/(1.3224*Form!$D$10),2))</f>
        <v>60915</v>
      </c>
      <c r="BD38" s="717">
        <f>IF(F38="Indg",0,IF(F38="TEC Del",0,IF(AND(IF(G38="",TRUE,G38&lt;=ROUNDUP(1.2*F38,0)),IF(K38="",TRUE,K38&lt;=ROUNDUP(1.2*F38,0)),IF(O38="",TRUE,O38&lt;=ROUNDUP(1.2*F38,0)),IF(S38="",TRUE,S38&lt;=ROUNDUP(1.2*F38,0)),IF(W38="",TRUE,W38&lt;=ROUNDUP(1.2*F38,0)),IF(AA38="",TRUE,AA38&lt;=ROUNDUP(1.2*F38,0)),IF(AE38="",TRUE,AE38&lt;=ROUNDUP(1.2*F38,0)),IF(AI38="",TRUE,AI38&lt;=ROUNDUP(1.2*F38,0)),IF(AM38="",TRUE,AM38&lt;=ROUNDUP(1.2*F38,0)),IF(AQ38="",TRUE,AQ38&lt;=ROUNDUP(1.2*F38,0)),IF(AU38="",TRUE,AU38&lt;=ROUNDUP(1.2*F38,0))),IF(F38=0,0,(IF(SUM(I38,M38,Q38,U38,Y38,AC38,AG38,AK38,AO38,AS38,AW38)=0,0,SMALL((I38,M38,Q38,U38,Y38,AC38,AG38,AK38,AO38,AS38,AW38),COUNTIF((I38:AW38),0)+1)))),IF(BE38=J38,I38,IF(BE38=N38,M38,IF(BE38=R38,Q38,IF(BE38=V38,U38,IF(BE38=Z38,Y38,IF(BE38=AD38,AC38,IF(BE38=AH38,AG38,IF(BE38=AL38,AK38,IF(BE38=AP38,AO38,IF(BE38=AT38,AS38,IF(BE38=AX38,AW38))))))))))))))</f>
        <v>548.70000000000005</v>
      </c>
      <c r="BE38" s="714">
        <f>IF(F38="Indg",0,IF(F38="TEC Del",0,IF(AND(IF(G38="",TRUE,G38&lt;=ROUNDUP(1.2*F38,0)),IF(K38="",TRUE,K38&lt;=ROUNDUP(1.2*F38,0)),IF(O38="",TRUE,O38&lt;=ROUNDUP(1.2*F38,0)),IF(S38="",TRUE,S38&lt;=ROUNDUP(1.2*F38,0)),IF(W38="",TRUE,W38&lt;=ROUNDUP(1.2*F38,0)),IF(AA38="",TRUE,AA38&lt;=ROUNDUP(1.2*F38,0)),IF(AE38="",TRUE,AE38&lt;=ROUNDUP(1.2*F38,0)),IF(AI38="",TRUE,AI38&lt;=ROUNDUP(1.2*F38,0)),IF(AM38="",TRUE,AM38&lt;=ROUNDUP(1.2*F38,0)),IF(AQ38="",TRUE,AQ38&lt;=ROUNDUP(1.2*F38,0)),IF(AU38="",TRUE,AU38&lt;=ROUNDUP(1.2*F38,0))),ROUND(BD38*IF(BD38=I38,G38,IF(BD38=M38,K38,IF(BD38=Q38,O38,IF(BD38=U38,S38,IF(BD38=Y38,W38,IF(BD38=AC38,AA38,IF(BD38=AG38,AE38,IF(BD38=AK38,AI38,IF(BD38=AO38,AM38,IF(BD38=AS38,AQ38,IF(BD38=AW38,AU38))))))))))),2),(IF(SUM(J38,N38,R38,V38,Z38,AD38,AH38,AL38,AP38,AT38,AX38)=0,0,SMALL((J38,N38,R38,V38,Z38,AD38,AH38,AL38,AP38,AT38,AX38),COUNTIF((J38:AX38),0)+1))))))</f>
        <v>71879.7</v>
      </c>
      <c r="BF38" s="714">
        <f>IF('Annexure-I'!L35="",'Annexure-I'!F35,'Annexure-I'!L35)</f>
        <v>12.63</v>
      </c>
      <c r="BG38" s="714" t="str">
        <f>IF('Annexure-I'!M35="",'Annexure-I'!G35,'Annexure-I'!M35)</f>
        <v>CONTRACT-A34</v>
      </c>
      <c r="BH38" s="764" t="str">
        <f>IF('Annexure-I'!N35="",'Annexure-I'!H35,'Annexure-I'!N35)</f>
        <v>24-12-2018</v>
      </c>
      <c r="BI38" s="717">
        <f>IF('Annexure-I'!P35="",'Annexure-I'!J35,'Annexure-I'!P35)</f>
        <v>17.02</v>
      </c>
      <c r="BJ38" s="717">
        <f>IF('Annexure-I'!Q35="",'Annexure-I'!K35,'Annexure-I'!Q35)</f>
        <v>1863.1499894400001</v>
      </c>
      <c r="BK38" s="714">
        <f>'Annexure-I'!F35</f>
        <v>12.63</v>
      </c>
      <c r="BL38" s="718" t="str">
        <f>'Annexure-I'!G35</f>
        <v>CONTRACT-A34</v>
      </c>
      <c r="BM38" s="764" t="str">
        <f>IF('Annexure-I'!H35=0,"",'Annexure-I'!H35)</f>
        <v>24-12-2018</v>
      </c>
      <c r="BN38" s="717">
        <f>'Annexure-I'!J35</f>
        <v>17.02</v>
      </c>
      <c r="BO38" s="717">
        <f>'Annexure-I'!K35</f>
        <v>1863.1499894400001</v>
      </c>
      <c r="BP38" s="714">
        <f>IF(OR(AY38="EST",AY38="ADRYS"),ROUND((BC38*1.18)/(1.3224*Form!$D$10),2),BC38)</f>
        <v>656.63</v>
      </c>
      <c r="BQ38" s="714">
        <f>ROUND(BS38/(1.3224*Form!$D$10),2)</f>
        <v>2229.62</v>
      </c>
      <c r="BR38" s="714">
        <f t="shared" si="24"/>
        <v>71879.7</v>
      </c>
      <c r="BS38" s="714">
        <f t="shared" si="25"/>
        <v>244072.65</v>
      </c>
      <c r="BT38" s="719">
        <f t="shared" si="26"/>
        <v>-0.70549875211335644</v>
      </c>
      <c r="BU38" s="714"/>
      <c r="BV38" s="714">
        <f t="shared" si="8"/>
        <v>0</v>
      </c>
      <c r="BW38" s="714">
        <f>IF(OR(AY38="EST",AY38="ADRYS"),ROUND(1.18*BU38,2),ROUND(BU38*1.3224*Form!$D$10,2))</f>
        <v>0</v>
      </c>
      <c r="BX38" s="714">
        <f t="shared" si="9"/>
        <v>0</v>
      </c>
      <c r="BY38" s="719">
        <f>IF((BX38)=0,0,(BX38-BS38)/BS38)</f>
        <v>0</v>
      </c>
      <c r="BZ38" s="714">
        <f t="shared" si="11"/>
        <v>244072.65</v>
      </c>
      <c r="CA38" s="722"/>
      <c r="CB38" s="722"/>
      <c r="CC38" s="4"/>
      <c r="CD38" s="4"/>
      <c r="CE38" s="4"/>
      <c r="CF38" s="4"/>
      <c r="CG38" s="4"/>
      <c r="CH38" s="4"/>
      <c r="CI38" s="721"/>
    </row>
    <row r="39" spans="1:89" s="579" customFormat="1" ht="45" x14ac:dyDescent="0.25">
      <c r="A39" s="712">
        <f>SUBTOTAL(2,$B$5:B39)</f>
        <v>35</v>
      </c>
      <c r="B39" s="754">
        <v>35</v>
      </c>
      <c r="C39" s="755" t="s">
        <v>703</v>
      </c>
      <c r="D39" s="755" t="s">
        <v>127</v>
      </c>
      <c r="E39" s="754">
        <v>10</v>
      </c>
      <c r="F39" s="658">
        <f>'Annexure-I'!E36</f>
        <v>10</v>
      </c>
      <c r="G39" s="784" t="str">
        <f>IF('CST-Calculation'!G39=0,"",'CST-Calculation'!G39)</f>
        <v/>
      </c>
      <c r="H39" s="784" t="str">
        <f>IF('CST-Calculation'!H39=0,"",'CST-Calculation'!H39)</f>
        <v/>
      </c>
      <c r="I39" s="714" t="str">
        <f>IF(G39="","",IF(H39="TEC Rejected","",IF(H39="","",ROUND(1.3224*Form!$D$10*H39,2))))</f>
        <v/>
      </c>
      <c r="J39" s="714" t="str">
        <f t="shared" si="0"/>
        <v/>
      </c>
      <c r="K39" s="713" t="str">
        <f>IF(L39="","",IF('CST-Calculation'!$F39="Indg","",IF('CST-Calculation'!$F39="TEC Del","",IF('CST-Calculation'!K39&gt;0,'CST-Calculation'!K39,IF('CST-Calculation'!$F39=0,"",'CST-Calculation'!$F39)))))</f>
        <v/>
      </c>
      <c r="L39" s="714" t="str">
        <f>IF('CST-Calculation'!L39=0,"",'CST-Calculation'!L39)</f>
        <v/>
      </c>
      <c r="M39" s="714" t="str">
        <f>IF(K39="","",IF(L39="TEC Rejected","",IF(L39="","",ROUND(1.3224*Form!$D$10*L39,2))))</f>
        <v/>
      </c>
      <c r="N39" s="714" t="str">
        <f t="shared" si="1"/>
        <v/>
      </c>
      <c r="O39" s="89">
        <f>IF(P39="","",IF('CST-Calculation'!$F39="Indg","",IF('CST-Calculation'!$F39="TEC Del","",IF('CST-Calculation'!O39&gt;0,'CST-Calculation'!O39,IF('CST-Calculation'!$F39=0,"",'CST-Calculation'!$F39)))))</f>
        <v>10</v>
      </c>
      <c r="P39" s="714">
        <f>IF('CST-Calculation'!P39=0,"",'CST-Calculation'!P39)</f>
        <v>171</v>
      </c>
      <c r="Q39" s="714">
        <f>IF(O39="","",IF(P39="TEC Rejected","",IF(P39="","",ROUND(1.3224*Form!$D$10*P39,2))))</f>
        <v>18719.07</v>
      </c>
      <c r="R39" s="714">
        <f t="shared" si="2"/>
        <v>187190.7</v>
      </c>
      <c r="S39" s="89">
        <f>IF(T39="","",IF('CST-Calculation'!$F39="Indg","",IF('CST-Calculation'!$F39="TEC Del","",IF('CST-Calculation'!S39&gt;0,'CST-Calculation'!S39,IF('CST-Calculation'!$F39=0,"",'CST-Calculation'!$F39)))))</f>
        <v>10</v>
      </c>
      <c r="T39" s="714">
        <f>IF('CST-Calculation'!T39=0,"",'CST-Calculation'!T39)</f>
        <v>144</v>
      </c>
      <c r="U39" s="714">
        <f>IF(S39="","",IF(T39="TEC Rejected","",IF(T39="","",ROUND(1.3224*Form!$D$10*T39,2))))</f>
        <v>15763.43</v>
      </c>
      <c r="V39" s="714">
        <f t="shared" si="3"/>
        <v>157634.29999999999</v>
      </c>
      <c r="W39" s="713" t="str">
        <f>IF(X39="","",IF('CST-Calculation'!$F39="Indg","",IF('CST-Calculation'!$F39="TEC Del","",IF('CST-Calculation'!W39&gt;0,'CST-Calculation'!W39,IF('CST-Calculation'!$F39=0,"",'CST-Calculation'!$F39)))))</f>
        <v/>
      </c>
      <c r="X39" s="714" t="str">
        <f>IF('CST-Calculation'!X39=0,"",'CST-Calculation'!X39)</f>
        <v/>
      </c>
      <c r="Y39" s="714" t="str">
        <f>IF(W39="","",IF(X39="TEC Rejected","",IF(X39="","",ROUND(1.3224*Form!$D$10*X39,2))))</f>
        <v/>
      </c>
      <c r="Z39" s="714" t="str">
        <f t="shared" si="12"/>
        <v/>
      </c>
      <c r="AA39" s="713">
        <f>IF(AB39="","",IF('CST-Calculation'!$F39="Indg","",IF('CST-Calculation'!$F39="TEC Del","",IF('CST-Calculation'!AA39&gt;0,'CST-Calculation'!AA39,IF('CST-Calculation'!$F39=0,"",'CST-Calculation'!$F39)))))</f>
        <v>10</v>
      </c>
      <c r="AB39" s="714">
        <f>IF('CST-Calculation'!AB39=0,"",'CST-Calculation'!AB39)</f>
        <v>9765</v>
      </c>
      <c r="AC39" s="714">
        <f t="shared" si="13"/>
        <v>11522.7</v>
      </c>
      <c r="AD39" s="714">
        <f t="shared" si="14"/>
        <v>115227</v>
      </c>
      <c r="AE39" s="713" t="str">
        <f>IF(AF39="","",IF('CST-Calculation'!$F39="Indg","",IF('CST-Calculation'!$F39="TEC Del","",IF('CST-Calculation'!AE39&gt;0,'CST-Calculation'!AE39,IF('CST-Calculation'!$F39=0,"",'CST-Calculation'!$F39)))))</f>
        <v/>
      </c>
      <c r="AF39" s="714" t="str">
        <f>IF('CST-Calculation'!AF39=0,"",'CST-Calculation'!AF39)</f>
        <v/>
      </c>
      <c r="AG39" s="714" t="str">
        <f>IF(AE39="","",IF(AF39="TEC Rejected","",IF(AF39="","",ROUND(1.3224*Form!$D$10*AF39,2))))</f>
        <v/>
      </c>
      <c r="AH39" s="714" t="str">
        <f t="shared" si="15"/>
        <v/>
      </c>
      <c r="AI39" s="713">
        <f>IF(AJ39="","",IF('CST-Calculation'!$F39="Indg","",IF('CST-Calculation'!$F39="TEC Del","",IF('CST-Calculation'!AI39&gt;0,'CST-Calculation'!AI39,IF('CST-Calculation'!$F39=0,"",'CST-Calculation'!$F39)))))</f>
        <v>10</v>
      </c>
      <c r="AJ39" s="714">
        <f>IF('CST-Calculation'!AJ39=0,"",'CST-Calculation'!AJ39)</f>
        <v>14940</v>
      </c>
      <c r="AK39" s="714">
        <f t="shared" si="16"/>
        <v>17629.2</v>
      </c>
      <c r="AL39" s="714">
        <f t="shared" si="17"/>
        <v>176292</v>
      </c>
      <c r="AM39" s="713" t="str">
        <f>IF(AN39="","",IF('CST-Calculation'!$F39="Indg","",IF('CST-Calculation'!$F39="TEC Del","",IF('CST-Calculation'!AM39&gt;0,'CST-Calculation'!AM39,IF('CST-Calculation'!$F39=0,"",'CST-Calculation'!$F39)))))</f>
        <v/>
      </c>
      <c r="AN39" s="714" t="str">
        <f>IF('CST-Calculation'!AN39=0,"",'CST-Calculation'!AN39)</f>
        <v/>
      </c>
      <c r="AO39" s="714" t="str">
        <f>IF(AM39="","",IF(AN39="TEC Rejected","",IF(AN39="","",ROUND(1.3224*Form!$D$10*AN39,2))))</f>
        <v/>
      </c>
      <c r="AP39" s="714" t="str">
        <f t="shared" si="18"/>
        <v/>
      </c>
      <c r="AQ39" s="713" t="str">
        <f>IF(AR39="","",IF('CST-Calculation'!$F39="Indg","",IF('CST-Calculation'!$F39="TEC Del","",IF('CST-Calculation'!AQ39&gt;0,'CST-Calculation'!AQ39,IF('CST-Calculation'!$F39=0,"",'CST-Calculation'!$F39)))))</f>
        <v/>
      </c>
      <c r="AR39" s="714" t="str">
        <f>IF('CST-Calculation'!AR39=0,"",'CST-Calculation'!AR39)</f>
        <v/>
      </c>
      <c r="AS39" s="714" t="str">
        <f>IF(AQ39="","",IF(AR39="TEC Rejected","",IF(AR39="","",ROUND(1.3224*Form!$D$10*AR39,2))))</f>
        <v/>
      </c>
      <c r="AT39" s="714" t="str">
        <f t="shared" si="19"/>
        <v/>
      </c>
      <c r="AU39" s="713" t="str">
        <f>IF(AV39="","",IF('CST-Calculation'!$F39="Indg","",IF('CST-Calculation'!$F39="TEC Del","",IF('CST-Calculation'!AU39&gt;0,'CST-Calculation'!AU39,IF('CST-Calculation'!$F39=0,"",'CST-Calculation'!$F39)))))</f>
        <v/>
      </c>
      <c r="AV39" s="714" t="str">
        <f>IF('CST-Calculation'!AV39=0,"",'CST-Calculation'!AV39)</f>
        <v/>
      </c>
      <c r="AW39" s="714" t="str">
        <f>IF(AU39="","",IF(AV39="TEC Rejected","",IF(AV39="","",ROUND(1.3224*Form!$D$10*AV39,2))))</f>
        <v/>
      </c>
      <c r="AX39" s="714" t="str">
        <f t="shared" si="20"/>
        <v/>
      </c>
      <c r="AY39" s="715" t="str">
        <f t="shared" si="21"/>
        <v>ADRYS</v>
      </c>
      <c r="AZ39" s="716" t="str">
        <f t="shared" si="22"/>
        <v>MULTIPLE</v>
      </c>
      <c r="BA39" s="716" t="str">
        <f t="shared" si="23"/>
        <v>&lt;= 20%</v>
      </c>
      <c r="BB39" s="716">
        <f>IF(AY39="EST",ROUND(BD39/1.18,2),IF(AY39="ADRYS",ROUND(BD39/1.18,2),ROUND(BD39/(1.3224*Form!$D$10),2)))</f>
        <v>9765</v>
      </c>
      <c r="BC39" s="784">
        <f>IF(OR(AY39="EST",AY39="ADRYS"),ROUND(BE39/1.18,2),ROUND(BE39/(1.3224*Form!$D$10),2))</f>
        <v>97650</v>
      </c>
      <c r="BD39" s="717">
        <f>IF(F39="Indg",0,IF(F39="TEC Del",0,IF(AND(IF(G39="",TRUE,G39&lt;=ROUNDUP(1.2*F39,0)),IF(K39="",TRUE,K39&lt;=ROUNDUP(1.2*F39,0)),IF(O39="",TRUE,O39&lt;=ROUNDUP(1.2*F39,0)),IF(S39="",TRUE,S39&lt;=ROUNDUP(1.2*F39,0)),IF(W39="",TRUE,W39&lt;=ROUNDUP(1.2*F39,0)),IF(AA39="",TRUE,AA39&lt;=ROUNDUP(1.2*F39,0)),IF(AE39="",TRUE,AE39&lt;=ROUNDUP(1.2*F39,0)),IF(AI39="",TRUE,AI39&lt;=ROUNDUP(1.2*F39,0)),IF(AM39="",TRUE,AM39&lt;=ROUNDUP(1.2*F39,0)),IF(AQ39="",TRUE,AQ39&lt;=ROUNDUP(1.2*F39,0)),IF(AU39="",TRUE,AU39&lt;=ROUNDUP(1.2*F39,0))),IF(F39=0,0,(IF(SUM(I39,M39,Q39,U39,Y39,AC39,AG39,AK39,AO39,AS39,AW39)=0,0,SMALL((I39,M39,Q39,U39,Y39,AC39,AG39,AK39,AO39,AS39,AW39),COUNTIF((I39:AW39),0)+1)))),IF(BE39=J39,I39,IF(BE39=N39,M39,IF(BE39=R39,Q39,IF(BE39=V39,U39,IF(BE39=Z39,Y39,IF(BE39=AD39,AC39,IF(BE39=AH39,AG39,IF(BE39=AL39,AK39,IF(BE39=AP39,AO39,IF(BE39=AT39,AS39,IF(BE39=AX39,AW39))))))))))))))</f>
        <v>11522.7</v>
      </c>
      <c r="BE39" s="714">
        <f>IF(F39="Indg",0,IF(F39="TEC Del",0,IF(AND(IF(G39="",TRUE,G39&lt;=ROUNDUP(1.2*F39,0)),IF(K39="",TRUE,K39&lt;=ROUNDUP(1.2*F39,0)),IF(O39="",TRUE,O39&lt;=ROUNDUP(1.2*F39,0)),IF(S39="",TRUE,S39&lt;=ROUNDUP(1.2*F39,0)),IF(W39="",TRUE,W39&lt;=ROUNDUP(1.2*F39,0)),IF(AA39="",TRUE,AA39&lt;=ROUNDUP(1.2*F39,0)),IF(AE39="",TRUE,AE39&lt;=ROUNDUP(1.2*F39,0)),IF(AI39="",TRUE,AI39&lt;=ROUNDUP(1.2*F39,0)),IF(AM39="",TRUE,AM39&lt;=ROUNDUP(1.2*F39,0)),IF(AQ39="",TRUE,AQ39&lt;=ROUNDUP(1.2*F39,0)),IF(AU39="",TRUE,AU39&lt;=ROUNDUP(1.2*F39,0))),ROUND(BD39*IF(BD39=I39,G39,IF(BD39=M39,K39,IF(BD39=Q39,O39,IF(BD39=U39,S39,IF(BD39=Y39,W39,IF(BD39=AC39,AA39,IF(BD39=AG39,AE39,IF(BD39=AK39,AI39,IF(BD39=AO39,AM39,IF(BD39=AS39,AQ39,IF(BD39=AW39,AU39))))))))))),2),(IF(SUM(J39,N39,R39,V39,Z39,AD39,AH39,AL39,AP39,AT39,AX39)=0,0,SMALL((J39,N39,R39,V39,Z39,AD39,AH39,AL39,AP39,AT39,AX39),COUNTIF((J39:AX39),0)+1))))))</f>
        <v>115227</v>
      </c>
      <c r="BF39" s="714">
        <f>IF('Annexure-I'!L36="",'Annexure-I'!F36,'Annexure-I'!L36)</f>
        <v>92.28</v>
      </c>
      <c r="BG39" s="714" t="str">
        <f>IF('Annexure-I'!M36="",'Annexure-I'!G36,'Annexure-I'!M36)</f>
        <v>CONTRACT-A35</v>
      </c>
      <c r="BH39" s="764" t="str">
        <f>IF('Annexure-I'!N36="",'Annexure-I'!H36,'Annexure-I'!N36)</f>
        <v>29-12-2015</v>
      </c>
      <c r="BI39" s="717">
        <f>IF('Annexure-I'!P36="",'Annexure-I'!J36,'Annexure-I'!P36)</f>
        <v>144.38999999999999</v>
      </c>
      <c r="BJ39" s="717">
        <f>IF('Annexure-I'!Q36="",'Annexure-I'!K36,'Annexure-I'!Q36)</f>
        <v>15806.123794079998</v>
      </c>
      <c r="BK39" s="714">
        <f>'Annexure-I'!F36</f>
        <v>92.28</v>
      </c>
      <c r="BL39" s="718" t="str">
        <f>'Annexure-I'!G36</f>
        <v>CONTRACT-A35</v>
      </c>
      <c r="BM39" s="764" t="str">
        <f>IF('Annexure-I'!H36=0,"",'Annexure-I'!H36)</f>
        <v>29-12-2015</v>
      </c>
      <c r="BN39" s="717">
        <f>'Annexure-I'!J36</f>
        <v>144.38999999999999</v>
      </c>
      <c r="BO39" s="717">
        <f>'Annexure-I'!K36</f>
        <v>15806.123794079998</v>
      </c>
      <c r="BP39" s="714">
        <f>IF(OR(AY39="EST",AY39="ADRYS"),ROUND((BC39*1.18)/(1.3224*Form!$D$10),2),BC39)</f>
        <v>1052.6099999999999</v>
      </c>
      <c r="BQ39" s="714">
        <f>ROUND(BS39/(1.3224*Form!$D$10),2)</f>
        <v>1443.9</v>
      </c>
      <c r="BR39" s="714">
        <f t="shared" si="24"/>
        <v>115227</v>
      </c>
      <c r="BS39" s="714">
        <f t="shared" si="25"/>
        <v>158061.24</v>
      </c>
      <c r="BT39" s="719">
        <f t="shared" si="26"/>
        <v>-0.27099774745535332</v>
      </c>
      <c r="BU39" s="714"/>
      <c r="BV39" s="714">
        <f t="shared" si="8"/>
        <v>0</v>
      </c>
      <c r="BW39" s="714">
        <f>IF(OR(AY39="EST",AY39="ADRYS"),ROUND(1.18*BU39,2),ROUND(BU39*1.3224*Form!$D$10,2))</f>
        <v>0</v>
      </c>
      <c r="BX39" s="714">
        <f t="shared" si="9"/>
        <v>0</v>
      </c>
      <c r="BY39" s="719">
        <f>IF((BX39)=0,0,(BX39-BS39)/BS39)</f>
        <v>0</v>
      </c>
      <c r="BZ39" s="714">
        <f t="shared" si="11"/>
        <v>158061.24</v>
      </c>
      <c r="CA39" s="722"/>
      <c r="CB39" s="722"/>
      <c r="CC39" s="4"/>
      <c r="CD39" s="4"/>
      <c r="CE39" s="4"/>
      <c r="CF39" s="4"/>
      <c r="CG39" s="4"/>
      <c r="CH39" s="4"/>
      <c r="CI39" s="721"/>
    </row>
    <row r="40" spans="1:89" s="579" customFormat="1" ht="45" x14ac:dyDescent="0.25">
      <c r="A40" s="712">
        <f>SUBTOTAL(2,$B$5:B40)</f>
        <v>36</v>
      </c>
      <c r="B40" s="754">
        <v>36</v>
      </c>
      <c r="C40" s="756" t="s">
        <v>704</v>
      </c>
      <c r="D40" s="755" t="s">
        <v>127</v>
      </c>
      <c r="E40" s="754">
        <v>28</v>
      </c>
      <c r="F40" s="658">
        <f>'Annexure-I'!E37</f>
        <v>28</v>
      </c>
      <c r="G40" s="784" t="str">
        <f>IF('CST-Calculation'!G40=0,"",'CST-Calculation'!G40)</f>
        <v/>
      </c>
      <c r="H40" s="784" t="str">
        <f>IF('CST-Calculation'!H40=0,"",'CST-Calculation'!H40)</f>
        <v/>
      </c>
      <c r="I40" s="714" t="str">
        <f>IF(G40="","",IF(H40="TEC Rejected","",IF(H40="","",ROUND(1.3224*Form!$D$10*H40,2))))</f>
        <v/>
      </c>
      <c r="J40" s="714" t="str">
        <f t="shared" si="0"/>
        <v/>
      </c>
      <c r="K40" s="713" t="str">
        <f>IF(L40="","",IF('CST-Calculation'!$F40="Indg","",IF('CST-Calculation'!$F40="TEC Del","",IF('CST-Calculation'!K40&gt;0,'CST-Calculation'!K40,IF('CST-Calculation'!$F40=0,"",'CST-Calculation'!$F40)))))</f>
        <v/>
      </c>
      <c r="L40" s="714" t="str">
        <f>IF('CST-Calculation'!L40=0,"",'CST-Calculation'!L40)</f>
        <v/>
      </c>
      <c r="M40" s="714" t="str">
        <f>IF(K40="","",IF(L40="TEC Rejected","",IF(L40="","",ROUND(1.3224*Form!$D$10*L40,2))))</f>
        <v/>
      </c>
      <c r="N40" s="714" t="str">
        <f t="shared" si="1"/>
        <v/>
      </c>
      <c r="O40" s="89">
        <f>IF(P40="","",IF('CST-Calculation'!$F40="Indg","",IF('CST-Calculation'!$F40="TEC Del","",IF('CST-Calculation'!O40&gt;0,'CST-Calculation'!O40,IF('CST-Calculation'!$F40=0,"",'CST-Calculation'!$F40)))))</f>
        <v>28</v>
      </c>
      <c r="P40" s="714">
        <f>IF('CST-Calculation'!P40=0,"",'CST-Calculation'!P40)</f>
        <v>155</v>
      </c>
      <c r="Q40" s="714">
        <f>IF(O40="","",IF(P40="TEC Rejected","",IF(P40="","",ROUND(1.3224*Form!$D$10*P40,2))))</f>
        <v>16967.580000000002</v>
      </c>
      <c r="R40" s="714">
        <f t="shared" si="2"/>
        <v>475092.24</v>
      </c>
      <c r="S40" s="89">
        <f>IF(T40="","",IF('CST-Calculation'!$F40="Indg","",IF('CST-Calculation'!$F40="TEC Del","",IF('CST-Calculation'!S40&gt;0,'CST-Calculation'!S40,IF('CST-Calculation'!$F40=0,"",'CST-Calculation'!$F40)))))</f>
        <v>28</v>
      </c>
      <c r="T40" s="714">
        <f>IF('CST-Calculation'!T40=0,"",'CST-Calculation'!T40)</f>
        <v>132</v>
      </c>
      <c r="U40" s="714">
        <f>IF(S40="","",IF(T40="TEC Rejected","",IF(T40="","",ROUND(1.3224*Form!$D$10*T40,2))))</f>
        <v>14449.81</v>
      </c>
      <c r="V40" s="714">
        <f t="shared" si="3"/>
        <v>404594.68</v>
      </c>
      <c r="W40" s="713" t="str">
        <f>IF(X40="","",IF('CST-Calculation'!$F40="Indg","",IF('CST-Calculation'!$F40="TEC Del","",IF('CST-Calculation'!W40&gt;0,'CST-Calculation'!W40,IF('CST-Calculation'!$F40=0,"",'CST-Calculation'!$F40)))))</f>
        <v/>
      </c>
      <c r="X40" s="714" t="str">
        <f>IF('CST-Calculation'!X40=0,"",'CST-Calculation'!X40)</f>
        <v/>
      </c>
      <c r="Y40" s="714" t="str">
        <f>IF(W40="","",IF(X40="TEC Rejected","",IF(X40="","",ROUND(1.3224*Form!$D$10*X40,2))))</f>
        <v/>
      </c>
      <c r="Z40" s="714" t="str">
        <f t="shared" si="12"/>
        <v/>
      </c>
      <c r="AA40" s="713">
        <f>IF(AB40="","",IF('CST-Calculation'!$F40="Indg","",IF('CST-Calculation'!$F40="TEC Del","",IF('CST-Calculation'!AA40&gt;0,'CST-Calculation'!AA40,IF('CST-Calculation'!$F40=0,"",'CST-Calculation'!$F40)))))</f>
        <v>28</v>
      </c>
      <c r="AB40" s="714">
        <f>IF('CST-Calculation'!AB40=0,"",'CST-Calculation'!AB40)</f>
        <v>9765</v>
      </c>
      <c r="AC40" s="714">
        <f t="shared" si="13"/>
        <v>11522.7</v>
      </c>
      <c r="AD40" s="714">
        <f t="shared" si="14"/>
        <v>322635.59999999998</v>
      </c>
      <c r="AE40" s="713" t="str">
        <f>IF(AF40="","",IF('CST-Calculation'!$F40="Indg","",IF('CST-Calculation'!$F40="TEC Del","",IF('CST-Calculation'!AE40&gt;0,'CST-Calculation'!AE40,IF('CST-Calculation'!$F40=0,"",'CST-Calculation'!$F40)))))</f>
        <v/>
      </c>
      <c r="AF40" s="714" t="str">
        <f>IF('CST-Calculation'!AF40=0,"",'CST-Calculation'!AF40)</f>
        <v/>
      </c>
      <c r="AG40" s="714" t="str">
        <f>IF(AE40="","",IF(AF40="TEC Rejected","",IF(AF40="","",ROUND(1.3224*Form!$D$10*AF40,2))))</f>
        <v/>
      </c>
      <c r="AH40" s="714" t="str">
        <f t="shared" si="15"/>
        <v/>
      </c>
      <c r="AI40" s="713">
        <f>IF(AJ40="","",IF('CST-Calculation'!$F40="Indg","",IF('CST-Calculation'!$F40="TEC Del","",IF('CST-Calculation'!AI40&gt;0,'CST-Calculation'!AI40,IF('CST-Calculation'!$F40=0,"",'CST-Calculation'!$F40)))))</f>
        <v>28</v>
      </c>
      <c r="AJ40" s="714">
        <f>IF('CST-Calculation'!AJ40=0,"",'CST-Calculation'!AJ40)</f>
        <v>14940</v>
      </c>
      <c r="AK40" s="714">
        <f t="shared" si="16"/>
        <v>17629.2</v>
      </c>
      <c r="AL40" s="714">
        <f t="shared" si="17"/>
        <v>493617.6</v>
      </c>
      <c r="AM40" s="713" t="str">
        <f>IF(AN40="","",IF('CST-Calculation'!$F40="Indg","",IF('CST-Calculation'!$F40="TEC Del","",IF('CST-Calculation'!AM40&gt;0,'CST-Calculation'!AM40,IF('CST-Calculation'!$F40=0,"",'CST-Calculation'!$F40)))))</f>
        <v/>
      </c>
      <c r="AN40" s="714" t="str">
        <f>IF('CST-Calculation'!AN40=0,"",'CST-Calculation'!AN40)</f>
        <v/>
      </c>
      <c r="AO40" s="714" t="str">
        <f>IF(AM40="","",IF(AN40="TEC Rejected","",IF(AN40="","",ROUND(1.3224*Form!$D$10*AN40,2))))</f>
        <v/>
      </c>
      <c r="AP40" s="714" t="str">
        <f t="shared" si="18"/>
        <v/>
      </c>
      <c r="AQ40" s="713" t="str">
        <f>IF(AR40="","",IF('CST-Calculation'!$F40="Indg","",IF('CST-Calculation'!$F40="TEC Del","",IF('CST-Calculation'!AQ40&gt;0,'CST-Calculation'!AQ40,IF('CST-Calculation'!$F40=0,"",'CST-Calculation'!$F40)))))</f>
        <v/>
      </c>
      <c r="AR40" s="714" t="str">
        <f>IF('CST-Calculation'!AR40=0,"",'CST-Calculation'!AR40)</f>
        <v/>
      </c>
      <c r="AS40" s="714" t="str">
        <f>IF(AQ40="","",IF(AR40="TEC Rejected","",IF(AR40="","",ROUND(1.3224*Form!$D$10*AR40,2))))</f>
        <v/>
      </c>
      <c r="AT40" s="714" t="str">
        <f t="shared" si="19"/>
        <v/>
      </c>
      <c r="AU40" s="713" t="str">
        <f>IF(AV40="","",IF('CST-Calculation'!$F40="Indg","",IF('CST-Calculation'!$F40="TEC Del","",IF('CST-Calculation'!AU40&gt;0,'CST-Calculation'!AU40,IF('CST-Calculation'!$F40=0,"",'CST-Calculation'!$F40)))))</f>
        <v/>
      </c>
      <c r="AV40" s="714" t="str">
        <f>IF('CST-Calculation'!AV40=0,"",'CST-Calculation'!AV40)</f>
        <v/>
      </c>
      <c r="AW40" s="714" t="str">
        <f>IF(AU40="","",IF(AV40="TEC Rejected","",IF(AV40="","",ROUND(1.3224*Form!$D$10*AV40,2))))</f>
        <v/>
      </c>
      <c r="AX40" s="714" t="str">
        <f t="shared" si="20"/>
        <v/>
      </c>
      <c r="AY40" s="715" t="str">
        <f t="shared" si="21"/>
        <v>ADRYS</v>
      </c>
      <c r="AZ40" s="716" t="str">
        <f t="shared" si="22"/>
        <v>MULTIPLE</v>
      </c>
      <c r="BA40" s="716" t="str">
        <f t="shared" si="23"/>
        <v>&lt;= 20%</v>
      </c>
      <c r="BB40" s="716">
        <f>IF(AY40="EST",ROUND(BD40/1.18,2),IF(AY40="ADRYS",ROUND(BD40/1.18,2),ROUND(BD40/(1.3224*Form!$D$10),2)))</f>
        <v>9765</v>
      </c>
      <c r="BC40" s="784">
        <f>IF(OR(AY40="EST",AY40="ADRYS"),ROUND(BE40/1.18,2),ROUND(BE40/(1.3224*Form!$D$10),2))</f>
        <v>273420</v>
      </c>
      <c r="BD40" s="717">
        <f>IF(F40="Indg",0,IF(F40="TEC Del",0,IF(AND(IF(G40="",TRUE,G40&lt;=ROUNDUP(1.2*F40,0)),IF(K40="",TRUE,K40&lt;=ROUNDUP(1.2*F40,0)),IF(O40="",TRUE,O40&lt;=ROUNDUP(1.2*F40,0)),IF(S40="",TRUE,S40&lt;=ROUNDUP(1.2*F40,0)),IF(W40="",TRUE,W40&lt;=ROUNDUP(1.2*F40,0)),IF(AA40="",TRUE,AA40&lt;=ROUNDUP(1.2*F40,0)),IF(AE40="",TRUE,AE40&lt;=ROUNDUP(1.2*F40,0)),IF(AI40="",TRUE,AI40&lt;=ROUNDUP(1.2*F40,0)),IF(AM40="",TRUE,AM40&lt;=ROUNDUP(1.2*F40,0)),IF(AQ40="",TRUE,AQ40&lt;=ROUNDUP(1.2*F40,0)),IF(AU40="",TRUE,AU40&lt;=ROUNDUP(1.2*F40,0))),IF(F40=0,0,(IF(SUM(I40,M40,Q40,U40,Y40,AC40,AG40,AK40,AO40,AS40,AW40)=0,0,SMALL((I40,M40,Q40,U40,Y40,AC40,AG40,AK40,AO40,AS40,AW40),COUNTIF((I40:AW40),0)+1)))),IF(BE40=J40,I40,IF(BE40=N40,M40,IF(BE40=R40,Q40,IF(BE40=V40,U40,IF(BE40=Z40,Y40,IF(BE40=AD40,AC40,IF(BE40=AH40,AG40,IF(BE40=AL40,AK40,IF(BE40=AP40,AO40,IF(BE40=AT40,AS40,IF(BE40=AX40,AW40))))))))))))))</f>
        <v>11522.7</v>
      </c>
      <c r="BE40" s="714">
        <f>IF(F40="Indg",0,IF(F40="TEC Del",0,IF(AND(IF(G40="",TRUE,G40&lt;=ROUNDUP(1.2*F40,0)),IF(K40="",TRUE,K40&lt;=ROUNDUP(1.2*F40,0)),IF(O40="",TRUE,O40&lt;=ROUNDUP(1.2*F40,0)),IF(S40="",TRUE,S40&lt;=ROUNDUP(1.2*F40,0)),IF(W40="",TRUE,W40&lt;=ROUNDUP(1.2*F40,0)),IF(AA40="",TRUE,AA40&lt;=ROUNDUP(1.2*F40,0)),IF(AE40="",TRUE,AE40&lt;=ROUNDUP(1.2*F40,0)),IF(AI40="",TRUE,AI40&lt;=ROUNDUP(1.2*F40,0)),IF(AM40="",TRUE,AM40&lt;=ROUNDUP(1.2*F40,0)),IF(AQ40="",TRUE,AQ40&lt;=ROUNDUP(1.2*F40,0)),IF(AU40="",TRUE,AU40&lt;=ROUNDUP(1.2*F40,0))),ROUND(BD40*IF(BD40=I40,G40,IF(BD40=M40,K40,IF(BD40=Q40,O40,IF(BD40=U40,S40,IF(BD40=Y40,W40,IF(BD40=AC40,AA40,IF(BD40=AG40,AE40,IF(BD40=AK40,AI40,IF(BD40=AO40,AM40,IF(BD40=AS40,AQ40,IF(BD40=AW40,AU40))))))))))),2),(IF(SUM(J40,N40,R40,V40,Z40,AD40,AH40,AL40,AP40,AT40,AX40)=0,0,SMALL((J40,N40,R40,V40,Z40,AD40,AH40,AL40,AP40,AT40,AX40),COUNTIF((J40:AX40),0)+1))))))</f>
        <v>322635.59999999998</v>
      </c>
      <c r="BF40" s="714">
        <f>IF('Annexure-I'!L37="",'Annexure-I'!F37,'Annexure-I'!L37)</f>
        <v>74.91</v>
      </c>
      <c r="BG40" s="714" t="str">
        <f>IF('Annexure-I'!M37="",'Annexure-I'!G37,'Annexure-I'!M37)</f>
        <v>CONTRACT-A36</v>
      </c>
      <c r="BH40" s="764">
        <f>IF('Annexure-I'!N37="",'Annexure-I'!H37,'Annexure-I'!N37)</f>
        <v>40967</v>
      </c>
      <c r="BI40" s="717">
        <f>IF('Annexure-I'!P37="",'Annexure-I'!J37,'Annexure-I'!P37)</f>
        <v>137.24</v>
      </c>
      <c r="BJ40" s="717">
        <f>IF('Annexure-I'!Q37="",'Annexure-I'!K37,'Annexure-I'!Q37)</f>
        <v>15023.425649280003</v>
      </c>
      <c r="BK40" s="714">
        <f>'Annexure-I'!F37</f>
        <v>74.91</v>
      </c>
      <c r="BL40" s="718" t="str">
        <f>'Annexure-I'!G37</f>
        <v>CONTRACT-A36</v>
      </c>
      <c r="BM40" s="764">
        <f>IF('Annexure-I'!H37=0,"",'Annexure-I'!H37)</f>
        <v>40967</v>
      </c>
      <c r="BN40" s="717">
        <f>'Annexure-I'!J37</f>
        <v>137.24</v>
      </c>
      <c r="BO40" s="717">
        <f>'Annexure-I'!K37</f>
        <v>15023.425649280003</v>
      </c>
      <c r="BP40" s="714">
        <f>IF(OR(AY40="EST",AY40="ADRYS"),ROUND((BC40*1.18)/(1.3224*Form!$D$10),2),BC40)</f>
        <v>2947.3</v>
      </c>
      <c r="BQ40" s="714">
        <f>ROUND(BS40/(1.3224*Form!$D$10),2)</f>
        <v>3842.72</v>
      </c>
      <c r="BR40" s="714">
        <f t="shared" si="24"/>
        <v>322635.59999999998</v>
      </c>
      <c r="BS40" s="714">
        <f t="shared" si="25"/>
        <v>420655.92</v>
      </c>
      <c r="BT40" s="719">
        <f t="shared" si="26"/>
        <v>-0.23301780704762223</v>
      </c>
      <c r="BU40" s="714"/>
      <c r="BV40" s="714">
        <f t="shared" si="8"/>
        <v>0</v>
      </c>
      <c r="BW40" s="714">
        <f>IF(OR(AY40="EST",AY40="ADRYS"),ROUND(1.18*BU40,2),ROUND(BU40*1.3224*Form!$D$10,2))</f>
        <v>0</v>
      </c>
      <c r="BX40" s="714">
        <f t="shared" si="9"/>
        <v>0</v>
      </c>
      <c r="BY40" s="719">
        <f t="shared" si="10"/>
        <v>0</v>
      </c>
      <c r="BZ40" s="714">
        <f t="shared" si="11"/>
        <v>420655.92</v>
      </c>
      <c r="CA40" s="720"/>
      <c r="CB40" s="720"/>
      <c r="CC40" s="4"/>
      <c r="CD40" s="4"/>
      <c r="CE40" s="4"/>
      <c r="CF40" s="4"/>
      <c r="CG40" s="4"/>
      <c r="CH40" s="4"/>
      <c r="CI40" s="721"/>
    </row>
    <row r="41" spans="1:89" s="579" customFormat="1" ht="45" x14ac:dyDescent="0.25">
      <c r="A41" s="712">
        <f>SUBTOTAL(2,$B$5:B41)</f>
        <v>37</v>
      </c>
      <c r="B41" s="754">
        <v>37</v>
      </c>
      <c r="C41" s="755" t="s">
        <v>705</v>
      </c>
      <c r="D41" s="755" t="s">
        <v>600</v>
      </c>
      <c r="E41" s="754">
        <v>5</v>
      </c>
      <c r="F41" s="658">
        <f>'Annexure-I'!E38</f>
        <v>5</v>
      </c>
      <c r="G41" s="784" t="str">
        <f>IF('CST-Calculation'!G41=0,"",'CST-Calculation'!G41)</f>
        <v/>
      </c>
      <c r="H41" s="784" t="str">
        <f>IF('CST-Calculation'!H41=0,"",'CST-Calculation'!H41)</f>
        <v/>
      </c>
      <c r="I41" s="714" t="str">
        <f>IF(G41="","",IF(H41="TEC Rejected","",IF(H41="","",ROUND(1.3224*Form!$D$10*H41,2))))</f>
        <v/>
      </c>
      <c r="J41" s="714" t="str">
        <f t="shared" si="0"/>
        <v/>
      </c>
      <c r="K41" s="713" t="str">
        <f>IF(L41="","",IF('CST-Calculation'!$F41="Indg","",IF('CST-Calculation'!$F41="TEC Del","",IF('CST-Calculation'!K41&gt;0,'CST-Calculation'!K41,IF('CST-Calculation'!$F41=0,"",'CST-Calculation'!$F41)))))</f>
        <v/>
      </c>
      <c r="L41" s="714" t="str">
        <f>IF('CST-Calculation'!L41=0,"",'CST-Calculation'!L41)</f>
        <v/>
      </c>
      <c r="M41" s="714" t="str">
        <f>IF(K41="","",IF(L41="TEC Rejected","",IF(L41="","",ROUND(1.3224*Form!$D$10*L41,2))))</f>
        <v/>
      </c>
      <c r="N41" s="714" t="str">
        <f t="shared" si="1"/>
        <v/>
      </c>
      <c r="O41" s="89" t="str">
        <f>IF(P41="","",IF('CST-Calculation'!$F41="Indg","",IF('CST-Calculation'!$F41="TEC Del","",IF('CST-Calculation'!O41&gt;0,'CST-Calculation'!O41,IF('CST-Calculation'!$F41=0,"",'CST-Calculation'!$F41)))))</f>
        <v/>
      </c>
      <c r="P41" s="714" t="str">
        <f>IF('CST-Calculation'!P41=0,"",'CST-Calculation'!P41)</f>
        <v/>
      </c>
      <c r="Q41" s="714" t="str">
        <f>IF(O41="","",IF(P41="TEC Rejected","",IF(P41="","",ROUND(1.3224*Form!$D$10*P41,2))))</f>
        <v/>
      </c>
      <c r="R41" s="714" t="str">
        <f t="shared" si="2"/>
        <v/>
      </c>
      <c r="S41" s="89" t="str">
        <f>IF(T41="","",IF('CST-Calculation'!$F41="Indg","",IF('CST-Calculation'!$F41="TEC Del","",IF('CST-Calculation'!S41&gt;0,'CST-Calculation'!S41,IF('CST-Calculation'!$F41=0,"",'CST-Calculation'!$F41)))))</f>
        <v/>
      </c>
      <c r="T41" s="714" t="str">
        <f>IF('CST-Calculation'!T41=0,"",'CST-Calculation'!T41)</f>
        <v/>
      </c>
      <c r="U41" s="714" t="str">
        <f>IF(S41="","",IF(T41="TEC Rejected","",IF(T41="","",ROUND(1.3224*Form!$D$10*T41,2))))</f>
        <v/>
      </c>
      <c r="V41" s="714" t="str">
        <f t="shared" si="3"/>
        <v/>
      </c>
      <c r="W41" s="713" t="str">
        <f>IF(X41="","",IF('CST-Calculation'!$F41="Indg","",IF('CST-Calculation'!$F41="TEC Del","",IF('CST-Calculation'!W41&gt;0,'CST-Calculation'!W41,IF('CST-Calculation'!$F41=0,"",'CST-Calculation'!$F41)))))</f>
        <v/>
      </c>
      <c r="X41" s="714" t="str">
        <f>IF('CST-Calculation'!X41=0,"",'CST-Calculation'!X41)</f>
        <v/>
      </c>
      <c r="Y41" s="714" t="str">
        <f>IF(W41="","",IF(X41="TEC Rejected","",IF(X41="","",ROUND(1.3224*Form!$D$10*X41,2))))</f>
        <v/>
      </c>
      <c r="Z41" s="714" t="str">
        <f t="shared" si="12"/>
        <v/>
      </c>
      <c r="AA41" s="713" t="str">
        <f>IF(AB41="","",IF('CST-Calculation'!$F41="Indg","",IF('CST-Calculation'!$F41="TEC Del","",IF('CST-Calculation'!AA41&gt;0,'CST-Calculation'!AA41,IF('CST-Calculation'!$F41=0,"",'CST-Calculation'!$F41)))))</f>
        <v/>
      </c>
      <c r="AB41" s="714" t="str">
        <f>IF('CST-Calculation'!AB41=0,"",'CST-Calculation'!AB41)</f>
        <v/>
      </c>
      <c r="AC41" s="714" t="str">
        <f t="shared" si="13"/>
        <v/>
      </c>
      <c r="AD41" s="714" t="str">
        <f t="shared" si="14"/>
        <v/>
      </c>
      <c r="AE41" s="713" t="str">
        <f>IF(AF41="","",IF('CST-Calculation'!$F41="Indg","",IF('CST-Calculation'!$F41="TEC Del","",IF('CST-Calculation'!AE41&gt;0,'CST-Calculation'!AE41,IF('CST-Calculation'!$F41=0,"",'CST-Calculation'!$F41)))))</f>
        <v/>
      </c>
      <c r="AF41" s="714" t="str">
        <f>IF('CST-Calculation'!AF41=0,"",'CST-Calculation'!AF41)</f>
        <v/>
      </c>
      <c r="AG41" s="714" t="str">
        <f>IF(AE41="","",IF(AF41="TEC Rejected","",IF(AF41="","",ROUND(1.3224*Form!$D$10*AF41,2))))</f>
        <v/>
      </c>
      <c r="AH41" s="714" t="str">
        <f t="shared" si="15"/>
        <v/>
      </c>
      <c r="AI41" s="713" t="str">
        <f>IF(AJ41="","",IF('CST-Calculation'!$F41="Indg","",IF('CST-Calculation'!$F41="TEC Del","",IF('CST-Calculation'!AI41&gt;0,'CST-Calculation'!AI41,IF('CST-Calculation'!$F41=0,"",'CST-Calculation'!$F41)))))</f>
        <v/>
      </c>
      <c r="AJ41" s="714" t="str">
        <f>IF('CST-Calculation'!AJ41=0,"",'CST-Calculation'!AJ41)</f>
        <v/>
      </c>
      <c r="AK41" s="714" t="str">
        <f t="shared" si="16"/>
        <v/>
      </c>
      <c r="AL41" s="714" t="str">
        <f t="shared" si="17"/>
        <v/>
      </c>
      <c r="AM41" s="713" t="str">
        <f>IF(AN41="","",IF('CST-Calculation'!$F41="Indg","",IF('CST-Calculation'!$F41="TEC Del","",IF('CST-Calculation'!AM41&gt;0,'CST-Calculation'!AM41,IF('CST-Calculation'!$F41=0,"",'CST-Calculation'!$F41)))))</f>
        <v/>
      </c>
      <c r="AN41" s="714" t="str">
        <f>IF('CST-Calculation'!AN41=0,"",'CST-Calculation'!AN41)</f>
        <v/>
      </c>
      <c r="AO41" s="714" t="str">
        <f>IF(AM41="","",IF(AN41="TEC Rejected","",IF(AN41="","",ROUND(1.3224*Form!$D$10*AN41,2))))</f>
        <v/>
      </c>
      <c r="AP41" s="714" t="str">
        <f t="shared" si="18"/>
        <v/>
      </c>
      <c r="AQ41" s="713" t="str">
        <f>IF(AR41="","",IF('CST-Calculation'!$F41="Indg","",IF('CST-Calculation'!$F41="TEC Del","",IF('CST-Calculation'!AQ41&gt;0,'CST-Calculation'!AQ41,IF('CST-Calculation'!$F41=0,"",'CST-Calculation'!$F41)))))</f>
        <v/>
      </c>
      <c r="AR41" s="714" t="str">
        <f>IF('CST-Calculation'!AR41=0,"",'CST-Calculation'!AR41)</f>
        <v/>
      </c>
      <c r="AS41" s="714" t="str">
        <f>IF(AQ41="","",IF(AR41="TEC Rejected","",IF(AR41="","",ROUND(1.3224*Form!$D$10*AR41,2))))</f>
        <v/>
      </c>
      <c r="AT41" s="714" t="str">
        <f t="shared" si="19"/>
        <v/>
      </c>
      <c r="AU41" s="713" t="str">
        <f>IF(AV41="","",IF('CST-Calculation'!$F41="Indg","",IF('CST-Calculation'!$F41="TEC Del","",IF('CST-Calculation'!AU41&gt;0,'CST-Calculation'!AU41,IF('CST-Calculation'!$F41=0,"",'CST-Calculation'!$F41)))))</f>
        <v/>
      </c>
      <c r="AV41" s="714" t="str">
        <f>IF('CST-Calculation'!AV41=0,"",'CST-Calculation'!AV41)</f>
        <v/>
      </c>
      <c r="AW41" s="714" t="str">
        <f>IF(AU41="","",IF(AV41="TEC Rejected","",IF(AV41="","",ROUND(1.3224*Form!$D$10*AV41,2))))</f>
        <v/>
      </c>
      <c r="AX41" s="714" t="str">
        <f t="shared" si="20"/>
        <v/>
      </c>
      <c r="AY41" s="715" t="str">
        <f t="shared" si="21"/>
        <v>NO OFFER</v>
      </c>
      <c r="AZ41" s="716" t="str">
        <f t="shared" si="22"/>
        <v>NO OFFER</v>
      </c>
      <c r="BA41" s="716" t="str">
        <f t="shared" si="23"/>
        <v>&lt;= 20%</v>
      </c>
      <c r="BB41" s="716">
        <f>IF(AY41="EST",ROUND(BD41/1.18,2),IF(AY41="ADRYS",ROUND(BD41/1.18,2),ROUND(BD41/(1.3224*Form!$D$10),2)))</f>
        <v>0</v>
      </c>
      <c r="BC41" s="784">
        <f>IF(OR(AY41="EST",AY41="ADRYS"),ROUND(BE41/1.18,2),ROUND(BE41/(1.3224*Form!$D$10),2))</f>
        <v>0</v>
      </c>
      <c r="BD41" s="717">
        <f>IF(F41="Indg",0,IF(F41="TEC Del",0,IF(AND(IF(G41="",TRUE,G41&lt;=ROUNDUP(1.2*F41,0)),IF(K41="",TRUE,K41&lt;=ROUNDUP(1.2*F41,0)),IF(O41="",TRUE,O41&lt;=ROUNDUP(1.2*F41,0)),IF(S41="",TRUE,S41&lt;=ROUNDUP(1.2*F41,0)),IF(W41="",TRUE,W41&lt;=ROUNDUP(1.2*F41,0)),IF(AA41="",TRUE,AA41&lt;=ROUNDUP(1.2*F41,0)),IF(AE41="",TRUE,AE41&lt;=ROUNDUP(1.2*F41,0)),IF(AI41="",TRUE,AI41&lt;=ROUNDUP(1.2*F41,0)),IF(AM41="",TRUE,AM41&lt;=ROUNDUP(1.2*F41,0)),IF(AQ41="",TRUE,AQ41&lt;=ROUNDUP(1.2*F41,0)),IF(AU41="",TRUE,AU41&lt;=ROUNDUP(1.2*F41,0))),IF(F41=0,0,(IF(SUM(I41,M41,Q41,U41,Y41,AC41,AG41,AK41,AO41,AS41,AW41)=0,0,SMALL((I41,M41,Q41,U41,Y41,AC41,AG41,AK41,AO41,AS41,AW41),COUNTIF((I41:AW41),0)+1)))),IF(BE41=J41,I41,IF(BE41=N41,M41,IF(BE41=R41,Q41,IF(BE41=V41,U41,IF(BE41=Z41,Y41,IF(BE41=AD41,AC41,IF(BE41=AH41,AG41,IF(BE41=AL41,AK41,IF(BE41=AP41,AO41,IF(BE41=AT41,AS41,IF(BE41=AX41,AW41))))))))))))))</f>
        <v>0</v>
      </c>
      <c r="BE41" s="714">
        <f>IF(F41="Indg",0,IF(F41="TEC Del",0,IF(AND(IF(G41="",TRUE,G41&lt;=ROUNDUP(1.2*F41,0)),IF(K41="",TRUE,K41&lt;=ROUNDUP(1.2*F41,0)),IF(O41="",TRUE,O41&lt;=ROUNDUP(1.2*F41,0)),IF(S41="",TRUE,S41&lt;=ROUNDUP(1.2*F41,0)),IF(W41="",TRUE,W41&lt;=ROUNDUP(1.2*F41,0)),IF(AA41="",TRUE,AA41&lt;=ROUNDUP(1.2*F41,0)),IF(AE41="",TRUE,AE41&lt;=ROUNDUP(1.2*F41,0)),IF(AI41="",TRUE,AI41&lt;=ROUNDUP(1.2*F41,0)),IF(AM41="",TRUE,AM41&lt;=ROUNDUP(1.2*F41,0)),IF(AQ41="",TRUE,AQ41&lt;=ROUNDUP(1.2*F41,0)),IF(AU41="",TRUE,AU41&lt;=ROUNDUP(1.2*F41,0))),ROUND(BD41*IF(BD41=I41,G41,IF(BD41=M41,K41,IF(BD41=Q41,O41,IF(BD41=U41,S41,IF(BD41=Y41,W41,IF(BD41=AC41,AA41,IF(BD41=AG41,AE41,IF(BD41=AK41,AI41,IF(BD41=AO41,AM41,IF(BD41=AS41,AQ41,IF(BD41=AW41,AU41))))))))))),2),(IF(SUM(J41,N41,R41,V41,Z41,AD41,AH41,AL41,AP41,AT41,AX41)=0,0,SMALL((J41,N41,R41,V41,Z41,AD41,AH41,AL41,AP41,AT41,AX41),COUNTIF((J41:AX41),0)+1))))))</f>
        <v>0</v>
      </c>
      <c r="BF41" s="714">
        <f>IF('Annexure-I'!L38="",'Annexure-I'!F38,'Annexure-I'!L38)</f>
        <v>9217.0499999999993</v>
      </c>
      <c r="BG41" s="714" t="str">
        <f>IF('Annexure-I'!M38="",'Annexure-I'!G38,'Annexure-I'!M38)</f>
        <v>CONTRACT-A37</v>
      </c>
      <c r="BH41" s="764">
        <f>IF('Annexure-I'!N38="",'Annexure-I'!H38,'Annexure-I'!N38)</f>
        <v>40967</v>
      </c>
      <c r="BI41" s="717">
        <f>IF('Annexure-I'!P38="",'Annexure-I'!J38,'Annexure-I'!P38)</f>
        <v>16886.38</v>
      </c>
      <c r="BJ41" s="717">
        <f>IF('Annexure-I'!Q38="",'Annexure-I'!K38,'Annexure-I'!Q38)</f>
        <v>1848522.8389353601</v>
      </c>
      <c r="BK41" s="714">
        <f>'Annexure-I'!F38</f>
        <v>9217.0499999999993</v>
      </c>
      <c r="BL41" s="718" t="str">
        <f>'Annexure-I'!G38</f>
        <v>CONTRACT-A37</v>
      </c>
      <c r="BM41" s="764">
        <f>IF('Annexure-I'!H38=0,"",'Annexure-I'!H38)</f>
        <v>40967</v>
      </c>
      <c r="BN41" s="717">
        <f>'Annexure-I'!J38</f>
        <v>16886.38</v>
      </c>
      <c r="BO41" s="717">
        <f>'Annexure-I'!K38</f>
        <v>1848522.8389353601</v>
      </c>
      <c r="BP41" s="714">
        <f>IF(OR(AY41="EST",AY41="ADRYS"),ROUND((BC41*1.18)/(1.3224*Form!$D$10),2),BC41)</f>
        <v>0</v>
      </c>
      <c r="BQ41" s="714">
        <f>ROUND(BS41/(1.3224*Form!$D$10),2)</f>
        <v>0</v>
      </c>
      <c r="BR41" s="714">
        <f t="shared" si="24"/>
        <v>0</v>
      </c>
      <c r="BS41" s="714">
        <f t="shared" si="25"/>
        <v>0</v>
      </c>
      <c r="BT41" s="719">
        <f t="shared" si="26"/>
        <v>0</v>
      </c>
      <c r="BU41" s="714"/>
      <c r="BV41" s="714">
        <f t="shared" si="8"/>
        <v>0</v>
      </c>
      <c r="BW41" s="714">
        <f>IF(OR(AY41="EST",AY41="ADRYS"),ROUND(1.18*BU41,2),ROUND(BU41*1.3224*Form!$D$10,2))</f>
        <v>0</v>
      </c>
      <c r="BX41" s="714">
        <f t="shared" si="9"/>
        <v>0</v>
      </c>
      <c r="BY41" s="719">
        <f t="shared" ref="BY41:BY46" si="27">IF((BX41)=0,0,(BX41-BS41)/BS41)</f>
        <v>0</v>
      </c>
      <c r="BZ41" s="714">
        <f t="shared" si="11"/>
        <v>9242614.1899999995</v>
      </c>
      <c r="CA41" s="720"/>
      <c r="CB41" s="720"/>
      <c r="CC41" s="4"/>
      <c r="CD41" s="4"/>
      <c r="CE41" s="4"/>
      <c r="CF41" s="4"/>
      <c r="CG41" s="4"/>
      <c r="CH41" s="4"/>
      <c r="CI41" s="721"/>
    </row>
    <row r="42" spans="1:89" s="579" customFormat="1" ht="45" x14ac:dyDescent="0.25">
      <c r="A42" s="712">
        <f>SUBTOTAL(2,$B$5:B42)</f>
        <v>38</v>
      </c>
      <c r="B42" s="754">
        <v>38</v>
      </c>
      <c r="C42" s="756" t="s">
        <v>706</v>
      </c>
      <c r="D42" s="755" t="s">
        <v>129</v>
      </c>
      <c r="E42" s="754">
        <v>12</v>
      </c>
      <c r="F42" s="658">
        <f>'Annexure-I'!E39</f>
        <v>12</v>
      </c>
      <c r="G42" s="784" t="str">
        <f>IF('CST-Calculation'!G42=0,"",'CST-Calculation'!G42)</f>
        <v/>
      </c>
      <c r="H42" s="784" t="str">
        <f>IF('CST-Calculation'!H42=0,"",'CST-Calculation'!H42)</f>
        <v/>
      </c>
      <c r="I42" s="714" t="str">
        <f>IF(G42="","",IF(H42="TEC Rejected","",IF(H42="","",ROUND(1.3224*Form!$D$10*H42,2))))</f>
        <v/>
      </c>
      <c r="J42" s="714" t="str">
        <f t="shared" si="0"/>
        <v/>
      </c>
      <c r="K42" s="713" t="str">
        <f>IF(L42="","",IF('CST-Calculation'!$F42="Indg","",IF('CST-Calculation'!$F42="TEC Del","",IF('CST-Calculation'!K42&gt;0,'CST-Calculation'!K42,IF('CST-Calculation'!$F42=0,"",'CST-Calculation'!$F42)))))</f>
        <v/>
      </c>
      <c r="L42" s="714" t="str">
        <f>IF('CST-Calculation'!L42=0,"",'CST-Calculation'!L42)</f>
        <v/>
      </c>
      <c r="M42" s="714" t="str">
        <f>IF(K42="","",IF(L42="TEC Rejected","",IF(L42="","",ROUND(1.3224*Form!$D$10*L42,2))))</f>
        <v/>
      </c>
      <c r="N42" s="714" t="str">
        <f t="shared" si="1"/>
        <v/>
      </c>
      <c r="O42" s="89">
        <f>IF(P42="","",IF('CST-Calculation'!$F42="Indg","",IF('CST-Calculation'!$F42="TEC Del","",IF('CST-Calculation'!O42&gt;0,'CST-Calculation'!O42,IF('CST-Calculation'!$F42=0,"",'CST-Calculation'!$F42)))))</f>
        <v>12</v>
      </c>
      <c r="P42" s="714">
        <f>IF('CST-Calculation'!P42=0,"",'CST-Calculation'!P42)</f>
        <v>500</v>
      </c>
      <c r="Q42" s="714">
        <f>IF(O42="","",IF(P42="TEC Rejected","",IF(P42="","",ROUND(1.3224*Form!$D$10*P42,2))))</f>
        <v>54734.14</v>
      </c>
      <c r="R42" s="714">
        <f t="shared" si="2"/>
        <v>656809.68000000005</v>
      </c>
      <c r="S42" s="89">
        <f>IF(T42="","",IF('CST-Calculation'!$F42="Indg","",IF('CST-Calculation'!$F42="TEC Del","",IF('CST-Calculation'!S42&gt;0,'CST-Calculation'!S42,IF('CST-Calculation'!$F42=0,"",'CST-Calculation'!$F42)))))</f>
        <v>12</v>
      </c>
      <c r="T42" s="714">
        <f>IF('CST-Calculation'!T42=0,"",'CST-Calculation'!T42)</f>
        <v>325</v>
      </c>
      <c r="U42" s="714">
        <f>IF(S42="","",IF(T42="TEC Rejected","",IF(T42="","",ROUND(1.3224*Form!$D$10*T42,2))))</f>
        <v>35577.19</v>
      </c>
      <c r="V42" s="714">
        <f t="shared" si="3"/>
        <v>426926.28</v>
      </c>
      <c r="W42" s="713" t="str">
        <f>IF(X42="","",IF('CST-Calculation'!$F42="Indg","",IF('CST-Calculation'!$F42="TEC Del","",IF('CST-Calculation'!W42&gt;0,'CST-Calculation'!W42,IF('CST-Calculation'!$F42=0,"",'CST-Calculation'!$F42)))))</f>
        <v/>
      </c>
      <c r="X42" s="714" t="str">
        <f>IF('CST-Calculation'!X42=0,"",'CST-Calculation'!X42)</f>
        <v/>
      </c>
      <c r="Y42" s="714" t="str">
        <f>IF(W42="","",IF(X42="TEC Rejected","",IF(X42="","",ROUND(1.3224*Form!$D$10*X42,2))))</f>
        <v/>
      </c>
      <c r="Z42" s="714" t="str">
        <f t="shared" si="12"/>
        <v/>
      </c>
      <c r="AA42" s="713">
        <f>IF(AB42="","",IF('CST-Calculation'!$F42="Indg","",IF('CST-Calculation'!$F42="TEC Del","",IF('CST-Calculation'!AA42&gt;0,'CST-Calculation'!AA42,IF('CST-Calculation'!$F42=0,"",'CST-Calculation'!$F42)))))</f>
        <v>12</v>
      </c>
      <c r="AB42" s="714">
        <f>IF('CST-Calculation'!AB42=0,"",'CST-Calculation'!AB42)</f>
        <v>9765</v>
      </c>
      <c r="AC42" s="714">
        <f t="shared" si="13"/>
        <v>11522.7</v>
      </c>
      <c r="AD42" s="714">
        <f t="shared" si="14"/>
        <v>138272.4</v>
      </c>
      <c r="AE42" s="713" t="str">
        <f>IF(AF42="","",IF('CST-Calculation'!$F42="Indg","",IF('CST-Calculation'!$F42="TEC Del","",IF('CST-Calculation'!AE42&gt;0,'CST-Calculation'!AE42,IF('CST-Calculation'!$F42=0,"",'CST-Calculation'!$F42)))))</f>
        <v/>
      </c>
      <c r="AF42" s="714" t="str">
        <f>IF('CST-Calculation'!AF42=0,"",'CST-Calculation'!AF42)</f>
        <v/>
      </c>
      <c r="AG42" s="714" t="str">
        <f>IF(AE42="","",IF(AF42="TEC Rejected","",IF(AF42="","",ROUND(1.3224*Form!$D$10*AF42,2))))</f>
        <v/>
      </c>
      <c r="AH42" s="714" t="str">
        <f t="shared" si="15"/>
        <v/>
      </c>
      <c r="AI42" s="713" t="str">
        <f>IF(AJ42="","",IF('CST-Calculation'!$F42="Indg","",IF('CST-Calculation'!$F42="TEC Del","",IF('CST-Calculation'!AI42&gt;0,'CST-Calculation'!AI42,IF('CST-Calculation'!$F42=0,"",'CST-Calculation'!$F42)))))</f>
        <v/>
      </c>
      <c r="AJ42" s="714" t="str">
        <f>IF('CST-Calculation'!AJ42=0,"",'CST-Calculation'!AJ42)</f>
        <v/>
      </c>
      <c r="AK42" s="714" t="str">
        <f t="shared" si="16"/>
        <v/>
      </c>
      <c r="AL42" s="714" t="str">
        <f t="shared" si="17"/>
        <v/>
      </c>
      <c r="AM42" s="713" t="str">
        <f>IF(AN42="","",IF('CST-Calculation'!$F42="Indg","",IF('CST-Calculation'!$F42="TEC Del","",IF('CST-Calculation'!AM42&gt;0,'CST-Calculation'!AM42,IF('CST-Calculation'!$F42=0,"",'CST-Calculation'!$F42)))))</f>
        <v/>
      </c>
      <c r="AN42" s="714" t="str">
        <f>IF('CST-Calculation'!AN42=0,"",'CST-Calculation'!AN42)</f>
        <v/>
      </c>
      <c r="AO42" s="714" t="str">
        <f>IF(AM42="","",IF(AN42="TEC Rejected","",IF(AN42="","",ROUND(1.3224*Form!$D$10*AN42,2))))</f>
        <v/>
      </c>
      <c r="AP42" s="714" t="str">
        <f t="shared" si="18"/>
        <v/>
      </c>
      <c r="AQ42" s="713" t="str">
        <f>IF(AR42="","",IF('CST-Calculation'!$F42="Indg","",IF('CST-Calculation'!$F42="TEC Del","",IF('CST-Calculation'!AQ42&gt;0,'CST-Calculation'!AQ42,IF('CST-Calculation'!$F42=0,"",'CST-Calculation'!$F42)))))</f>
        <v/>
      </c>
      <c r="AR42" s="714" t="str">
        <f>IF('CST-Calculation'!AR42=0,"",'CST-Calculation'!AR42)</f>
        <v/>
      </c>
      <c r="AS42" s="714" t="str">
        <f>IF(AQ42="","",IF(AR42="TEC Rejected","",IF(AR42="","",ROUND(1.3224*Form!$D$10*AR42,2))))</f>
        <v/>
      </c>
      <c r="AT42" s="714" t="str">
        <f t="shared" si="19"/>
        <v/>
      </c>
      <c r="AU42" s="713" t="str">
        <f>IF(AV42="","",IF('CST-Calculation'!$F42="Indg","",IF('CST-Calculation'!$F42="TEC Del","",IF('CST-Calculation'!AU42&gt;0,'CST-Calculation'!AU42,IF('CST-Calculation'!$F42=0,"",'CST-Calculation'!$F42)))))</f>
        <v/>
      </c>
      <c r="AV42" s="714" t="str">
        <f>IF('CST-Calculation'!AV42=0,"",'CST-Calculation'!AV42)</f>
        <v/>
      </c>
      <c r="AW42" s="714" t="str">
        <f>IF(AU42="","",IF(AV42="TEC Rejected","",IF(AV42="","",ROUND(1.3224*Form!$D$10*AV42,2))))</f>
        <v/>
      </c>
      <c r="AX42" s="714" t="str">
        <f t="shared" si="20"/>
        <v/>
      </c>
      <c r="AY42" s="715" t="str">
        <f t="shared" si="21"/>
        <v>ADRYS</v>
      </c>
      <c r="AZ42" s="716" t="str">
        <f t="shared" si="22"/>
        <v>MULTIPLE</v>
      </c>
      <c r="BA42" s="716" t="str">
        <f t="shared" si="23"/>
        <v>&lt;= 20%</v>
      </c>
      <c r="BB42" s="716">
        <f>IF(AY42="EST",ROUND(BD42/1.18,2),IF(AY42="ADRYS",ROUND(BD42/1.18,2),ROUND(BD42/(1.3224*Form!$D$10),2)))</f>
        <v>9765</v>
      </c>
      <c r="BC42" s="784">
        <f>IF(OR(AY42="EST",AY42="ADRYS"),ROUND(BE42/1.18,2),ROUND(BE42/(1.3224*Form!$D$10),2))</f>
        <v>117180</v>
      </c>
      <c r="BD42" s="717">
        <f>IF(F42="Indg",0,IF(F42="TEC Del",0,IF(AND(IF(G42="",TRUE,G42&lt;=ROUNDUP(1.2*F42,0)),IF(K42="",TRUE,K42&lt;=ROUNDUP(1.2*F42,0)),IF(O42="",TRUE,O42&lt;=ROUNDUP(1.2*F42,0)),IF(S42="",TRUE,S42&lt;=ROUNDUP(1.2*F42,0)),IF(W42="",TRUE,W42&lt;=ROUNDUP(1.2*F42,0)),IF(AA42="",TRUE,AA42&lt;=ROUNDUP(1.2*F42,0)),IF(AE42="",TRUE,AE42&lt;=ROUNDUP(1.2*F42,0)),IF(AI42="",TRUE,AI42&lt;=ROUNDUP(1.2*F42,0)),IF(AM42="",TRUE,AM42&lt;=ROUNDUP(1.2*F42,0)),IF(AQ42="",TRUE,AQ42&lt;=ROUNDUP(1.2*F42,0)),IF(AU42="",TRUE,AU42&lt;=ROUNDUP(1.2*F42,0))),IF(F42=0,0,(IF(SUM(I42,M42,Q42,U42,Y42,AC42,AG42,AK42,AO42,AS42,AW42)=0,0,SMALL((I42,M42,Q42,U42,Y42,AC42,AG42,AK42,AO42,AS42,AW42),COUNTIF((I42:AW42),0)+1)))),IF(BE42=J42,I42,IF(BE42=N42,M42,IF(BE42=R42,Q42,IF(BE42=V42,U42,IF(BE42=Z42,Y42,IF(BE42=AD42,AC42,IF(BE42=AH42,AG42,IF(BE42=AL42,AK42,IF(BE42=AP42,AO42,IF(BE42=AT42,AS42,IF(BE42=AX42,AW42))))))))))))))</f>
        <v>11522.7</v>
      </c>
      <c r="BE42" s="714">
        <f>IF(F42="Indg",0,IF(F42="TEC Del",0,IF(AND(IF(G42="",TRUE,G42&lt;=ROUNDUP(1.2*F42,0)),IF(K42="",TRUE,K42&lt;=ROUNDUP(1.2*F42,0)),IF(O42="",TRUE,O42&lt;=ROUNDUP(1.2*F42,0)),IF(S42="",TRUE,S42&lt;=ROUNDUP(1.2*F42,0)),IF(W42="",TRUE,W42&lt;=ROUNDUP(1.2*F42,0)),IF(AA42="",TRUE,AA42&lt;=ROUNDUP(1.2*F42,0)),IF(AE42="",TRUE,AE42&lt;=ROUNDUP(1.2*F42,0)),IF(AI42="",TRUE,AI42&lt;=ROUNDUP(1.2*F42,0)),IF(AM42="",TRUE,AM42&lt;=ROUNDUP(1.2*F42,0)),IF(AQ42="",TRUE,AQ42&lt;=ROUNDUP(1.2*F42,0)),IF(AU42="",TRUE,AU42&lt;=ROUNDUP(1.2*F42,0))),ROUND(BD42*IF(BD42=I42,G42,IF(BD42=M42,K42,IF(BD42=Q42,O42,IF(BD42=U42,S42,IF(BD42=Y42,W42,IF(BD42=AC42,AA42,IF(BD42=AG42,AE42,IF(BD42=AK42,AI42,IF(BD42=AO42,AM42,IF(BD42=AS42,AQ42,IF(BD42=AW42,AU42))))))))))),2),(IF(SUM(J42,N42,R42,V42,Z42,AD42,AH42,AL42,AP42,AT42,AX42)=0,0,SMALL((J42,N42,R42,V42,Z42,AD42,AH42,AL42,AP42,AT42,AX42),COUNTIF((J42:AX42),0)+1))))))</f>
        <v>138272.4</v>
      </c>
      <c r="BF42" s="714">
        <f>IF('Annexure-I'!L39="",'Annexure-I'!F39,'Annexure-I'!L39)</f>
        <v>1891.45</v>
      </c>
      <c r="BG42" s="714" t="str">
        <f>IF('Annexure-I'!M39="",'Annexure-I'!G39,'Annexure-I'!M39)</f>
        <v>CONTRACT-A38</v>
      </c>
      <c r="BH42" s="764">
        <f>IF('Annexure-I'!N39="",'Annexure-I'!H39,'Annexure-I'!N39)</f>
        <v>40967</v>
      </c>
      <c r="BI42" s="717">
        <f>IF('Annexure-I'!P39="",'Annexure-I'!J39,'Annexure-I'!P39)</f>
        <v>3465.29</v>
      </c>
      <c r="BJ42" s="717">
        <f>IF('Annexure-I'!Q39="",'Annexure-I'!K39,'Annexure-I'!Q39)</f>
        <v>379339.30827888002</v>
      </c>
      <c r="BK42" s="714">
        <f>'Annexure-I'!F39</f>
        <v>1891.45</v>
      </c>
      <c r="BL42" s="718" t="str">
        <f>'Annexure-I'!G39</f>
        <v>CONTRACT-A38</v>
      </c>
      <c r="BM42" s="764">
        <f>IF('Annexure-I'!H39=0,"",'Annexure-I'!H39)</f>
        <v>40967</v>
      </c>
      <c r="BN42" s="717">
        <f>'Annexure-I'!J39</f>
        <v>3465.29</v>
      </c>
      <c r="BO42" s="717">
        <f>'Annexure-I'!K39</f>
        <v>379339.30827888002</v>
      </c>
      <c r="BP42" s="714">
        <f>IF(OR(AY42="EST",AY42="ADRYS"),ROUND((BC42*1.18)/(1.3224*Form!$D$10),2),BC42)</f>
        <v>1263.1300000000001</v>
      </c>
      <c r="BQ42" s="714">
        <f>ROUND(BS42/(1.3224*Form!$D$10),2)</f>
        <v>41583.480000000003</v>
      </c>
      <c r="BR42" s="714">
        <f t="shared" si="24"/>
        <v>138272.4</v>
      </c>
      <c r="BS42" s="714">
        <f t="shared" si="25"/>
        <v>4552071.7</v>
      </c>
      <c r="BT42" s="719">
        <f t="shared" si="26"/>
        <v>-0.96962429216569668</v>
      </c>
      <c r="BU42" s="714"/>
      <c r="BV42" s="714">
        <f t="shared" si="8"/>
        <v>0</v>
      </c>
      <c r="BW42" s="714">
        <f>IF(OR(AY42="EST",AY42="ADRYS"),ROUND(1.18*BU42,2),ROUND(BU42*1.3224*Form!$D$10,2))</f>
        <v>0</v>
      </c>
      <c r="BX42" s="714">
        <f t="shared" si="9"/>
        <v>0</v>
      </c>
      <c r="BY42" s="719">
        <f t="shared" si="27"/>
        <v>0</v>
      </c>
      <c r="BZ42" s="714">
        <f t="shared" si="11"/>
        <v>4552071.7</v>
      </c>
      <c r="CA42" s="720"/>
      <c r="CB42" s="720"/>
      <c r="CC42" s="4"/>
      <c r="CD42" s="4"/>
      <c r="CE42" s="4"/>
      <c r="CF42" s="4"/>
      <c r="CG42" s="4"/>
      <c r="CH42" s="4"/>
      <c r="CI42" s="721"/>
    </row>
    <row r="43" spans="1:89" s="579" customFormat="1" ht="45" x14ac:dyDescent="0.25">
      <c r="A43" s="712">
        <f>SUBTOTAL(2,$B$5:B43)</f>
        <v>39</v>
      </c>
      <c r="B43" s="754">
        <v>39</v>
      </c>
      <c r="C43" s="755" t="s">
        <v>707</v>
      </c>
      <c r="D43" s="755" t="s">
        <v>601</v>
      </c>
      <c r="E43" s="754">
        <v>4</v>
      </c>
      <c r="F43" s="658">
        <f>'Annexure-I'!E40</f>
        <v>4</v>
      </c>
      <c r="G43" s="784" t="str">
        <f>IF('CST-Calculation'!G43=0,"",'CST-Calculation'!G43)</f>
        <v/>
      </c>
      <c r="H43" s="784" t="str">
        <f>IF('CST-Calculation'!H43=0,"",'CST-Calculation'!H43)</f>
        <v/>
      </c>
      <c r="I43" s="714" t="str">
        <f>IF(G43="","",IF(H43="TEC Rejected","",IF(H43="","",ROUND(1.3224*Form!$D$10*H43,2))))</f>
        <v/>
      </c>
      <c r="J43" s="714" t="str">
        <f t="shared" si="0"/>
        <v/>
      </c>
      <c r="K43" s="713" t="str">
        <f>IF(L43="","",IF('CST-Calculation'!$F43="Indg","",IF('CST-Calculation'!$F43="TEC Del","",IF('CST-Calculation'!K43&gt;0,'CST-Calculation'!K43,IF('CST-Calculation'!$F43=0,"",'CST-Calculation'!$F43)))))</f>
        <v/>
      </c>
      <c r="L43" s="714" t="str">
        <f>IF('CST-Calculation'!L43=0,"",'CST-Calculation'!L43)</f>
        <v/>
      </c>
      <c r="M43" s="714" t="str">
        <f>IF(K43="","",IF(L43="TEC Rejected","",IF(L43="","",ROUND(1.3224*Form!$D$10*L43,2))))</f>
        <v/>
      </c>
      <c r="N43" s="714" t="str">
        <f t="shared" si="1"/>
        <v/>
      </c>
      <c r="O43" s="89">
        <f>IF(P43="","",IF('CST-Calculation'!$F43="Indg","",IF('CST-Calculation'!$F43="TEC Del","",IF('CST-Calculation'!O43&gt;0,'CST-Calculation'!O43,IF('CST-Calculation'!$F43=0,"",'CST-Calculation'!$F43)))))</f>
        <v>4</v>
      </c>
      <c r="P43" s="714">
        <f>IF('CST-Calculation'!P43=0,"",'CST-Calculation'!P43)</f>
        <v>93300</v>
      </c>
      <c r="Q43" s="714">
        <f>IF(O43="","",IF(P43="TEC Rejected","",IF(P43="","",ROUND(1.3224*Form!$D$10*P43,2))))</f>
        <v>10213389.779999999</v>
      </c>
      <c r="R43" s="714">
        <f t="shared" si="2"/>
        <v>40853559.119999997</v>
      </c>
      <c r="S43" s="89">
        <f>IF(T43="","",IF('CST-Calculation'!$F43="Indg","",IF('CST-Calculation'!$F43="TEC Del","",IF('CST-Calculation'!S43&gt;0,'CST-Calculation'!S43,IF('CST-Calculation'!$F43=0,"",'CST-Calculation'!$F43)))))</f>
        <v>4</v>
      </c>
      <c r="T43" s="714">
        <f>IF('CST-Calculation'!T43=0,"",'CST-Calculation'!T43)</f>
        <v>168000</v>
      </c>
      <c r="U43" s="714">
        <f>IF(S43="","",IF(T43="TEC Rejected","",IF(T43="","",ROUND(1.3224*Form!$D$10*T43,2))))</f>
        <v>18390669.699999999</v>
      </c>
      <c r="V43" s="714">
        <f t="shared" si="3"/>
        <v>73562678.799999997</v>
      </c>
      <c r="W43" s="713" t="str">
        <f>IF(X43="","",IF('CST-Calculation'!$F43="Indg","",IF('CST-Calculation'!$F43="TEC Del","",IF('CST-Calculation'!W43&gt;0,'CST-Calculation'!W43,IF('CST-Calculation'!$F43=0,"",'CST-Calculation'!$F43)))))</f>
        <v/>
      </c>
      <c r="X43" s="714" t="str">
        <f>IF('CST-Calculation'!X43=0,"",'CST-Calculation'!X43)</f>
        <v/>
      </c>
      <c r="Y43" s="714" t="str">
        <f>IF(W43="","",IF(X43="TEC Rejected","",IF(X43="","",ROUND(1.3224*Form!$D$10*X43,2))))</f>
        <v/>
      </c>
      <c r="Z43" s="714" t="str">
        <f t="shared" si="12"/>
        <v/>
      </c>
      <c r="AA43" s="713" t="str">
        <f>IF(AB43="","",IF('CST-Calculation'!$F43="Indg","",IF('CST-Calculation'!$F43="TEC Del","",IF('CST-Calculation'!AA43&gt;0,'CST-Calculation'!AA43,IF('CST-Calculation'!$F43=0,"",'CST-Calculation'!$F43)))))</f>
        <v/>
      </c>
      <c r="AB43" s="714" t="str">
        <f>IF('CST-Calculation'!AB43=0,"",'CST-Calculation'!AB43)</f>
        <v/>
      </c>
      <c r="AC43" s="714" t="str">
        <f t="shared" si="13"/>
        <v/>
      </c>
      <c r="AD43" s="714" t="str">
        <f t="shared" si="14"/>
        <v/>
      </c>
      <c r="AE43" s="713" t="str">
        <f>IF(AF43="","",IF('CST-Calculation'!$F43="Indg","",IF('CST-Calculation'!$F43="TEC Del","",IF('CST-Calculation'!AE43&gt;0,'CST-Calculation'!AE43,IF('CST-Calculation'!$F43=0,"",'CST-Calculation'!$F43)))))</f>
        <v/>
      </c>
      <c r="AF43" s="714" t="str">
        <f>IF('CST-Calculation'!AF43=0,"",'CST-Calculation'!AF43)</f>
        <v/>
      </c>
      <c r="AG43" s="714" t="str">
        <f>IF(AE43="","",IF(AF43="TEC Rejected","",IF(AF43="","",ROUND(1.3224*Form!$D$10*AF43,2))))</f>
        <v/>
      </c>
      <c r="AH43" s="714" t="str">
        <f t="shared" si="15"/>
        <v/>
      </c>
      <c r="AI43" s="713" t="str">
        <f>IF(AJ43="","",IF('CST-Calculation'!$F43="Indg","",IF('CST-Calculation'!$F43="TEC Del","",IF('CST-Calculation'!AI43&gt;0,'CST-Calculation'!AI43,IF('CST-Calculation'!$F43=0,"",'CST-Calculation'!$F43)))))</f>
        <v/>
      </c>
      <c r="AJ43" s="714" t="str">
        <f>IF('CST-Calculation'!AJ43=0,"",'CST-Calculation'!AJ43)</f>
        <v/>
      </c>
      <c r="AK43" s="714" t="str">
        <f t="shared" si="16"/>
        <v/>
      </c>
      <c r="AL43" s="714" t="str">
        <f t="shared" si="17"/>
        <v/>
      </c>
      <c r="AM43" s="713" t="str">
        <f>IF(AN43="","",IF('CST-Calculation'!$F43="Indg","",IF('CST-Calculation'!$F43="TEC Del","",IF('CST-Calculation'!AM43&gt;0,'CST-Calculation'!AM43,IF('CST-Calculation'!$F43=0,"",'CST-Calculation'!$F43)))))</f>
        <v/>
      </c>
      <c r="AN43" s="714" t="str">
        <f>IF('CST-Calculation'!AN43=0,"",'CST-Calculation'!AN43)</f>
        <v/>
      </c>
      <c r="AO43" s="714" t="str">
        <f>IF(AM43="","",IF(AN43="TEC Rejected","",IF(AN43="","",ROUND(1.3224*Form!$D$10*AN43,2))))</f>
        <v/>
      </c>
      <c r="AP43" s="714" t="str">
        <f t="shared" si="18"/>
        <v/>
      </c>
      <c r="AQ43" s="713" t="str">
        <f>IF(AR43="","",IF('CST-Calculation'!$F43="Indg","",IF('CST-Calculation'!$F43="TEC Del","",IF('CST-Calculation'!AQ43&gt;0,'CST-Calculation'!AQ43,IF('CST-Calculation'!$F43=0,"",'CST-Calculation'!$F43)))))</f>
        <v/>
      </c>
      <c r="AR43" s="714" t="str">
        <f>IF('CST-Calculation'!AR43=0,"",'CST-Calculation'!AR43)</f>
        <v/>
      </c>
      <c r="AS43" s="714" t="str">
        <f>IF(AQ43="","",IF(AR43="TEC Rejected","",IF(AR43="","",ROUND(1.3224*Form!$D$10*AR43,2))))</f>
        <v/>
      </c>
      <c r="AT43" s="714" t="str">
        <f t="shared" si="19"/>
        <v/>
      </c>
      <c r="AU43" s="713" t="str">
        <f>IF(AV43="","",IF('CST-Calculation'!$F43="Indg","",IF('CST-Calculation'!$F43="TEC Del","",IF('CST-Calculation'!AU43&gt;0,'CST-Calculation'!AU43,IF('CST-Calculation'!$F43=0,"",'CST-Calculation'!$F43)))))</f>
        <v/>
      </c>
      <c r="AV43" s="714" t="str">
        <f>IF('CST-Calculation'!AV43=0,"",'CST-Calculation'!AV43)</f>
        <v/>
      </c>
      <c r="AW43" s="714" t="str">
        <f>IF(AU43="","",IF(AV43="TEC Rejected","",IF(AV43="","",ROUND(1.3224*Form!$D$10*AV43,2))))</f>
        <v/>
      </c>
      <c r="AX43" s="714" t="str">
        <f t="shared" si="20"/>
        <v/>
      </c>
      <c r="AY43" s="715" t="str">
        <f t="shared" si="21"/>
        <v>GIS</v>
      </c>
      <c r="AZ43" s="716" t="str">
        <f t="shared" si="22"/>
        <v>MULTIPLE</v>
      </c>
      <c r="BA43" s="716" t="str">
        <f t="shared" si="23"/>
        <v>&lt;= 20%</v>
      </c>
      <c r="BB43" s="716">
        <f>IF(AY43="EST",ROUND(BD43/1.18,2),IF(AY43="ADRYS",ROUND(BD43/1.18,2),ROUND(BD43/(1.3224*Form!$D$10),2)))</f>
        <v>93300</v>
      </c>
      <c r="BC43" s="784">
        <f>IF(OR(AY43="EST",AY43="ADRYS"),ROUND(BE43/1.18,2),ROUND(BE43/(1.3224*Form!$D$10),2))</f>
        <v>373200</v>
      </c>
      <c r="BD43" s="717">
        <f>IF(F43="Indg",0,IF(F43="TEC Del",0,IF(AND(IF(G43="",TRUE,G43&lt;=ROUNDUP(1.2*F43,0)),IF(K43="",TRUE,K43&lt;=ROUNDUP(1.2*F43,0)),IF(O43="",TRUE,O43&lt;=ROUNDUP(1.2*F43,0)),IF(S43="",TRUE,S43&lt;=ROUNDUP(1.2*F43,0)),IF(W43="",TRUE,W43&lt;=ROUNDUP(1.2*F43,0)),IF(AA43="",TRUE,AA43&lt;=ROUNDUP(1.2*F43,0)),IF(AE43="",TRUE,AE43&lt;=ROUNDUP(1.2*F43,0)),IF(AI43="",TRUE,AI43&lt;=ROUNDUP(1.2*F43,0)),IF(AM43="",TRUE,AM43&lt;=ROUNDUP(1.2*F43,0)),IF(AQ43="",TRUE,AQ43&lt;=ROUNDUP(1.2*F43,0)),IF(AU43="",TRUE,AU43&lt;=ROUNDUP(1.2*F43,0))),IF(F43=0,0,(IF(SUM(I43,M43,Q43,U43,Y43,AC43,AG43,AK43,AO43,AS43,AW43)=0,0,SMALL((I43,M43,Q43,U43,Y43,AC43,AG43,AK43,AO43,AS43,AW43),COUNTIF((I43:AW43),0)+1)))),IF(BE43=J43,I43,IF(BE43=N43,M43,IF(BE43=R43,Q43,IF(BE43=V43,U43,IF(BE43=Z43,Y43,IF(BE43=AD43,AC43,IF(BE43=AH43,AG43,IF(BE43=AL43,AK43,IF(BE43=AP43,AO43,IF(BE43=AT43,AS43,IF(BE43=AX43,AW43))))))))))))))</f>
        <v>10213389.779999999</v>
      </c>
      <c r="BE43" s="714">
        <f>IF(F43="Indg",0,IF(F43="TEC Del",0,IF(AND(IF(G43="",TRUE,G43&lt;=ROUNDUP(1.2*F43,0)),IF(K43="",TRUE,K43&lt;=ROUNDUP(1.2*F43,0)),IF(O43="",TRUE,O43&lt;=ROUNDUP(1.2*F43,0)),IF(S43="",TRUE,S43&lt;=ROUNDUP(1.2*F43,0)),IF(W43="",TRUE,W43&lt;=ROUNDUP(1.2*F43,0)),IF(AA43="",TRUE,AA43&lt;=ROUNDUP(1.2*F43,0)),IF(AE43="",TRUE,AE43&lt;=ROUNDUP(1.2*F43,0)),IF(AI43="",TRUE,AI43&lt;=ROUNDUP(1.2*F43,0)),IF(AM43="",TRUE,AM43&lt;=ROUNDUP(1.2*F43,0)),IF(AQ43="",TRUE,AQ43&lt;=ROUNDUP(1.2*F43,0)),IF(AU43="",TRUE,AU43&lt;=ROUNDUP(1.2*F43,0))),ROUND(BD43*IF(BD43=I43,G43,IF(BD43=M43,K43,IF(BD43=Q43,O43,IF(BD43=U43,S43,IF(BD43=Y43,W43,IF(BD43=AC43,AA43,IF(BD43=AG43,AE43,IF(BD43=AK43,AI43,IF(BD43=AO43,AM43,IF(BD43=AS43,AQ43,IF(BD43=AW43,AU43))))))))))),2),(IF(SUM(J43,N43,R43,V43,Z43,AD43,AH43,AL43,AP43,AT43,AX43)=0,0,SMALL((J43,N43,R43,V43,Z43,AD43,AH43,AL43,AP43,AT43,AX43),COUNTIF((J43:AX43),0)+1))))))</f>
        <v>40853559.119999997</v>
      </c>
      <c r="BF43" s="714">
        <f>IF('Annexure-I'!L40="",'Annexure-I'!F40,'Annexure-I'!L40)</f>
        <v>96734.05</v>
      </c>
      <c r="BG43" s="714" t="str">
        <f>IF('Annexure-I'!M40="",'Annexure-I'!G40,'Annexure-I'!M40)</f>
        <v>CONTRACT-A39</v>
      </c>
      <c r="BH43" s="764">
        <f>IF('Annexure-I'!N40="",'Annexure-I'!H40,'Annexure-I'!N40)</f>
        <v>41789</v>
      </c>
      <c r="BI43" s="717">
        <f>IF('Annexure-I'!P40="",'Annexure-I'!J40,'Annexure-I'!P40)</f>
        <v>159228.04</v>
      </c>
      <c r="BJ43" s="717">
        <f>IF('Annexure-I'!Q40="",'Annexure-I'!K40,'Annexure-I'!Q40)</f>
        <v>17430418.392746881</v>
      </c>
      <c r="BK43" s="714">
        <f>'Annexure-I'!F40</f>
        <v>96734.05</v>
      </c>
      <c r="BL43" s="718" t="str">
        <f>'Annexure-I'!G40</f>
        <v>CONTRACT-A39</v>
      </c>
      <c r="BM43" s="764">
        <f>IF('Annexure-I'!H40=0,"",'Annexure-I'!H40)</f>
        <v>41789</v>
      </c>
      <c r="BN43" s="717">
        <f>'Annexure-I'!J40</f>
        <v>159228.04</v>
      </c>
      <c r="BO43" s="717">
        <f>'Annexure-I'!K40</f>
        <v>17430418.392746881</v>
      </c>
      <c r="BP43" s="714">
        <f>IF(OR(AY43="EST",AY43="ADRYS"),ROUND((BC43*1.18)/(1.3224*Form!$D$10),2),BC43)</f>
        <v>373200</v>
      </c>
      <c r="BQ43" s="714">
        <f>ROUND(BS43/(1.3224*Form!$D$10),2)</f>
        <v>636912.16</v>
      </c>
      <c r="BR43" s="714">
        <f t="shared" si="24"/>
        <v>40853559.119999997</v>
      </c>
      <c r="BS43" s="714">
        <f t="shared" si="25"/>
        <v>69721673.569999993</v>
      </c>
      <c r="BT43" s="719">
        <f t="shared" si="26"/>
        <v>-0.41404792759337083</v>
      </c>
      <c r="BU43" s="714"/>
      <c r="BV43" s="714">
        <f t="shared" si="8"/>
        <v>0</v>
      </c>
      <c r="BW43" s="714">
        <f>IF(OR(AY43="EST",AY43="ADRYS"),ROUND(1.18*BU43,2),ROUND(BU43*1.3224*Form!$D$10,2))</f>
        <v>0</v>
      </c>
      <c r="BX43" s="714">
        <f t="shared" si="9"/>
        <v>0</v>
      </c>
      <c r="BY43" s="719">
        <f t="shared" si="27"/>
        <v>0</v>
      </c>
      <c r="BZ43" s="714">
        <f t="shared" si="11"/>
        <v>69721673.569999993</v>
      </c>
      <c r="CA43" s="720"/>
      <c r="CB43" s="720"/>
      <c r="CC43" s="4"/>
      <c r="CD43" s="4"/>
      <c r="CE43" s="4"/>
      <c r="CF43" s="4"/>
      <c r="CG43" s="4"/>
      <c r="CH43" s="4"/>
      <c r="CI43" s="721"/>
      <c r="CJ43" s="645"/>
      <c r="CK43" s="592"/>
    </row>
    <row r="44" spans="1:89" s="579" customFormat="1" ht="45" x14ac:dyDescent="0.25">
      <c r="A44" s="712">
        <f>SUBTOTAL(2,$B$5:B44)</f>
        <v>40</v>
      </c>
      <c r="B44" s="754">
        <v>40</v>
      </c>
      <c r="C44" s="756" t="s">
        <v>708</v>
      </c>
      <c r="D44" s="755" t="s">
        <v>602</v>
      </c>
      <c r="E44" s="754">
        <v>5</v>
      </c>
      <c r="F44" s="658">
        <f>'Annexure-I'!E41</f>
        <v>5</v>
      </c>
      <c r="G44" s="784" t="str">
        <f>IF('CST-Calculation'!G44=0,"",'CST-Calculation'!G44)</f>
        <v/>
      </c>
      <c r="H44" s="784" t="str">
        <f>IF('CST-Calculation'!H44=0,"",'CST-Calculation'!H44)</f>
        <v/>
      </c>
      <c r="I44" s="714" t="str">
        <f>IF(G44="","",IF(H44="TEC Rejected","",IF(H44="","",ROUND(1.3224*Form!$D$10*H44,2))))</f>
        <v/>
      </c>
      <c r="J44" s="714" t="str">
        <f t="shared" si="0"/>
        <v/>
      </c>
      <c r="K44" s="713" t="str">
        <f>IF(L44="","",IF('CST-Calculation'!$F44="Indg","",IF('CST-Calculation'!$F44="TEC Del","",IF('CST-Calculation'!K44&gt;0,'CST-Calculation'!K44,IF('CST-Calculation'!$F44=0,"",'CST-Calculation'!$F44)))))</f>
        <v/>
      </c>
      <c r="L44" s="714" t="str">
        <f>IF('CST-Calculation'!L44=0,"",'CST-Calculation'!L44)</f>
        <v/>
      </c>
      <c r="M44" s="714" t="str">
        <f>IF(K44="","",IF(L44="TEC Rejected","",IF(L44="","",ROUND(1.3224*Form!$D$10*L44,2))))</f>
        <v/>
      </c>
      <c r="N44" s="714" t="str">
        <f t="shared" si="1"/>
        <v/>
      </c>
      <c r="O44" s="89" t="str">
        <f>IF(P44="","",IF('CST-Calculation'!$F44="Indg","",IF('CST-Calculation'!$F44="TEC Del","",IF('CST-Calculation'!O44&gt;0,'CST-Calculation'!O44,IF('CST-Calculation'!$F44=0,"",'CST-Calculation'!$F44)))))</f>
        <v/>
      </c>
      <c r="P44" s="714" t="str">
        <f>IF('CST-Calculation'!P44=0,"",'CST-Calculation'!P44)</f>
        <v/>
      </c>
      <c r="Q44" s="714" t="str">
        <f>IF(O44="","",IF(P44="TEC Rejected","",IF(P44="","",ROUND(1.3224*Form!$D$10*P44,2))))</f>
        <v/>
      </c>
      <c r="R44" s="714" t="str">
        <f t="shared" si="2"/>
        <v/>
      </c>
      <c r="S44" s="89" t="str">
        <f>IF(T44="","",IF('CST-Calculation'!$F44="Indg","",IF('CST-Calculation'!$F44="TEC Del","",IF('CST-Calculation'!S44&gt;0,'CST-Calculation'!S44,IF('CST-Calculation'!$F44=0,"",'CST-Calculation'!$F44)))))</f>
        <v/>
      </c>
      <c r="T44" s="714" t="str">
        <f>IF('CST-Calculation'!T44=0,"",'CST-Calculation'!T44)</f>
        <v/>
      </c>
      <c r="U44" s="714" t="str">
        <f>IF(S44="","",IF(T44="TEC Rejected","",IF(T44="","",ROUND(1.3224*Form!$D$10*T44,2))))</f>
        <v/>
      </c>
      <c r="V44" s="714" t="str">
        <f t="shared" si="3"/>
        <v/>
      </c>
      <c r="W44" s="713" t="str">
        <f>IF(X44="","",IF('CST-Calculation'!$F44="Indg","",IF('CST-Calculation'!$F44="TEC Del","",IF('CST-Calculation'!W44&gt;0,'CST-Calculation'!W44,IF('CST-Calculation'!$F44=0,"",'CST-Calculation'!$F44)))))</f>
        <v/>
      </c>
      <c r="X44" s="714" t="str">
        <f>IF('CST-Calculation'!X44=0,"",'CST-Calculation'!X44)</f>
        <v/>
      </c>
      <c r="Y44" s="714" t="str">
        <f>IF(W44="","",IF(X44="TEC Rejected","",IF(X44="","",ROUND(1.3224*Form!$D$10*X44,2))))</f>
        <v/>
      </c>
      <c r="Z44" s="714" t="str">
        <f t="shared" si="12"/>
        <v/>
      </c>
      <c r="AA44" s="713" t="str">
        <f>IF(AB44="","",IF('CST-Calculation'!$F44="Indg","",IF('CST-Calculation'!$F44="TEC Del","",IF('CST-Calculation'!AA44&gt;0,'CST-Calculation'!AA44,IF('CST-Calculation'!$F44=0,"",'CST-Calculation'!$F44)))))</f>
        <v/>
      </c>
      <c r="AB44" s="714" t="str">
        <f>IF('CST-Calculation'!AB44=0,"",'CST-Calculation'!AB44)</f>
        <v/>
      </c>
      <c r="AC44" s="714" t="str">
        <f t="shared" si="13"/>
        <v/>
      </c>
      <c r="AD44" s="714" t="str">
        <f t="shared" si="14"/>
        <v/>
      </c>
      <c r="AE44" s="713" t="str">
        <f>IF(AF44="","",IF('CST-Calculation'!$F44="Indg","",IF('CST-Calculation'!$F44="TEC Del","",IF('CST-Calculation'!AE44&gt;0,'CST-Calculation'!AE44,IF('CST-Calculation'!$F44=0,"",'CST-Calculation'!$F44)))))</f>
        <v/>
      </c>
      <c r="AF44" s="714" t="str">
        <f>IF('CST-Calculation'!AF44=0,"",'CST-Calculation'!AF44)</f>
        <v/>
      </c>
      <c r="AG44" s="714" t="str">
        <f>IF(AE44="","",IF(AF44="TEC Rejected","",IF(AF44="","",ROUND(1.3224*Form!$D$10*AF44,2))))</f>
        <v/>
      </c>
      <c r="AH44" s="714" t="str">
        <f t="shared" si="15"/>
        <v/>
      </c>
      <c r="AI44" s="713" t="str">
        <f>IF(AJ44="","",IF('CST-Calculation'!$F44="Indg","",IF('CST-Calculation'!$F44="TEC Del","",IF('CST-Calculation'!AI44&gt;0,'CST-Calculation'!AI44,IF('CST-Calculation'!$F44=0,"",'CST-Calculation'!$F44)))))</f>
        <v/>
      </c>
      <c r="AJ44" s="714" t="str">
        <f>IF('CST-Calculation'!AJ44=0,"",'CST-Calculation'!AJ44)</f>
        <v/>
      </c>
      <c r="AK44" s="714" t="str">
        <f t="shared" si="16"/>
        <v/>
      </c>
      <c r="AL44" s="714" t="str">
        <f t="shared" si="17"/>
        <v/>
      </c>
      <c r="AM44" s="713" t="str">
        <f>IF(AN44="","",IF('CST-Calculation'!$F44="Indg","",IF('CST-Calculation'!$F44="TEC Del","",IF('CST-Calculation'!AM44&gt;0,'CST-Calculation'!AM44,IF('CST-Calculation'!$F44=0,"",'CST-Calculation'!$F44)))))</f>
        <v/>
      </c>
      <c r="AN44" s="714" t="str">
        <f>IF('CST-Calculation'!AN44=0,"",'CST-Calculation'!AN44)</f>
        <v/>
      </c>
      <c r="AO44" s="714" t="str">
        <f>IF(AM44="","",IF(AN44="TEC Rejected","",IF(AN44="","",ROUND(1.3224*Form!$D$10*AN44,2))))</f>
        <v/>
      </c>
      <c r="AP44" s="714" t="str">
        <f t="shared" si="18"/>
        <v/>
      </c>
      <c r="AQ44" s="713" t="str">
        <f>IF(AR44="","",IF('CST-Calculation'!$F44="Indg","",IF('CST-Calculation'!$F44="TEC Del","",IF('CST-Calculation'!AQ44&gt;0,'CST-Calculation'!AQ44,IF('CST-Calculation'!$F44=0,"",'CST-Calculation'!$F44)))))</f>
        <v/>
      </c>
      <c r="AR44" s="714" t="str">
        <f>IF('CST-Calculation'!AR44=0,"",'CST-Calculation'!AR44)</f>
        <v/>
      </c>
      <c r="AS44" s="714" t="str">
        <f>IF(AQ44="","",IF(AR44="TEC Rejected","",IF(AR44="","",ROUND(1.3224*Form!$D$10*AR44,2))))</f>
        <v/>
      </c>
      <c r="AT44" s="714" t="str">
        <f t="shared" si="19"/>
        <v/>
      </c>
      <c r="AU44" s="713" t="str">
        <f>IF(AV44="","",IF('CST-Calculation'!$F44="Indg","",IF('CST-Calculation'!$F44="TEC Del","",IF('CST-Calculation'!AU44&gt;0,'CST-Calculation'!AU44,IF('CST-Calculation'!$F44=0,"",'CST-Calculation'!$F44)))))</f>
        <v/>
      </c>
      <c r="AV44" s="714" t="str">
        <f>IF('CST-Calculation'!AV44=0,"",'CST-Calculation'!AV44)</f>
        <v/>
      </c>
      <c r="AW44" s="714" t="str">
        <f>IF(AU44="","",IF(AV44="TEC Rejected","",IF(AV44="","",ROUND(1.3224*Form!$D$10*AV44,2))))</f>
        <v/>
      </c>
      <c r="AX44" s="714" t="str">
        <f t="shared" si="20"/>
        <v/>
      </c>
      <c r="AY44" s="715" t="str">
        <f t="shared" si="21"/>
        <v>NO OFFER</v>
      </c>
      <c r="AZ44" s="716" t="str">
        <f t="shared" si="22"/>
        <v>NO OFFER</v>
      </c>
      <c r="BA44" s="716" t="str">
        <f t="shared" si="23"/>
        <v>&lt;= 20%</v>
      </c>
      <c r="BB44" s="716">
        <f>IF(AY44="EST",ROUND(BD44/1.18,2),IF(AY44="ADRYS",ROUND(BD44/1.18,2),ROUND(BD44/(1.3224*Form!$D$10),2)))</f>
        <v>0</v>
      </c>
      <c r="BC44" s="784">
        <f>IF(OR(AY44="EST",AY44="ADRYS"),ROUND(BE44/1.18,2),ROUND(BE44/(1.3224*Form!$D$10),2))</f>
        <v>0</v>
      </c>
      <c r="BD44" s="717">
        <f>IF(F44="Indg",0,IF(F44="TEC Del",0,IF(AND(IF(G44="",TRUE,G44&lt;=ROUNDUP(1.2*F44,0)),IF(K44="",TRUE,K44&lt;=ROUNDUP(1.2*F44,0)),IF(O44="",TRUE,O44&lt;=ROUNDUP(1.2*F44,0)),IF(S44="",TRUE,S44&lt;=ROUNDUP(1.2*F44,0)),IF(W44="",TRUE,W44&lt;=ROUNDUP(1.2*F44,0)),IF(AA44="",TRUE,AA44&lt;=ROUNDUP(1.2*F44,0)),IF(AE44="",TRUE,AE44&lt;=ROUNDUP(1.2*F44,0)),IF(AI44="",TRUE,AI44&lt;=ROUNDUP(1.2*F44,0)),IF(AM44="",TRUE,AM44&lt;=ROUNDUP(1.2*F44,0)),IF(AQ44="",TRUE,AQ44&lt;=ROUNDUP(1.2*F44,0)),IF(AU44="",TRUE,AU44&lt;=ROUNDUP(1.2*F44,0))),IF(F44=0,0,(IF(SUM(I44,M44,Q44,U44,Y44,AC44,AG44,AK44,AO44,AS44,AW44)=0,0,SMALL((I44,M44,Q44,U44,Y44,AC44,AG44,AK44,AO44,AS44,AW44),COUNTIF((I44:AW44),0)+1)))),IF(BE44=J44,I44,IF(BE44=N44,M44,IF(BE44=R44,Q44,IF(BE44=V44,U44,IF(BE44=Z44,Y44,IF(BE44=AD44,AC44,IF(BE44=AH44,AG44,IF(BE44=AL44,AK44,IF(BE44=AP44,AO44,IF(BE44=AT44,AS44,IF(BE44=AX44,AW44))))))))))))))</f>
        <v>0</v>
      </c>
      <c r="BE44" s="714">
        <f>IF(F44="Indg",0,IF(F44="TEC Del",0,IF(AND(IF(G44="",TRUE,G44&lt;=ROUNDUP(1.2*F44,0)),IF(K44="",TRUE,K44&lt;=ROUNDUP(1.2*F44,0)),IF(O44="",TRUE,O44&lt;=ROUNDUP(1.2*F44,0)),IF(S44="",TRUE,S44&lt;=ROUNDUP(1.2*F44,0)),IF(W44="",TRUE,W44&lt;=ROUNDUP(1.2*F44,0)),IF(AA44="",TRUE,AA44&lt;=ROUNDUP(1.2*F44,0)),IF(AE44="",TRUE,AE44&lt;=ROUNDUP(1.2*F44,0)),IF(AI44="",TRUE,AI44&lt;=ROUNDUP(1.2*F44,0)),IF(AM44="",TRUE,AM44&lt;=ROUNDUP(1.2*F44,0)),IF(AQ44="",TRUE,AQ44&lt;=ROUNDUP(1.2*F44,0)),IF(AU44="",TRUE,AU44&lt;=ROUNDUP(1.2*F44,0))),ROUND(BD44*IF(BD44=I44,G44,IF(BD44=M44,K44,IF(BD44=Q44,O44,IF(BD44=U44,S44,IF(BD44=Y44,W44,IF(BD44=AC44,AA44,IF(BD44=AG44,AE44,IF(BD44=AK44,AI44,IF(BD44=AO44,AM44,IF(BD44=AS44,AQ44,IF(BD44=AW44,AU44))))))))))),2),(IF(SUM(J44,N44,R44,V44,Z44,AD44,AH44,AL44,AP44,AT44,AX44)=0,0,SMALL((J44,N44,R44,V44,Z44,AD44,AH44,AL44,AP44,AT44,AX44),COUNTIF((J44:AX44),0)+1))))))</f>
        <v>0</v>
      </c>
      <c r="BF44" s="714">
        <f>IF('Annexure-I'!L41="",'Annexure-I'!F41,'Annexure-I'!L41)</f>
        <v>16818.439999999999</v>
      </c>
      <c r="BG44" s="714" t="str">
        <f>IF('Annexure-I'!M41="",'Annexure-I'!G41,'Annexure-I'!M41)</f>
        <v>CONTRACT-A40</v>
      </c>
      <c r="BH44" s="764">
        <f>IF('Annexure-I'!N41="",'Annexure-I'!H41,'Annexure-I'!N41)</f>
        <v>41789</v>
      </c>
      <c r="BI44" s="717">
        <f>IF('Annexure-I'!P41="",'Annexure-I'!J41,'Annexure-I'!P41)</f>
        <v>27683.81</v>
      </c>
      <c r="BJ44" s="717">
        <f>IF('Annexure-I'!Q41="",'Annexure-I'!K41,'Annexure-I'!Q41)</f>
        <v>3030498.8430763199</v>
      </c>
      <c r="BK44" s="714">
        <f>'Annexure-I'!F41</f>
        <v>16818.439999999999</v>
      </c>
      <c r="BL44" s="718" t="str">
        <f>'Annexure-I'!G41</f>
        <v>CONTRACT-A40</v>
      </c>
      <c r="BM44" s="764">
        <f>IF('Annexure-I'!H41=0,"",'Annexure-I'!H41)</f>
        <v>41789</v>
      </c>
      <c r="BN44" s="717">
        <f>'Annexure-I'!J41</f>
        <v>27683.81</v>
      </c>
      <c r="BO44" s="717">
        <f>'Annexure-I'!K41</f>
        <v>3030498.8430763199</v>
      </c>
      <c r="BP44" s="714">
        <f>IF(OR(AY44="EST",AY44="ADRYS"),ROUND((BC44*1.18)/(1.3224*Form!$D$10),2),BC44)</f>
        <v>0</v>
      </c>
      <c r="BQ44" s="714">
        <f>ROUND(BS44/(1.3224*Form!$D$10),2)</f>
        <v>0</v>
      </c>
      <c r="BR44" s="714">
        <f t="shared" si="24"/>
        <v>0</v>
      </c>
      <c r="BS44" s="714">
        <f t="shared" si="25"/>
        <v>0</v>
      </c>
      <c r="BT44" s="719">
        <f t="shared" si="26"/>
        <v>0</v>
      </c>
      <c r="BU44" s="714"/>
      <c r="BV44" s="714">
        <f t="shared" si="8"/>
        <v>0</v>
      </c>
      <c r="BW44" s="714">
        <f>IF(OR(AY44="EST",AY44="ADRYS"),ROUND(1.18*BU44,2),ROUND(BU44*1.3224*Form!$D$10,2))</f>
        <v>0</v>
      </c>
      <c r="BX44" s="714">
        <f t="shared" si="9"/>
        <v>0</v>
      </c>
      <c r="BY44" s="719">
        <f t="shared" si="27"/>
        <v>0</v>
      </c>
      <c r="BZ44" s="714">
        <f t="shared" si="11"/>
        <v>15152494.220000001</v>
      </c>
      <c r="CA44" s="720"/>
      <c r="CB44" s="720"/>
      <c r="CC44" s="4"/>
      <c r="CD44" s="4"/>
      <c r="CE44" s="4"/>
      <c r="CF44" s="4"/>
      <c r="CG44" s="4"/>
      <c r="CH44" s="4"/>
      <c r="CI44" s="721"/>
    </row>
    <row r="45" spans="1:89" s="579" customFormat="1" ht="45" x14ac:dyDescent="0.25">
      <c r="A45" s="712">
        <f>SUBTOTAL(2,$B$5:B45)</f>
        <v>41</v>
      </c>
      <c r="B45" s="754">
        <v>41</v>
      </c>
      <c r="C45" s="755" t="s">
        <v>709</v>
      </c>
      <c r="D45" s="755" t="s">
        <v>464</v>
      </c>
      <c r="E45" s="754">
        <v>20</v>
      </c>
      <c r="F45" s="658">
        <f>'Annexure-I'!E42</f>
        <v>20</v>
      </c>
      <c r="G45" s="784" t="str">
        <f>IF('CST-Calculation'!G45=0,"",'CST-Calculation'!G45)</f>
        <v/>
      </c>
      <c r="H45" s="784" t="str">
        <f>IF('CST-Calculation'!H45=0,"",'CST-Calculation'!H45)</f>
        <v/>
      </c>
      <c r="I45" s="714" t="str">
        <f>IF(G45="","",IF(H45="TEC Rejected","",IF(H45="","",ROUND(1.3224*Form!$D$10*H45,2))))</f>
        <v/>
      </c>
      <c r="J45" s="714" t="str">
        <f t="shared" si="0"/>
        <v/>
      </c>
      <c r="K45" s="713" t="str">
        <f>IF(L45="","",IF('CST-Calculation'!$F45="Indg","",IF('CST-Calculation'!$F45="TEC Del","",IF('CST-Calculation'!K45&gt;0,'CST-Calculation'!K45,IF('CST-Calculation'!$F45=0,"",'CST-Calculation'!$F45)))))</f>
        <v/>
      </c>
      <c r="L45" s="714" t="str">
        <f>IF('CST-Calculation'!L45=0,"",'CST-Calculation'!L45)</f>
        <v/>
      </c>
      <c r="M45" s="714" t="str">
        <f>IF(K45="","",IF(L45="TEC Rejected","",IF(L45="","",ROUND(1.3224*Form!$D$10*L45,2))))</f>
        <v/>
      </c>
      <c r="N45" s="714" t="str">
        <f t="shared" si="1"/>
        <v/>
      </c>
      <c r="O45" s="89">
        <f>IF(P45="","",IF('CST-Calculation'!$F45="Indg","",IF('CST-Calculation'!$F45="TEC Del","",IF('CST-Calculation'!O45&gt;0,'CST-Calculation'!O45,IF('CST-Calculation'!$F45=0,"",'CST-Calculation'!$F45)))))</f>
        <v>20</v>
      </c>
      <c r="P45" s="714">
        <f>IF('CST-Calculation'!P45=0,"",'CST-Calculation'!P45)</f>
        <v>450</v>
      </c>
      <c r="Q45" s="714">
        <f>IF(O45="","",IF(P45="TEC Rejected","",IF(P45="","",ROUND(1.3224*Form!$D$10*P45,2))))</f>
        <v>49260.72</v>
      </c>
      <c r="R45" s="714">
        <f t="shared" si="2"/>
        <v>985214.4</v>
      </c>
      <c r="S45" s="89">
        <f>IF(T45="","",IF('CST-Calculation'!$F45="Indg","",IF('CST-Calculation'!$F45="TEC Del","",IF('CST-Calculation'!S45&gt;0,'CST-Calculation'!S45,IF('CST-Calculation'!$F45=0,"",'CST-Calculation'!$F45)))))</f>
        <v>20</v>
      </c>
      <c r="T45" s="714">
        <f>IF('CST-Calculation'!T45=0,"",'CST-Calculation'!T45)</f>
        <v>325</v>
      </c>
      <c r="U45" s="714">
        <f>IF(S45="","",IF(T45="TEC Rejected","",IF(T45="","",ROUND(1.3224*Form!$D$10*T45,2))))</f>
        <v>35577.19</v>
      </c>
      <c r="V45" s="714">
        <f t="shared" si="3"/>
        <v>711543.8</v>
      </c>
      <c r="W45" s="713" t="str">
        <f>IF(X45="","",IF('CST-Calculation'!$F45="Indg","",IF('CST-Calculation'!$F45="TEC Del","",IF('CST-Calculation'!W45&gt;0,'CST-Calculation'!W45,IF('CST-Calculation'!$F45=0,"",'CST-Calculation'!$F45)))))</f>
        <v/>
      </c>
      <c r="X45" s="714" t="str">
        <f>IF('CST-Calculation'!X45=0,"",'CST-Calculation'!X45)</f>
        <v/>
      </c>
      <c r="Y45" s="714" t="str">
        <f>IF(W45="","",IF(X45="TEC Rejected","",IF(X45="","",ROUND(1.3224*Form!$D$10*X45,2))))</f>
        <v/>
      </c>
      <c r="Z45" s="714" t="str">
        <f t="shared" si="12"/>
        <v/>
      </c>
      <c r="AA45" s="713">
        <f>IF(AB45="","",IF('CST-Calculation'!$F45="Indg","",IF('CST-Calculation'!$F45="TEC Del","",IF('CST-Calculation'!AA45&gt;0,'CST-Calculation'!AA45,IF('CST-Calculation'!$F45=0,"",'CST-Calculation'!$F45)))))</f>
        <v>20</v>
      </c>
      <c r="AB45" s="714">
        <f>IF('CST-Calculation'!AB45=0,"",'CST-Calculation'!AB45)</f>
        <v>5265</v>
      </c>
      <c r="AC45" s="714">
        <f t="shared" si="13"/>
        <v>6212.7</v>
      </c>
      <c r="AD45" s="714">
        <f t="shared" si="14"/>
        <v>124254</v>
      </c>
      <c r="AE45" s="713" t="str">
        <f>IF(AF45="","",IF('CST-Calculation'!$F45="Indg","",IF('CST-Calculation'!$F45="TEC Del","",IF('CST-Calculation'!AE45&gt;0,'CST-Calculation'!AE45,IF('CST-Calculation'!$F45=0,"",'CST-Calculation'!$F45)))))</f>
        <v/>
      </c>
      <c r="AF45" s="714" t="str">
        <f>IF('CST-Calculation'!AF45=0,"",'CST-Calculation'!AF45)</f>
        <v/>
      </c>
      <c r="AG45" s="714" t="str">
        <f>IF(AE45="","",IF(AF45="TEC Rejected","",IF(AF45="","",ROUND(1.3224*Form!$D$10*AF45,2))))</f>
        <v/>
      </c>
      <c r="AH45" s="714" t="str">
        <f t="shared" si="15"/>
        <v/>
      </c>
      <c r="AI45" s="713">
        <f>IF(AJ45="","",IF('CST-Calculation'!$F45="Indg","",IF('CST-Calculation'!$F45="TEC Del","",IF('CST-Calculation'!AI45&gt;0,'CST-Calculation'!AI45,IF('CST-Calculation'!$F45=0,"",'CST-Calculation'!$F45)))))</f>
        <v>20</v>
      </c>
      <c r="AJ45" s="714">
        <f>IF('CST-Calculation'!AJ45=0,"",'CST-Calculation'!AJ45)</f>
        <v>6640</v>
      </c>
      <c r="AK45" s="714">
        <f t="shared" si="16"/>
        <v>7835.2</v>
      </c>
      <c r="AL45" s="714">
        <f t="shared" si="17"/>
        <v>156704</v>
      </c>
      <c r="AM45" s="713" t="str">
        <f>IF(AN45="","",IF('CST-Calculation'!$F45="Indg","",IF('CST-Calculation'!$F45="TEC Del","",IF('CST-Calculation'!AM45&gt;0,'CST-Calculation'!AM45,IF('CST-Calculation'!$F45=0,"",'CST-Calculation'!$F45)))))</f>
        <v/>
      </c>
      <c r="AN45" s="714" t="str">
        <f>IF('CST-Calculation'!AN45=0,"",'CST-Calculation'!AN45)</f>
        <v/>
      </c>
      <c r="AO45" s="714" t="str">
        <f>IF(AM45="","",IF(AN45="TEC Rejected","",IF(AN45="","",ROUND(1.3224*Form!$D$10*AN45,2))))</f>
        <v/>
      </c>
      <c r="AP45" s="714" t="str">
        <f t="shared" si="18"/>
        <v/>
      </c>
      <c r="AQ45" s="713" t="str">
        <f>IF(AR45="","",IF('CST-Calculation'!$F45="Indg","",IF('CST-Calculation'!$F45="TEC Del","",IF('CST-Calculation'!AQ45&gt;0,'CST-Calculation'!AQ45,IF('CST-Calculation'!$F45=0,"",'CST-Calculation'!$F45)))))</f>
        <v/>
      </c>
      <c r="AR45" s="714" t="str">
        <f>IF('CST-Calculation'!AR45=0,"",'CST-Calculation'!AR45)</f>
        <v/>
      </c>
      <c r="AS45" s="714" t="str">
        <f>IF(AQ45="","",IF(AR45="TEC Rejected","",IF(AR45="","",ROUND(1.3224*Form!$D$10*AR45,2))))</f>
        <v/>
      </c>
      <c r="AT45" s="714" t="str">
        <f t="shared" si="19"/>
        <v/>
      </c>
      <c r="AU45" s="713" t="str">
        <f>IF(AV45="","",IF('CST-Calculation'!$F45="Indg","",IF('CST-Calculation'!$F45="TEC Del","",IF('CST-Calculation'!AU45&gt;0,'CST-Calculation'!AU45,IF('CST-Calculation'!$F45=0,"",'CST-Calculation'!$F45)))))</f>
        <v/>
      </c>
      <c r="AV45" s="714" t="str">
        <f>IF('CST-Calculation'!AV45=0,"",'CST-Calculation'!AV45)</f>
        <v/>
      </c>
      <c r="AW45" s="714" t="str">
        <f>IF(AU45="","",IF(AV45="TEC Rejected","",IF(AV45="","",ROUND(1.3224*Form!$D$10*AV45,2))))</f>
        <v/>
      </c>
      <c r="AX45" s="714" t="str">
        <f t="shared" si="20"/>
        <v/>
      </c>
      <c r="AY45" s="715" t="str">
        <f t="shared" si="21"/>
        <v>ADRYS</v>
      </c>
      <c r="AZ45" s="716" t="str">
        <f t="shared" si="22"/>
        <v>MULTIPLE</v>
      </c>
      <c r="BA45" s="716" t="str">
        <f t="shared" si="23"/>
        <v>&lt;= 20%</v>
      </c>
      <c r="BB45" s="716">
        <f>IF(AY45="EST",ROUND(BD45/1.18,2),IF(AY45="ADRYS",ROUND(BD45/1.18,2),ROUND(BD45/(1.3224*Form!$D$10),2)))</f>
        <v>5265</v>
      </c>
      <c r="BC45" s="784">
        <f>IF(OR(AY45="EST",AY45="ADRYS"),ROUND(BE45/1.18,2),ROUND(BE45/(1.3224*Form!$D$10),2))</f>
        <v>105300</v>
      </c>
      <c r="BD45" s="717">
        <f>IF(F45="Indg",0,IF(F45="TEC Del",0,IF(AND(IF(G45="",TRUE,G45&lt;=ROUNDUP(1.2*F45,0)),IF(K45="",TRUE,K45&lt;=ROUNDUP(1.2*F45,0)),IF(O45="",TRUE,O45&lt;=ROUNDUP(1.2*F45,0)),IF(S45="",TRUE,S45&lt;=ROUNDUP(1.2*F45,0)),IF(W45="",TRUE,W45&lt;=ROUNDUP(1.2*F45,0)),IF(AA45="",TRUE,AA45&lt;=ROUNDUP(1.2*F45,0)),IF(AE45="",TRUE,AE45&lt;=ROUNDUP(1.2*F45,0)),IF(AI45="",TRUE,AI45&lt;=ROUNDUP(1.2*F45,0)),IF(AM45="",TRUE,AM45&lt;=ROUNDUP(1.2*F45,0)),IF(AQ45="",TRUE,AQ45&lt;=ROUNDUP(1.2*F45,0)),IF(AU45="",TRUE,AU45&lt;=ROUNDUP(1.2*F45,0))),IF(F45=0,0,(IF(SUM(I45,M45,Q45,U45,Y45,AC45,AG45,AK45,AO45,AS45,AW45)=0,0,SMALL((I45,M45,Q45,U45,Y45,AC45,AG45,AK45,AO45,AS45,AW45),COUNTIF((I45:AW45),0)+1)))),IF(BE45=J45,I45,IF(BE45=N45,M45,IF(BE45=R45,Q45,IF(BE45=V45,U45,IF(BE45=Z45,Y45,IF(BE45=AD45,AC45,IF(BE45=AH45,AG45,IF(BE45=AL45,AK45,IF(BE45=AP45,AO45,IF(BE45=AT45,AS45,IF(BE45=AX45,AW45))))))))))))))</f>
        <v>6212.7</v>
      </c>
      <c r="BE45" s="714">
        <f>IF(F45="Indg",0,IF(F45="TEC Del",0,IF(AND(IF(G45="",TRUE,G45&lt;=ROUNDUP(1.2*F45,0)),IF(K45="",TRUE,K45&lt;=ROUNDUP(1.2*F45,0)),IF(O45="",TRUE,O45&lt;=ROUNDUP(1.2*F45,0)),IF(S45="",TRUE,S45&lt;=ROUNDUP(1.2*F45,0)),IF(W45="",TRUE,W45&lt;=ROUNDUP(1.2*F45,0)),IF(AA45="",TRUE,AA45&lt;=ROUNDUP(1.2*F45,0)),IF(AE45="",TRUE,AE45&lt;=ROUNDUP(1.2*F45,0)),IF(AI45="",TRUE,AI45&lt;=ROUNDUP(1.2*F45,0)),IF(AM45="",TRUE,AM45&lt;=ROUNDUP(1.2*F45,0)),IF(AQ45="",TRUE,AQ45&lt;=ROUNDUP(1.2*F45,0)),IF(AU45="",TRUE,AU45&lt;=ROUNDUP(1.2*F45,0))),ROUND(BD45*IF(BD45=I45,G45,IF(BD45=M45,K45,IF(BD45=Q45,O45,IF(BD45=U45,S45,IF(BD45=Y45,W45,IF(BD45=AC45,AA45,IF(BD45=AG45,AE45,IF(BD45=AK45,AI45,IF(BD45=AO45,AM45,IF(BD45=AS45,AQ45,IF(BD45=AW45,AU45))))))))))),2),(IF(SUM(J45,N45,R45,V45,Z45,AD45,AH45,AL45,AP45,AT45,AX45)=0,0,SMALL((J45,N45,R45,V45,Z45,AD45,AH45,AL45,AP45,AT45,AX45),COUNTIF((J45:AX45),0)+1))))))</f>
        <v>124254</v>
      </c>
      <c r="BF45" s="714">
        <f>IF('Annexure-I'!L42="",'Annexure-I'!F42,'Annexure-I'!L42)</f>
        <v>80.290000000000006</v>
      </c>
      <c r="BG45" s="714" t="str">
        <f>IF('Annexure-I'!M42="",'Annexure-I'!G42,'Annexure-I'!M42)</f>
        <v>CONTRACT-A41</v>
      </c>
      <c r="BH45" s="764">
        <f>IF('Annexure-I'!N42="",'Annexure-I'!H42,'Annexure-I'!N42)</f>
        <v>40967</v>
      </c>
      <c r="BI45" s="717">
        <f>IF('Annexure-I'!P42="",'Annexure-I'!J42,'Annexure-I'!P42)</f>
        <v>147.1</v>
      </c>
      <c r="BJ45" s="717">
        <f>IF('Annexure-I'!Q42="",'Annexure-I'!K42,'Annexure-I'!Q42)</f>
        <v>16102.782811199999</v>
      </c>
      <c r="BK45" s="714">
        <f>'Annexure-I'!F42</f>
        <v>80.290000000000006</v>
      </c>
      <c r="BL45" s="718" t="str">
        <f>'Annexure-I'!G42</f>
        <v>CONTRACT-A41</v>
      </c>
      <c r="BM45" s="764">
        <f>IF('Annexure-I'!H42=0,"",'Annexure-I'!H42)</f>
        <v>40967</v>
      </c>
      <c r="BN45" s="717">
        <f>'Annexure-I'!J42</f>
        <v>147.1</v>
      </c>
      <c r="BO45" s="717">
        <f>'Annexure-I'!K42</f>
        <v>16102.782811199999</v>
      </c>
      <c r="BP45" s="714">
        <f>IF(OR(AY45="EST",AY45="ADRYS"),ROUND((BC45*1.18)/(1.3224*Form!$D$10),2),BC45)</f>
        <v>1135.07</v>
      </c>
      <c r="BQ45" s="714">
        <f>ROUND(BS45/(1.3224*Form!$D$10),2)</f>
        <v>2942</v>
      </c>
      <c r="BR45" s="714">
        <f t="shared" si="24"/>
        <v>124254</v>
      </c>
      <c r="BS45" s="714">
        <f t="shared" si="25"/>
        <v>322055.65999999997</v>
      </c>
      <c r="BT45" s="719">
        <f t="shared" si="26"/>
        <v>-0.61418470335220932</v>
      </c>
      <c r="BU45" s="714"/>
      <c r="BV45" s="714">
        <f t="shared" si="8"/>
        <v>0</v>
      </c>
      <c r="BW45" s="714">
        <f>IF(OR(AY45="EST",AY45="ADRYS"),ROUND(1.18*BU45,2),ROUND(BU45*1.3224*Form!$D$10,2))</f>
        <v>0</v>
      </c>
      <c r="BX45" s="714">
        <f t="shared" si="9"/>
        <v>0</v>
      </c>
      <c r="BY45" s="719">
        <f t="shared" si="27"/>
        <v>0</v>
      </c>
      <c r="BZ45" s="714">
        <f t="shared" si="11"/>
        <v>322055.65999999997</v>
      </c>
      <c r="CA45" s="720"/>
      <c r="CB45" s="720"/>
      <c r="CC45" s="4"/>
      <c r="CD45" s="4"/>
      <c r="CE45" s="4"/>
      <c r="CF45" s="4"/>
      <c r="CG45" s="4"/>
      <c r="CH45" s="4"/>
      <c r="CI45" s="721"/>
    </row>
    <row r="46" spans="1:89" s="579" customFormat="1" ht="45" x14ac:dyDescent="0.25">
      <c r="A46" s="712">
        <f>SUBTOTAL(2,$B$5:B46)</f>
        <v>42</v>
      </c>
      <c r="B46" s="754">
        <v>42</v>
      </c>
      <c r="C46" s="756" t="s">
        <v>710</v>
      </c>
      <c r="D46" s="755" t="s">
        <v>126</v>
      </c>
      <c r="E46" s="754">
        <v>8</v>
      </c>
      <c r="F46" s="658">
        <f>'Annexure-I'!E43</f>
        <v>8</v>
      </c>
      <c r="G46" s="784" t="str">
        <f>IF('CST-Calculation'!G46=0,"",'CST-Calculation'!G46)</f>
        <v/>
      </c>
      <c r="H46" s="784" t="str">
        <f>IF('CST-Calculation'!H46=0,"",'CST-Calculation'!H46)</f>
        <v/>
      </c>
      <c r="I46" s="714" t="str">
        <f>IF(G46="","",IF(H46="TEC Rejected","",IF(H46="","",ROUND(1.3224*Form!$D$10*H46,2))))</f>
        <v/>
      </c>
      <c r="J46" s="714" t="str">
        <f t="shared" si="0"/>
        <v/>
      </c>
      <c r="K46" s="713" t="str">
        <f>IF(L46="","",IF('CST-Calculation'!$F46="Indg","",IF('CST-Calculation'!$F46="TEC Del","",IF('CST-Calculation'!K46&gt;0,'CST-Calculation'!K46,IF('CST-Calculation'!$F46=0,"",'CST-Calculation'!$F46)))))</f>
        <v/>
      </c>
      <c r="L46" s="714" t="str">
        <f>IF('CST-Calculation'!L46=0,"",'CST-Calculation'!L46)</f>
        <v/>
      </c>
      <c r="M46" s="714" t="str">
        <f>IF(K46="","",IF(L46="TEC Rejected","",IF(L46="","",ROUND(1.3224*Form!$D$10*L46,2))))</f>
        <v/>
      </c>
      <c r="N46" s="714" t="str">
        <f t="shared" si="1"/>
        <v/>
      </c>
      <c r="O46" s="89">
        <f>IF(P46="","",IF('CST-Calculation'!$F46="Indg","",IF('CST-Calculation'!$F46="TEC Del","",IF('CST-Calculation'!O46&gt;0,'CST-Calculation'!O46,IF('CST-Calculation'!$F46=0,"",'CST-Calculation'!$F46)))))</f>
        <v>8</v>
      </c>
      <c r="P46" s="714">
        <f>IF('CST-Calculation'!P46=0,"",'CST-Calculation'!P46)</f>
        <v>620</v>
      </c>
      <c r="Q46" s="714">
        <f>IF(O46="","",IF(P46="TEC Rejected","",IF(P46="","",ROUND(1.3224*Form!$D$10*P46,2))))</f>
        <v>67870.33</v>
      </c>
      <c r="R46" s="714">
        <f t="shared" si="2"/>
        <v>542962.64</v>
      </c>
      <c r="S46" s="89">
        <f>IF(T46="","",IF('CST-Calculation'!$F46="Indg","",IF('CST-Calculation'!$F46="TEC Del","",IF('CST-Calculation'!S46&gt;0,'CST-Calculation'!S46,IF('CST-Calculation'!$F46=0,"",'CST-Calculation'!$F46)))))</f>
        <v>8</v>
      </c>
      <c r="T46" s="714">
        <f>IF('CST-Calculation'!T46=0,"",'CST-Calculation'!T46)</f>
        <v>490</v>
      </c>
      <c r="U46" s="714">
        <f>IF(S46="","",IF(T46="TEC Rejected","",IF(T46="","",ROUND(1.3224*Form!$D$10*T46,2))))</f>
        <v>53639.45</v>
      </c>
      <c r="V46" s="714">
        <f t="shared" si="3"/>
        <v>429115.6</v>
      </c>
      <c r="W46" s="713" t="str">
        <f>IF(X46="","",IF('CST-Calculation'!$F46="Indg","",IF('CST-Calculation'!$F46="TEC Del","",IF('CST-Calculation'!W46&gt;0,'CST-Calculation'!W46,IF('CST-Calculation'!$F46=0,"",'CST-Calculation'!$F46)))))</f>
        <v/>
      </c>
      <c r="X46" s="714" t="str">
        <f>IF('CST-Calculation'!X46=0,"",'CST-Calculation'!X46)</f>
        <v/>
      </c>
      <c r="Y46" s="714" t="str">
        <f>IF(W46="","",IF(X46="TEC Rejected","",IF(X46="","",ROUND(1.3224*Form!$D$10*X46,2))))</f>
        <v/>
      </c>
      <c r="Z46" s="714" t="str">
        <f t="shared" si="12"/>
        <v/>
      </c>
      <c r="AA46" s="713">
        <f>IF(AB46="","",IF('CST-Calculation'!$F46="Indg","",IF('CST-Calculation'!$F46="TEC Del","",IF('CST-Calculation'!AA46&gt;0,'CST-Calculation'!AA46,IF('CST-Calculation'!$F46=0,"",'CST-Calculation'!$F46)))))</f>
        <v>8</v>
      </c>
      <c r="AB46" s="714">
        <f>IF('CST-Calculation'!AB46=0,"",'CST-Calculation'!AB46)</f>
        <v>9765</v>
      </c>
      <c r="AC46" s="714">
        <f t="shared" si="13"/>
        <v>11522.7</v>
      </c>
      <c r="AD46" s="714">
        <f t="shared" si="14"/>
        <v>92181.6</v>
      </c>
      <c r="AE46" s="713" t="str">
        <f>IF(AF46="","",IF('CST-Calculation'!$F46="Indg","",IF('CST-Calculation'!$F46="TEC Del","",IF('CST-Calculation'!AE46&gt;0,'CST-Calculation'!AE46,IF('CST-Calculation'!$F46=0,"",'CST-Calculation'!$F46)))))</f>
        <v/>
      </c>
      <c r="AF46" s="714" t="str">
        <f>IF('CST-Calculation'!AF46=0,"",'CST-Calculation'!AF46)</f>
        <v/>
      </c>
      <c r="AG46" s="714" t="str">
        <f>IF(AE46="","",IF(AF46="TEC Rejected","",IF(AF46="","",ROUND(1.3224*Form!$D$10*AF46,2))))</f>
        <v/>
      </c>
      <c r="AH46" s="714" t="str">
        <f t="shared" si="15"/>
        <v/>
      </c>
      <c r="AI46" s="713">
        <f>IF(AJ46="","",IF('CST-Calculation'!$F46="Indg","",IF('CST-Calculation'!$F46="TEC Del","",IF('CST-Calculation'!AI46&gt;0,'CST-Calculation'!AI46,IF('CST-Calculation'!$F46=0,"",'CST-Calculation'!$F46)))))</f>
        <v>8</v>
      </c>
      <c r="AJ46" s="714">
        <f>IF('CST-Calculation'!AJ46=0,"",'CST-Calculation'!AJ46)</f>
        <v>9545</v>
      </c>
      <c r="AK46" s="714">
        <f t="shared" si="16"/>
        <v>11263.1</v>
      </c>
      <c r="AL46" s="714">
        <f t="shared" si="17"/>
        <v>90104.8</v>
      </c>
      <c r="AM46" s="713" t="str">
        <f>IF(AN46="","",IF('CST-Calculation'!$F46="Indg","",IF('CST-Calculation'!$F46="TEC Del","",IF('CST-Calculation'!AM46&gt;0,'CST-Calculation'!AM46,IF('CST-Calculation'!$F46=0,"",'CST-Calculation'!$F46)))))</f>
        <v/>
      </c>
      <c r="AN46" s="714" t="str">
        <f>IF('CST-Calculation'!AN46=0,"",'CST-Calculation'!AN46)</f>
        <v/>
      </c>
      <c r="AO46" s="714" t="str">
        <f>IF(AM46="","",IF(AN46="TEC Rejected","",IF(AN46="","",ROUND(1.3224*Form!$D$10*AN46,2))))</f>
        <v/>
      </c>
      <c r="AP46" s="714" t="str">
        <f t="shared" si="18"/>
        <v/>
      </c>
      <c r="AQ46" s="713" t="str">
        <f>IF(AR46="","",IF('CST-Calculation'!$F46="Indg","",IF('CST-Calculation'!$F46="TEC Del","",IF('CST-Calculation'!AQ46&gt;0,'CST-Calculation'!AQ46,IF('CST-Calculation'!$F46=0,"",'CST-Calculation'!$F46)))))</f>
        <v/>
      </c>
      <c r="AR46" s="714" t="str">
        <f>IF('CST-Calculation'!AR46=0,"",'CST-Calculation'!AR46)</f>
        <v/>
      </c>
      <c r="AS46" s="714" t="str">
        <f>IF(AQ46="","",IF(AR46="TEC Rejected","",IF(AR46="","",ROUND(1.3224*Form!$D$10*AR46,2))))</f>
        <v/>
      </c>
      <c r="AT46" s="714" t="str">
        <f t="shared" si="19"/>
        <v/>
      </c>
      <c r="AU46" s="713" t="str">
        <f>IF(AV46="","",IF('CST-Calculation'!$F46="Indg","",IF('CST-Calculation'!$F46="TEC Del","",IF('CST-Calculation'!AU46&gt;0,'CST-Calculation'!AU46,IF('CST-Calculation'!$F46=0,"",'CST-Calculation'!$F46)))))</f>
        <v/>
      </c>
      <c r="AV46" s="714" t="str">
        <f>IF('CST-Calculation'!AV46=0,"",'CST-Calculation'!AV46)</f>
        <v/>
      </c>
      <c r="AW46" s="714" t="str">
        <f>IF(AU46="","",IF(AV46="TEC Rejected","",IF(AV46="","",ROUND(1.3224*Form!$D$10*AV46,2))))</f>
        <v/>
      </c>
      <c r="AX46" s="714" t="str">
        <f t="shared" si="20"/>
        <v/>
      </c>
      <c r="AY46" s="715" t="str">
        <f t="shared" si="21"/>
        <v>EST</v>
      </c>
      <c r="AZ46" s="716" t="str">
        <f t="shared" si="22"/>
        <v>MULTIPLE</v>
      </c>
      <c r="BA46" s="716" t="str">
        <f t="shared" si="23"/>
        <v>&lt;= 20%</v>
      </c>
      <c r="BB46" s="716">
        <f>IF(AY46="EST",ROUND(BD46/1.18,2),IF(AY46="ADRYS",ROUND(BD46/1.18,2),ROUND(BD46/(1.3224*Form!$D$10),2)))</f>
        <v>9545</v>
      </c>
      <c r="BC46" s="784">
        <f>IF(OR(AY46="EST",AY46="ADRYS"),ROUND(BE46/1.18,2),ROUND(BE46/(1.3224*Form!$D$10),2))</f>
        <v>76360</v>
      </c>
      <c r="BD46" s="717">
        <f>IF(F46="Indg",0,IF(F46="TEC Del",0,IF(AND(IF(G46="",TRUE,G46&lt;=ROUNDUP(1.2*F46,0)),IF(K46="",TRUE,K46&lt;=ROUNDUP(1.2*F46,0)),IF(O46="",TRUE,O46&lt;=ROUNDUP(1.2*F46,0)),IF(S46="",TRUE,S46&lt;=ROUNDUP(1.2*F46,0)),IF(W46="",TRUE,W46&lt;=ROUNDUP(1.2*F46,0)),IF(AA46="",TRUE,AA46&lt;=ROUNDUP(1.2*F46,0)),IF(AE46="",TRUE,AE46&lt;=ROUNDUP(1.2*F46,0)),IF(AI46="",TRUE,AI46&lt;=ROUNDUP(1.2*F46,0)),IF(AM46="",TRUE,AM46&lt;=ROUNDUP(1.2*F46,0)),IF(AQ46="",TRUE,AQ46&lt;=ROUNDUP(1.2*F46,0)),IF(AU46="",TRUE,AU46&lt;=ROUNDUP(1.2*F46,0))),IF(F46=0,0,(IF(SUM(I46,M46,Q46,U46,Y46,AC46,AG46,AK46,AO46,AS46,AW46)=0,0,SMALL((I46,M46,Q46,U46,Y46,AC46,AG46,AK46,AO46,AS46,AW46),COUNTIF((I46:AW46),0)+1)))),IF(BE46=J46,I46,IF(BE46=N46,M46,IF(BE46=R46,Q46,IF(BE46=V46,U46,IF(BE46=Z46,Y46,IF(BE46=AD46,AC46,IF(BE46=AH46,AG46,IF(BE46=AL46,AK46,IF(BE46=AP46,AO46,IF(BE46=AT46,AS46,IF(BE46=AX46,AW46))))))))))))))</f>
        <v>11263.1</v>
      </c>
      <c r="BE46" s="714">
        <f>IF(F46="Indg",0,IF(F46="TEC Del",0,IF(AND(IF(G46="",TRUE,G46&lt;=ROUNDUP(1.2*F46,0)),IF(K46="",TRUE,K46&lt;=ROUNDUP(1.2*F46,0)),IF(O46="",TRUE,O46&lt;=ROUNDUP(1.2*F46,0)),IF(S46="",TRUE,S46&lt;=ROUNDUP(1.2*F46,0)),IF(W46="",TRUE,W46&lt;=ROUNDUP(1.2*F46,0)),IF(AA46="",TRUE,AA46&lt;=ROUNDUP(1.2*F46,0)),IF(AE46="",TRUE,AE46&lt;=ROUNDUP(1.2*F46,0)),IF(AI46="",TRUE,AI46&lt;=ROUNDUP(1.2*F46,0)),IF(AM46="",TRUE,AM46&lt;=ROUNDUP(1.2*F46,0)),IF(AQ46="",TRUE,AQ46&lt;=ROUNDUP(1.2*F46,0)),IF(AU46="",TRUE,AU46&lt;=ROUNDUP(1.2*F46,0))),ROUND(BD46*IF(BD46=I46,G46,IF(BD46=M46,K46,IF(BD46=Q46,O46,IF(BD46=U46,S46,IF(BD46=Y46,W46,IF(BD46=AC46,AA46,IF(BD46=AG46,AE46,IF(BD46=AK46,AI46,IF(BD46=AO46,AM46,IF(BD46=AS46,AQ46,IF(BD46=AW46,AU46))))))))))),2),(IF(SUM(J46,N46,R46,V46,Z46,AD46,AH46,AL46,AP46,AT46,AX46)=0,0,SMALL((J46,N46,R46,V46,Z46,AD46,AH46,AL46,AP46,AT46,AX46),COUNTIF((J46:AX46),0)+1))))))</f>
        <v>90104.8</v>
      </c>
      <c r="BF46" s="714">
        <f>IF('Annexure-I'!L43="",'Annexure-I'!F43,'Annexure-I'!L43)</f>
        <v>147.61000000000001</v>
      </c>
      <c r="BG46" s="714" t="str">
        <f>IF('Annexure-I'!M43="",'Annexure-I'!G43,'Annexure-I'!M43)</f>
        <v>CONTRACT-A42</v>
      </c>
      <c r="BH46" s="764">
        <f>IF('Annexure-I'!N43="",'Annexure-I'!H43,'Annexure-I'!N43)</f>
        <v>40967</v>
      </c>
      <c r="BI46" s="717">
        <f>IF('Annexure-I'!P43="",'Annexure-I'!J43,'Annexure-I'!P43)</f>
        <v>270.43</v>
      </c>
      <c r="BJ46" s="717">
        <f>IF('Annexure-I'!Q43="",'Annexure-I'!K43,'Annexure-I'!Q43)</f>
        <v>29603.504796960002</v>
      </c>
      <c r="BK46" s="714">
        <f>'Annexure-I'!F43</f>
        <v>147.61000000000001</v>
      </c>
      <c r="BL46" s="718" t="str">
        <f>'Annexure-I'!G43</f>
        <v>CONTRACT-A42</v>
      </c>
      <c r="BM46" s="764">
        <f>IF('Annexure-I'!H43=0,"",'Annexure-I'!H43)</f>
        <v>40967</v>
      </c>
      <c r="BN46" s="717">
        <f>'Annexure-I'!J43</f>
        <v>270.43</v>
      </c>
      <c r="BO46" s="717">
        <f>'Annexure-I'!K43</f>
        <v>29603.504796960002</v>
      </c>
      <c r="BP46" s="714">
        <f>IF(OR(AY46="EST",AY46="ADRYS"),ROUND((BC46*1.18)/(1.3224*Form!$D$10),2),BC46)</f>
        <v>823.11</v>
      </c>
      <c r="BQ46" s="714">
        <f>ROUND(BS46/(1.3224*Form!$D$10),2)</f>
        <v>2163.44</v>
      </c>
      <c r="BR46" s="714">
        <f t="shared" si="24"/>
        <v>90104.8</v>
      </c>
      <c r="BS46" s="714">
        <f t="shared" si="25"/>
        <v>236828.04</v>
      </c>
      <c r="BT46" s="719">
        <f t="shared" si="26"/>
        <v>-0.6195349165580224</v>
      </c>
      <c r="BU46" s="714"/>
      <c r="BV46" s="714">
        <f t="shared" si="8"/>
        <v>0</v>
      </c>
      <c r="BW46" s="714">
        <f>IF(OR(AY46="EST",AY46="ADRYS"),ROUND(1.18*BU46,2),ROUND(BU46*1.3224*Form!$D$10,2))</f>
        <v>0</v>
      </c>
      <c r="BX46" s="714">
        <f t="shared" si="9"/>
        <v>0</v>
      </c>
      <c r="BY46" s="719">
        <f t="shared" si="27"/>
        <v>0</v>
      </c>
      <c r="BZ46" s="714">
        <f t="shared" si="11"/>
        <v>236828.04</v>
      </c>
      <c r="CA46" s="720"/>
      <c r="CB46" s="720"/>
      <c r="CC46" s="4"/>
      <c r="CD46" s="4"/>
      <c r="CE46" s="4"/>
      <c r="CF46" s="4"/>
      <c r="CG46" s="4"/>
      <c r="CH46" s="4"/>
      <c r="CI46" s="721"/>
    </row>
    <row r="47" spans="1:89" s="579" customFormat="1" ht="45" x14ac:dyDescent="0.25">
      <c r="A47" s="712">
        <f>SUBTOTAL(2,$B$5:B47)</f>
        <v>43</v>
      </c>
      <c r="B47" s="754">
        <v>43</v>
      </c>
      <c r="C47" s="755" t="s">
        <v>711</v>
      </c>
      <c r="D47" s="755" t="s">
        <v>126</v>
      </c>
      <c r="E47" s="754">
        <v>8</v>
      </c>
      <c r="F47" s="658">
        <f>'Annexure-I'!E44</f>
        <v>8</v>
      </c>
      <c r="G47" s="784" t="str">
        <f>IF('CST-Calculation'!G47=0,"",'CST-Calculation'!G47)</f>
        <v/>
      </c>
      <c r="H47" s="784" t="str">
        <f>IF('CST-Calculation'!H47=0,"",'CST-Calculation'!H47)</f>
        <v/>
      </c>
      <c r="I47" s="714" t="str">
        <f>IF(G47="","",IF(H47="TEC Rejected","",IF(H47="","",ROUND(1.3224*Form!$D$10*H47,2))))</f>
        <v/>
      </c>
      <c r="J47" s="714" t="str">
        <f t="shared" si="0"/>
        <v/>
      </c>
      <c r="K47" s="713" t="str">
        <f>IF(L47="","",IF('CST-Calculation'!$F47="Indg","",IF('CST-Calculation'!$F47="TEC Del","",IF('CST-Calculation'!K47&gt;0,'CST-Calculation'!K47,IF('CST-Calculation'!$F47=0,"",'CST-Calculation'!$F47)))))</f>
        <v/>
      </c>
      <c r="L47" s="714" t="str">
        <f>IF('CST-Calculation'!L47=0,"",'CST-Calculation'!L47)</f>
        <v/>
      </c>
      <c r="M47" s="714" t="str">
        <f>IF(K47="","",IF(L47="TEC Rejected","",IF(L47="","",ROUND(1.3224*Form!$D$10*L47,2))))</f>
        <v/>
      </c>
      <c r="N47" s="714" t="str">
        <f t="shared" si="1"/>
        <v/>
      </c>
      <c r="O47" s="89">
        <f>IF(P47="","",IF('CST-Calculation'!$F47="Indg","",IF('CST-Calculation'!$F47="TEC Del","",IF('CST-Calculation'!O47&gt;0,'CST-Calculation'!O47,IF('CST-Calculation'!$F47=0,"",'CST-Calculation'!$F47)))))</f>
        <v>8</v>
      </c>
      <c r="P47" s="714">
        <f>IF('CST-Calculation'!P47=0,"",'CST-Calculation'!P47)</f>
        <v>270</v>
      </c>
      <c r="Q47" s="714">
        <f>IF(O47="","",IF(P47="TEC Rejected","",IF(P47="","",ROUND(1.3224*Form!$D$10*P47,2))))</f>
        <v>29556.43</v>
      </c>
      <c r="R47" s="714">
        <f t="shared" si="2"/>
        <v>236451.44</v>
      </c>
      <c r="S47" s="89">
        <f>IF(T47="","",IF('CST-Calculation'!$F47="Indg","",IF('CST-Calculation'!$F47="TEC Del","",IF('CST-Calculation'!S47&gt;0,'CST-Calculation'!S47,IF('CST-Calculation'!$F47=0,"",'CST-Calculation'!$F47)))))</f>
        <v>8</v>
      </c>
      <c r="T47" s="714">
        <f>IF('CST-Calculation'!T47=0,"",'CST-Calculation'!T47)</f>
        <v>192</v>
      </c>
      <c r="U47" s="714">
        <f>IF(S47="","",IF(T47="TEC Rejected","",IF(T47="","",ROUND(1.3224*Form!$D$10*T47,2))))</f>
        <v>21017.91</v>
      </c>
      <c r="V47" s="714">
        <f t="shared" si="3"/>
        <v>168143.28</v>
      </c>
      <c r="W47" s="713" t="str">
        <f>IF(X47="","",IF('CST-Calculation'!$F47="Indg","",IF('CST-Calculation'!$F47="TEC Del","",IF('CST-Calculation'!W47&gt;0,'CST-Calculation'!W47,IF('CST-Calculation'!$F47=0,"",'CST-Calculation'!$F47)))))</f>
        <v/>
      </c>
      <c r="X47" s="714" t="str">
        <f>IF('CST-Calculation'!X47=0,"",'CST-Calculation'!X47)</f>
        <v/>
      </c>
      <c r="Y47" s="714" t="str">
        <f>IF(W47="","",IF(X47="TEC Rejected","",IF(X47="","",ROUND(1.3224*Form!$D$10*X47,2))))</f>
        <v/>
      </c>
      <c r="Z47" s="714" t="str">
        <f t="shared" si="12"/>
        <v/>
      </c>
      <c r="AA47" s="713">
        <f>IF(AB47="","",IF('CST-Calculation'!$F47="Indg","",IF('CST-Calculation'!$F47="TEC Del","",IF('CST-Calculation'!AA47&gt;0,'CST-Calculation'!AA47,IF('CST-Calculation'!$F47=0,"",'CST-Calculation'!$F47)))))</f>
        <v>8</v>
      </c>
      <c r="AB47" s="714">
        <f>IF('CST-Calculation'!AB47=0,"",'CST-Calculation'!AB47)</f>
        <v>2865</v>
      </c>
      <c r="AC47" s="714">
        <f t="shared" si="13"/>
        <v>3380.7</v>
      </c>
      <c r="AD47" s="714">
        <f t="shared" si="14"/>
        <v>27045.599999999999</v>
      </c>
      <c r="AE47" s="713" t="str">
        <f>IF(AF47="","",IF('CST-Calculation'!$F47="Indg","",IF('CST-Calculation'!$F47="TEC Del","",IF('CST-Calculation'!AE47&gt;0,'CST-Calculation'!AE47,IF('CST-Calculation'!$F47=0,"",'CST-Calculation'!$F47)))))</f>
        <v/>
      </c>
      <c r="AF47" s="714" t="str">
        <f>IF('CST-Calculation'!AF47=0,"",'CST-Calculation'!AF47)</f>
        <v/>
      </c>
      <c r="AG47" s="714" t="str">
        <f>IF(AE47="","",IF(AF47="TEC Rejected","",IF(AF47="","",ROUND(1.3224*Form!$D$10*AF47,2))))</f>
        <v/>
      </c>
      <c r="AH47" s="714" t="str">
        <f t="shared" si="15"/>
        <v/>
      </c>
      <c r="AI47" s="713">
        <f>IF(AJ47="","",IF('CST-Calculation'!$F47="Indg","",IF('CST-Calculation'!$F47="TEC Del","",IF('CST-Calculation'!AI47&gt;0,'CST-Calculation'!AI47,IF('CST-Calculation'!$F47=0,"",'CST-Calculation'!$F47)))))</f>
        <v>8</v>
      </c>
      <c r="AJ47" s="714">
        <f>IF('CST-Calculation'!AJ47=0,"",'CST-Calculation'!AJ47)</f>
        <v>3735</v>
      </c>
      <c r="AK47" s="714">
        <f t="shared" si="16"/>
        <v>4407.3</v>
      </c>
      <c r="AL47" s="714">
        <f t="shared" si="17"/>
        <v>35258.400000000001</v>
      </c>
      <c r="AM47" s="713" t="str">
        <f>IF(AN47="","",IF('CST-Calculation'!$F47="Indg","",IF('CST-Calculation'!$F47="TEC Del","",IF('CST-Calculation'!AM47&gt;0,'CST-Calculation'!AM47,IF('CST-Calculation'!$F47=0,"",'CST-Calculation'!$F47)))))</f>
        <v/>
      </c>
      <c r="AN47" s="714" t="str">
        <f>IF('CST-Calculation'!AN47=0,"",'CST-Calculation'!AN47)</f>
        <v/>
      </c>
      <c r="AO47" s="714" t="str">
        <f>IF(AM47="","",IF(AN47="TEC Rejected","",IF(AN47="","",ROUND(1.3224*Form!$D$10*AN47,2))))</f>
        <v/>
      </c>
      <c r="AP47" s="714" t="str">
        <f t="shared" si="18"/>
        <v/>
      </c>
      <c r="AQ47" s="713" t="str">
        <f>IF(AR47="","",IF('CST-Calculation'!$F47="Indg","",IF('CST-Calculation'!$F47="TEC Del","",IF('CST-Calculation'!AQ47&gt;0,'CST-Calculation'!AQ47,IF('CST-Calculation'!$F47=0,"",'CST-Calculation'!$F47)))))</f>
        <v/>
      </c>
      <c r="AR47" s="714" t="str">
        <f>IF('CST-Calculation'!AR47=0,"",'CST-Calculation'!AR47)</f>
        <v/>
      </c>
      <c r="AS47" s="714" t="str">
        <f>IF(AQ47="","",IF(AR47="TEC Rejected","",IF(AR47="","",ROUND(1.3224*Form!$D$10*AR47,2))))</f>
        <v/>
      </c>
      <c r="AT47" s="714" t="str">
        <f t="shared" si="19"/>
        <v/>
      </c>
      <c r="AU47" s="713" t="str">
        <f>IF(AV47="","",IF('CST-Calculation'!$F47="Indg","",IF('CST-Calculation'!$F47="TEC Del","",IF('CST-Calculation'!AU47&gt;0,'CST-Calculation'!AU47,IF('CST-Calculation'!$F47=0,"",'CST-Calculation'!$F47)))))</f>
        <v/>
      </c>
      <c r="AV47" s="714" t="str">
        <f>IF('CST-Calculation'!AV47=0,"",'CST-Calculation'!AV47)</f>
        <v/>
      </c>
      <c r="AW47" s="714" t="str">
        <f>IF(AU47="","",IF(AV47="TEC Rejected","",IF(AV47="","",ROUND(1.3224*Form!$D$10*AV47,2))))</f>
        <v/>
      </c>
      <c r="AX47" s="714" t="str">
        <f t="shared" si="20"/>
        <v/>
      </c>
      <c r="AY47" s="715" t="str">
        <f t="shared" si="21"/>
        <v>ADRYS</v>
      </c>
      <c r="AZ47" s="716" t="str">
        <f t="shared" si="22"/>
        <v>MULTIPLE</v>
      </c>
      <c r="BA47" s="716" t="str">
        <f t="shared" si="23"/>
        <v>&lt;= 20%</v>
      </c>
      <c r="BB47" s="716">
        <f>IF(AY47="EST",ROUND(BD47/1.18,2),IF(AY47="ADRYS",ROUND(BD47/1.18,2),ROUND(BD47/(1.3224*Form!$D$10),2)))</f>
        <v>2865</v>
      </c>
      <c r="BC47" s="784">
        <f>IF(OR(AY47="EST",AY47="ADRYS"),ROUND(BE47/1.18,2),ROUND(BE47/(1.3224*Form!$D$10),2))</f>
        <v>22920</v>
      </c>
      <c r="BD47" s="717">
        <f>IF(F47="Indg",0,IF(F47="TEC Del",0,IF(AND(IF(G47="",TRUE,G47&lt;=ROUNDUP(1.2*F47,0)),IF(K47="",TRUE,K47&lt;=ROUNDUP(1.2*F47,0)),IF(O47="",TRUE,O47&lt;=ROUNDUP(1.2*F47,0)),IF(S47="",TRUE,S47&lt;=ROUNDUP(1.2*F47,0)),IF(W47="",TRUE,W47&lt;=ROUNDUP(1.2*F47,0)),IF(AA47="",TRUE,AA47&lt;=ROUNDUP(1.2*F47,0)),IF(AE47="",TRUE,AE47&lt;=ROUNDUP(1.2*F47,0)),IF(AI47="",TRUE,AI47&lt;=ROUNDUP(1.2*F47,0)),IF(AM47="",TRUE,AM47&lt;=ROUNDUP(1.2*F47,0)),IF(AQ47="",TRUE,AQ47&lt;=ROUNDUP(1.2*F47,0)),IF(AU47="",TRUE,AU47&lt;=ROUNDUP(1.2*F47,0))),IF(F47=0,0,(IF(SUM(I47,M47,Q47,U47,Y47,AC47,AG47,AK47,AO47,AS47,AW47)=0,0,SMALL((I47,M47,Q47,U47,Y47,AC47,AG47,AK47,AO47,AS47,AW47),COUNTIF((I47:AW47),0)+1)))),IF(BE47=J47,I47,IF(BE47=N47,M47,IF(BE47=R47,Q47,IF(BE47=V47,U47,IF(BE47=Z47,Y47,IF(BE47=AD47,AC47,IF(BE47=AH47,AG47,IF(BE47=AL47,AK47,IF(BE47=AP47,AO47,IF(BE47=AT47,AS47,IF(BE47=AX47,AW47))))))))))))))</f>
        <v>3380.7</v>
      </c>
      <c r="BE47" s="714">
        <f>IF(F47="Indg",0,IF(F47="TEC Del",0,IF(AND(IF(G47="",TRUE,G47&lt;=ROUNDUP(1.2*F47,0)),IF(K47="",TRUE,K47&lt;=ROUNDUP(1.2*F47,0)),IF(O47="",TRUE,O47&lt;=ROUNDUP(1.2*F47,0)),IF(S47="",TRUE,S47&lt;=ROUNDUP(1.2*F47,0)),IF(W47="",TRUE,W47&lt;=ROUNDUP(1.2*F47,0)),IF(AA47="",TRUE,AA47&lt;=ROUNDUP(1.2*F47,0)),IF(AE47="",TRUE,AE47&lt;=ROUNDUP(1.2*F47,0)),IF(AI47="",TRUE,AI47&lt;=ROUNDUP(1.2*F47,0)),IF(AM47="",TRUE,AM47&lt;=ROUNDUP(1.2*F47,0)),IF(AQ47="",TRUE,AQ47&lt;=ROUNDUP(1.2*F47,0)),IF(AU47="",TRUE,AU47&lt;=ROUNDUP(1.2*F47,0))),ROUND(BD47*IF(BD47=I47,G47,IF(BD47=M47,K47,IF(BD47=Q47,O47,IF(BD47=U47,S47,IF(BD47=Y47,W47,IF(BD47=AC47,AA47,IF(BD47=AG47,AE47,IF(BD47=AK47,AI47,IF(BD47=AO47,AM47,IF(BD47=AS47,AQ47,IF(BD47=AW47,AU47))))))))))),2),(IF(SUM(J47,N47,R47,V47,Z47,AD47,AH47,AL47,AP47,AT47,AX47)=0,0,SMALL((J47,N47,R47,V47,Z47,AD47,AH47,AL47,AP47,AT47,AX47),COUNTIF((J47:AX47),0)+1))))))</f>
        <v>27045.599999999999</v>
      </c>
      <c r="BF47" s="714">
        <f>IF('Annexure-I'!L44="",'Annexure-I'!F44,'Annexure-I'!L44)</f>
        <v>240.88</v>
      </c>
      <c r="BG47" s="714" t="str">
        <f>IF('Annexure-I'!M44="",'Annexure-I'!G44,'Annexure-I'!M44)</f>
        <v>CONTRACT-A43</v>
      </c>
      <c r="BH47" s="764">
        <f>IF('Annexure-I'!N44="",'Annexure-I'!H44,'Annexure-I'!N44)</f>
        <v>40967</v>
      </c>
      <c r="BI47" s="717">
        <f>IF('Annexure-I'!P44="",'Annexure-I'!J44,'Annexure-I'!P44)</f>
        <v>441.31</v>
      </c>
      <c r="BJ47" s="717">
        <f>IF('Annexure-I'!Q44="",'Annexure-I'!K44,'Annexure-I'!Q44)</f>
        <v>48309.443116319999</v>
      </c>
      <c r="BK47" s="714">
        <f>'Annexure-I'!F44</f>
        <v>240.88</v>
      </c>
      <c r="BL47" s="718" t="str">
        <f>'Annexure-I'!G44</f>
        <v>CONTRACT-A43</v>
      </c>
      <c r="BM47" s="764">
        <f>IF('Annexure-I'!H44=0,"",'Annexure-I'!H44)</f>
        <v>40967</v>
      </c>
      <c r="BN47" s="717">
        <f>'Annexure-I'!J44</f>
        <v>441.31</v>
      </c>
      <c r="BO47" s="717">
        <f>'Annexure-I'!K44</f>
        <v>48309.443116319999</v>
      </c>
      <c r="BP47" s="714">
        <f>IF(OR(AY47="EST",AY47="ADRYS"),ROUND((BC47*1.18)/(1.3224*Form!$D$10),2),BC47)</f>
        <v>247.06</v>
      </c>
      <c r="BQ47" s="714">
        <f>ROUND(BS47/(1.3224*Form!$D$10),2)</f>
        <v>3530.48</v>
      </c>
      <c r="BR47" s="714">
        <f t="shared" si="24"/>
        <v>27045.599999999999</v>
      </c>
      <c r="BS47" s="714">
        <f t="shared" si="25"/>
        <v>386475.54</v>
      </c>
      <c r="BT47" s="719">
        <f t="shared" si="26"/>
        <v>-0.93001989207389435</v>
      </c>
      <c r="BU47" s="714"/>
      <c r="BV47" s="714">
        <f t="shared" si="8"/>
        <v>0</v>
      </c>
      <c r="BW47" s="714">
        <f>IF(OR(AY47="EST",AY47="ADRYS"),ROUND(1.18*BU47,2),ROUND(BU47*1.3224*Form!$D$10,2))</f>
        <v>0</v>
      </c>
      <c r="BX47" s="714">
        <f t="shared" si="9"/>
        <v>0</v>
      </c>
      <c r="BY47" s="719">
        <f t="shared" si="10"/>
        <v>0</v>
      </c>
      <c r="BZ47" s="714">
        <f t="shared" si="11"/>
        <v>386475.54</v>
      </c>
      <c r="CA47" s="720"/>
      <c r="CB47" s="720"/>
      <c r="CC47" s="4"/>
      <c r="CD47" s="4"/>
      <c r="CE47" s="4"/>
      <c r="CF47" s="4"/>
      <c r="CG47" s="4"/>
      <c r="CH47" s="4"/>
      <c r="CI47" s="721"/>
    </row>
    <row r="48" spans="1:89" s="579" customFormat="1" ht="45" x14ac:dyDescent="0.25">
      <c r="A48" s="712">
        <f>SUBTOTAL(2,$B$5:B48)</f>
        <v>44</v>
      </c>
      <c r="B48" s="754">
        <v>44</v>
      </c>
      <c r="C48" s="756" t="s">
        <v>712</v>
      </c>
      <c r="D48" s="755" t="s">
        <v>603</v>
      </c>
      <c r="E48" s="754">
        <v>5</v>
      </c>
      <c r="F48" s="658">
        <f>'Annexure-I'!E45</f>
        <v>5</v>
      </c>
      <c r="G48" s="784" t="str">
        <f>IF('CST-Calculation'!G48=0,"",'CST-Calculation'!G48)</f>
        <v/>
      </c>
      <c r="H48" s="784" t="str">
        <f>IF('CST-Calculation'!H48=0,"",'CST-Calculation'!H48)</f>
        <v/>
      </c>
      <c r="I48" s="714" t="str">
        <f>IF(G48="","",IF(H48="TEC Rejected","",IF(H48="","",ROUND(1.3224*Form!$D$10*H48,2))))</f>
        <v/>
      </c>
      <c r="J48" s="714" t="str">
        <f t="shared" si="0"/>
        <v/>
      </c>
      <c r="K48" s="713" t="str">
        <f>IF(L48="","",IF('CST-Calculation'!$F48="Indg","",IF('CST-Calculation'!$F48="TEC Del","",IF('CST-Calculation'!K48&gt;0,'CST-Calculation'!K48,IF('CST-Calculation'!$F48=0,"",'CST-Calculation'!$F48)))))</f>
        <v/>
      </c>
      <c r="L48" s="714" t="str">
        <f>IF('CST-Calculation'!L48=0,"",'CST-Calculation'!L48)</f>
        <v/>
      </c>
      <c r="M48" s="714" t="str">
        <f>IF(K48="","",IF(L48="TEC Rejected","",IF(L48="","",ROUND(1.3224*Form!$D$10*L48,2))))</f>
        <v/>
      </c>
      <c r="N48" s="714" t="str">
        <f t="shared" si="1"/>
        <v/>
      </c>
      <c r="O48" s="89">
        <f>IF(P48="","",IF('CST-Calculation'!$F48="Indg","",IF('CST-Calculation'!$F48="TEC Del","",IF('CST-Calculation'!O48&gt;0,'CST-Calculation'!O48,IF('CST-Calculation'!$F48=0,"",'CST-Calculation'!$F48)))))</f>
        <v>5</v>
      </c>
      <c r="P48" s="714">
        <f>IF('CST-Calculation'!P48=0,"",'CST-Calculation'!P48)</f>
        <v>45</v>
      </c>
      <c r="Q48" s="714">
        <f>IF(O48="","",IF(P48="TEC Rejected","",IF(P48="","",ROUND(1.3224*Form!$D$10*P48,2))))</f>
        <v>4926.07</v>
      </c>
      <c r="R48" s="714">
        <f t="shared" si="2"/>
        <v>24630.35</v>
      </c>
      <c r="S48" s="89">
        <f>IF(T48="","",IF('CST-Calculation'!$F48="Indg","",IF('CST-Calculation'!$F48="TEC Del","",IF('CST-Calculation'!S48&gt;0,'CST-Calculation'!S48,IF('CST-Calculation'!$F48=0,"",'CST-Calculation'!$F48)))))</f>
        <v>5</v>
      </c>
      <c r="T48" s="714">
        <f>IF('CST-Calculation'!T48=0,"",'CST-Calculation'!T48)</f>
        <v>25.2</v>
      </c>
      <c r="U48" s="714">
        <f>IF(S48="","",IF(T48="TEC Rejected","",IF(T48="","",ROUND(1.3224*Form!$D$10*T48,2))))</f>
        <v>2758.6</v>
      </c>
      <c r="V48" s="714">
        <f t="shared" si="3"/>
        <v>13793</v>
      </c>
      <c r="W48" s="713" t="str">
        <f>IF(X48="","",IF('CST-Calculation'!$F48="Indg","",IF('CST-Calculation'!$F48="TEC Del","",IF('CST-Calculation'!W48&gt;0,'CST-Calculation'!W48,IF('CST-Calculation'!$F48=0,"",'CST-Calculation'!$F48)))))</f>
        <v/>
      </c>
      <c r="X48" s="714" t="str">
        <f>IF('CST-Calculation'!X48=0,"",'CST-Calculation'!X48)</f>
        <v/>
      </c>
      <c r="Y48" s="714" t="str">
        <f>IF(W48="","",IF(X48="TEC Rejected","",IF(X48="","",ROUND(1.3224*Form!$D$10*X48,2))))</f>
        <v/>
      </c>
      <c r="Z48" s="714" t="str">
        <f t="shared" si="12"/>
        <v/>
      </c>
      <c r="AA48" s="713">
        <f>IF(AB48="","",IF('CST-Calculation'!$F48="Indg","",IF('CST-Calculation'!$F48="TEC Del","",IF('CST-Calculation'!AA48&gt;0,'CST-Calculation'!AA48,IF('CST-Calculation'!$F48=0,"",'CST-Calculation'!$F48)))))</f>
        <v>5</v>
      </c>
      <c r="AB48" s="714">
        <f>IF('CST-Calculation'!AB48=0,"",'CST-Calculation'!AB48)</f>
        <v>315</v>
      </c>
      <c r="AC48" s="714">
        <f t="shared" si="13"/>
        <v>371.7</v>
      </c>
      <c r="AD48" s="714">
        <f t="shared" si="14"/>
        <v>1858.5</v>
      </c>
      <c r="AE48" s="713" t="str">
        <f>IF(AF48="","",IF('CST-Calculation'!$F48="Indg","",IF('CST-Calculation'!$F48="TEC Del","",IF('CST-Calculation'!AE48&gt;0,'CST-Calculation'!AE48,IF('CST-Calculation'!$F48=0,"",'CST-Calculation'!$F48)))))</f>
        <v/>
      </c>
      <c r="AF48" s="714" t="str">
        <f>IF('CST-Calculation'!AF48=0,"",'CST-Calculation'!AF48)</f>
        <v/>
      </c>
      <c r="AG48" s="714" t="str">
        <f>IF(AE48="","",IF(AF48="TEC Rejected","",IF(AF48="","",ROUND(1.3224*Form!$D$10*AF48,2))))</f>
        <v/>
      </c>
      <c r="AH48" s="714" t="str">
        <f t="shared" si="15"/>
        <v/>
      </c>
      <c r="AI48" s="713" t="str">
        <f>IF(AJ48="","",IF('CST-Calculation'!$F48="Indg","",IF('CST-Calculation'!$F48="TEC Del","",IF('CST-Calculation'!AI48&gt;0,'CST-Calculation'!AI48,IF('CST-Calculation'!$F48=0,"",'CST-Calculation'!$F48)))))</f>
        <v/>
      </c>
      <c r="AJ48" s="714" t="str">
        <f>IF('CST-Calculation'!AJ48=0,"",'CST-Calculation'!AJ48)</f>
        <v/>
      </c>
      <c r="AK48" s="714" t="str">
        <f t="shared" si="16"/>
        <v/>
      </c>
      <c r="AL48" s="714" t="str">
        <f t="shared" si="17"/>
        <v/>
      </c>
      <c r="AM48" s="713" t="str">
        <f>IF(AN48="","",IF('CST-Calculation'!$F48="Indg","",IF('CST-Calculation'!$F48="TEC Del","",IF('CST-Calculation'!AM48&gt;0,'CST-Calculation'!AM48,IF('CST-Calculation'!$F48=0,"",'CST-Calculation'!$F48)))))</f>
        <v/>
      </c>
      <c r="AN48" s="714" t="str">
        <f>IF('CST-Calculation'!AN48=0,"",'CST-Calculation'!AN48)</f>
        <v/>
      </c>
      <c r="AO48" s="714" t="str">
        <f>IF(AM48="","",IF(AN48="TEC Rejected","",IF(AN48="","",ROUND(1.3224*Form!$D$10*AN48,2))))</f>
        <v/>
      </c>
      <c r="AP48" s="714" t="str">
        <f t="shared" si="18"/>
        <v/>
      </c>
      <c r="AQ48" s="713" t="str">
        <f>IF(AR48="","",IF('CST-Calculation'!$F48="Indg","",IF('CST-Calculation'!$F48="TEC Del","",IF('CST-Calculation'!AQ48&gt;0,'CST-Calculation'!AQ48,IF('CST-Calculation'!$F48=0,"",'CST-Calculation'!$F48)))))</f>
        <v/>
      </c>
      <c r="AR48" s="714" t="str">
        <f>IF('CST-Calculation'!AR48=0,"",'CST-Calculation'!AR48)</f>
        <v/>
      </c>
      <c r="AS48" s="714" t="str">
        <f>IF(AQ48="","",IF(AR48="TEC Rejected","",IF(AR48="","",ROUND(1.3224*Form!$D$10*AR48,2))))</f>
        <v/>
      </c>
      <c r="AT48" s="714" t="str">
        <f t="shared" si="19"/>
        <v/>
      </c>
      <c r="AU48" s="713" t="str">
        <f>IF(AV48="","",IF('CST-Calculation'!$F48="Indg","",IF('CST-Calculation'!$F48="TEC Del","",IF('CST-Calculation'!AU48&gt;0,'CST-Calculation'!AU48,IF('CST-Calculation'!$F48=0,"",'CST-Calculation'!$F48)))))</f>
        <v/>
      </c>
      <c r="AV48" s="714" t="str">
        <f>IF('CST-Calculation'!AV48=0,"",'CST-Calculation'!AV48)</f>
        <v/>
      </c>
      <c r="AW48" s="714" t="str">
        <f>IF(AU48="","",IF(AV48="TEC Rejected","",IF(AV48="","",ROUND(1.3224*Form!$D$10*AV48,2))))</f>
        <v/>
      </c>
      <c r="AX48" s="714" t="str">
        <f t="shared" si="20"/>
        <v/>
      </c>
      <c r="AY48" s="715" t="str">
        <f t="shared" si="21"/>
        <v>ADRYS</v>
      </c>
      <c r="AZ48" s="716" t="str">
        <f t="shared" si="22"/>
        <v>MULTIPLE</v>
      </c>
      <c r="BA48" s="716" t="str">
        <f t="shared" si="23"/>
        <v>&lt;= 20%</v>
      </c>
      <c r="BB48" s="716">
        <f>IF(AY48="EST",ROUND(BD48/1.18,2),IF(AY48="ADRYS",ROUND(BD48/1.18,2),ROUND(BD48/(1.3224*Form!$D$10),2)))</f>
        <v>315</v>
      </c>
      <c r="BC48" s="784">
        <f>IF(OR(AY48="EST",AY48="ADRYS"),ROUND(BE48/1.18,2),ROUND(BE48/(1.3224*Form!$D$10),2))</f>
        <v>1575</v>
      </c>
      <c r="BD48" s="717">
        <f>IF(F48="Indg",0,IF(F48="TEC Del",0,IF(AND(IF(G48="",TRUE,G48&lt;=ROUNDUP(1.2*F48,0)),IF(K48="",TRUE,K48&lt;=ROUNDUP(1.2*F48,0)),IF(O48="",TRUE,O48&lt;=ROUNDUP(1.2*F48,0)),IF(S48="",TRUE,S48&lt;=ROUNDUP(1.2*F48,0)),IF(W48="",TRUE,W48&lt;=ROUNDUP(1.2*F48,0)),IF(AA48="",TRUE,AA48&lt;=ROUNDUP(1.2*F48,0)),IF(AE48="",TRUE,AE48&lt;=ROUNDUP(1.2*F48,0)),IF(AI48="",TRUE,AI48&lt;=ROUNDUP(1.2*F48,0)),IF(AM48="",TRUE,AM48&lt;=ROUNDUP(1.2*F48,0)),IF(AQ48="",TRUE,AQ48&lt;=ROUNDUP(1.2*F48,0)),IF(AU48="",TRUE,AU48&lt;=ROUNDUP(1.2*F48,0))),IF(F48=0,0,(IF(SUM(I48,M48,Q48,U48,Y48,AC48,AG48,AK48,AO48,AS48,AW48)=0,0,SMALL((I48,M48,Q48,U48,Y48,AC48,AG48,AK48,AO48,AS48,AW48),COUNTIF((I48:AW48),0)+1)))),IF(BE48=J48,I48,IF(BE48=N48,M48,IF(BE48=R48,Q48,IF(BE48=V48,U48,IF(BE48=Z48,Y48,IF(BE48=AD48,AC48,IF(BE48=AH48,AG48,IF(BE48=AL48,AK48,IF(BE48=AP48,AO48,IF(BE48=AT48,AS48,IF(BE48=AX48,AW48))))))))))))))</f>
        <v>371.7</v>
      </c>
      <c r="BE48" s="714">
        <f>IF(F48="Indg",0,IF(F48="TEC Del",0,IF(AND(IF(G48="",TRUE,G48&lt;=ROUNDUP(1.2*F48,0)),IF(K48="",TRUE,K48&lt;=ROUNDUP(1.2*F48,0)),IF(O48="",TRUE,O48&lt;=ROUNDUP(1.2*F48,0)),IF(S48="",TRUE,S48&lt;=ROUNDUP(1.2*F48,0)),IF(W48="",TRUE,W48&lt;=ROUNDUP(1.2*F48,0)),IF(AA48="",TRUE,AA48&lt;=ROUNDUP(1.2*F48,0)),IF(AE48="",TRUE,AE48&lt;=ROUNDUP(1.2*F48,0)),IF(AI48="",TRUE,AI48&lt;=ROUNDUP(1.2*F48,0)),IF(AM48="",TRUE,AM48&lt;=ROUNDUP(1.2*F48,0)),IF(AQ48="",TRUE,AQ48&lt;=ROUNDUP(1.2*F48,0)),IF(AU48="",TRUE,AU48&lt;=ROUNDUP(1.2*F48,0))),ROUND(BD48*IF(BD48=I48,G48,IF(BD48=M48,K48,IF(BD48=Q48,O48,IF(BD48=U48,S48,IF(BD48=Y48,W48,IF(BD48=AC48,AA48,IF(BD48=AG48,AE48,IF(BD48=AK48,AI48,IF(BD48=AO48,AM48,IF(BD48=AS48,AQ48,IF(BD48=AW48,AU48))))))))))),2),(IF(SUM(J48,N48,R48,V48,Z48,AD48,AH48,AL48,AP48,AT48,AX48)=0,0,SMALL((J48,N48,R48,V48,Z48,AD48,AH48,AL48,AP48,AT48,AX48),COUNTIF((J48:AX48),0)+1))))))</f>
        <v>1858.5</v>
      </c>
      <c r="BF48" s="714">
        <f>IF('Annexure-I'!L45="",'Annexure-I'!F45,'Annexure-I'!L45)</f>
        <v>217.1</v>
      </c>
      <c r="BG48" s="714" t="str">
        <f>IF('Annexure-I'!M45="",'Annexure-I'!G45,'Annexure-I'!M45)</f>
        <v>CONTRACT-A44</v>
      </c>
      <c r="BH48" s="764">
        <f>IF('Annexure-I'!N45="",'Annexure-I'!H45,'Annexure-I'!N45)</f>
        <v>41789</v>
      </c>
      <c r="BI48" s="717">
        <f>IF('Annexure-I'!P45="",'Annexure-I'!J45,'Annexure-I'!P45)</f>
        <v>357.36</v>
      </c>
      <c r="BJ48" s="717">
        <f>IF('Annexure-I'!Q45="",'Annexure-I'!K45,'Annexure-I'!Q45)</f>
        <v>39119.581681920004</v>
      </c>
      <c r="BK48" s="714">
        <f>'Annexure-I'!F45</f>
        <v>217.1</v>
      </c>
      <c r="BL48" s="718" t="str">
        <f>'Annexure-I'!G45</f>
        <v>CONTRACT-A44</v>
      </c>
      <c r="BM48" s="764">
        <f>IF('Annexure-I'!H45=0,"",'Annexure-I'!H45)</f>
        <v>41789</v>
      </c>
      <c r="BN48" s="717">
        <f>'Annexure-I'!J45</f>
        <v>357.36</v>
      </c>
      <c r="BO48" s="717">
        <f>'Annexure-I'!K45</f>
        <v>39119.581681920004</v>
      </c>
      <c r="BP48" s="714">
        <f>IF(OR(AY48="EST",AY48="ADRYS"),ROUND((BC48*1.18)/(1.3224*Form!$D$10),2),BC48)</f>
        <v>16.98</v>
      </c>
      <c r="BQ48" s="714">
        <f>ROUND(BS48/(1.3224*Form!$D$10),2)</f>
        <v>1786.8</v>
      </c>
      <c r="BR48" s="714">
        <f t="shared" si="24"/>
        <v>1858.5</v>
      </c>
      <c r="BS48" s="714">
        <f t="shared" si="25"/>
        <v>195597.91</v>
      </c>
      <c r="BT48" s="719">
        <f t="shared" si="26"/>
        <v>-0.9904983647320158</v>
      </c>
      <c r="BU48" s="714"/>
      <c r="BV48" s="714">
        <f t="shared" si="8"/>
        <v>0</v>
      </c>
      <c r="BW48" s="714">
        <f>IF(OR(AY48="EST",AY48="ADRYS"),ROUND(1.18*BU48,2),ROUND(BU48*1.3224*Form!$D$10,2))</f>
        <v>0</v>
      </c>
      <c r="BX48" s="714">
        <f t="shared" si="9"/>
        <v>0</v>
      </c>
      <c r="BY48" s="719">
        <f t="shared" si="10"/>
        <v>0</v>
      </c>
      <c r="BZ48" s="714">
        <f t="shared" si="11"/>
        <v>195597.91</v>
      </c>
      <c r="CA48" s="720"/>
      <c r="CB48" s="720"/>
      <c r="CC48" s="4"/>
      <c r="CD48" s="4"/>
      <c r="CE48" s="4"/>
      <c r="CF48" s="4"/>
      <c r="CG48" s="4"/>
      <c r="CH48" s="4"/>
      <c r="CI48" s="721"/>
    </row>
    <row r="49" spans="1:96" s="579" customFormat="1" ht="45" x14ac:dyDescent="0.25">
      <c r="A49" s="712">
        <f>SUBTOTAL(2,$B$5:B49)</f>
        <v>45</v>
      </c>
      <c r="B49" s="754">
        <v>45</v>
      </c>
      <c r="C49" s="755" t="s">
        <v>713</v>
      </c>
      <c r="D49" s="755" t="s">
        <v>604</v>
      </c>
      <c r="E49" s="754">
        <v>10</v>
      </c>
      <c r="F49" s="658">
        <f>'Annexure-I'!E46</f>
        <v>10</v>
      </c>
      <c r="G49" s="784" t="str">
        <f>IF('CST-Calculation'!G49=0,"",'CST-Calculation'!G49)</f>
        <v/>
      </c>
      <c r="H49" s="784" t="str">
        <f>IF('CST-Calculation'!H49=0,"",'CST-Calculation'!H49)</f>
        <v/>
      </c>
      <c r="I49" s="714" t="str">
        <f>IF(G49="","",IF(H49="TEC Rejected","",IF(H49="","",ROUND(1.3224*Form!$D$10*H49,2))))</f>
        <v/>
      </c>
      <c r="J49" s="714" t="str">
        <f t="shared" si="0"/>
        <v/>
      </c>
      <c r="K49" s="713" t="str">
        <f>IF(L49="","",IF('CST-Calculation'!$F49="Indg","",IF('CST-Calculation'!$F49="TEC Del","",IF('CST-Calculation'!K49&gt;0,'CST-Calculation'!K49,IF('CST-Calculation'!$F49=0,"",'CST-Calculation'!$F49)))))</f>
        <v/>
      </c>
      <c r="L49" s="714" t="str">
        <f>IF('CST-Calculation'!L49=0,"",'CST-Calculation'!L49)</f>
        <v/>
      </c>
      <c r="M49" s="714" t="str">
        <f>IF(K49="","",IF(L49="TEC Rejected","",IF(L49="","",ROUND(1.3224*Form!$D$10*L49,2))))</f>
        <v/>
      </c>
      <c r="N49" s="714" t="str">
        <f t="shared" si="1"/>
        <v/>
      </c>
      <c r="O49" s="89">
        <f>IF(P49="","",IF('CST-Calculation'!$F49="Indg","",IF('CST-Calculation'!$F49="TEC Del","",IF('CST-Calculation'!O49&gt;0,'CST-Calculation'!O49,IF('CST-Calculation'!$F49=0,"",'CST-Calculation'!$F49)))))</f>
        <v>10</v>
      </c>
      <c r="P49" s="714">
        <f>IF('CST-Calculation'!P49=0,"",'CST-Calculation'!P49)</f>
        <v>60</v>
      </c>
      <c r="Q49" s="714">
        <f>IF(O49="","",IF(P49="TEC Rejected","",IF(P49="","",ROUND(1.3224*Form!$D$10*P49,2))))</f>
        <v>6568.1</v>
      </c>
      <c r="R49" s="714">
        <f t="shared" si="2"/>
        <v>65681</v>
      </c>
      <c r="S49" s="89">
        <f>IF(T49="","",IF('CST-Calculation'!$F49="Indg","",IF('CST-Calculation'!$F49="TEC Del","",IF('CST-Calculation'!S49&gt;0,'CST-Calculation'!S49,IF('CST-Calculation'!$F49=0,"",'CST-Calculation'!$F49)))))</f>
        <v>10</v>
      </c>
      <c r="T49" s="714">
        <f>IF('CST-Calculation'!T49=0,"",'CST-Calculation'!T49)</f>
        <v>25.3</v>
      </c>
      <c r="U49" s="714">
        <f>IF(S49="","",IF(T49="TEC Rejected","",IF(T49="","",ROUND(1.3224*Form!$D$10*T49,2))))</f>
        <v>2769.55</v>
      </c>
      <c r="V49" s="714">
        <f t="shared" si="3"/>
        <v>27695.5</v>
      </c>
      <c r="W49" s="713" t="str">
        <f>IF(X49="","",IF('CST-Calculation'!$F49="Indg","",IF('CST-Calculation'!$F49="TEC Del","",IF('CST-Calculation'!W49&gt;0,'CST-Calculation'!W49,IF('CST-Calculation'!$F49=0,"",'CST-Calculation'!$F49)))))</f>
        <v/>
      </c>
      <c r="X49" s="714" t="str">
        <f>IF('CST-Calculation'!X49=0,"",'CST-Calculation'!X49)</f>
        <v/>
      </c>
      <c r="Y49" s="714" t="str">
        <f>IF(W49="","",IF(X49="TEC Rejected","",IF(X49="","",ROUND(1.3224*Form!$D$10*X49,2))))</f>
        <v/>
      </c>
      <c r="Z49" s="714" t="str">
        <f t="shared" si="12"/>
        <v/>
      </c>
      <c r="AA49" s="713">
        <f>IF(AB49="","",IF('CST-Calculation'!$F49="Indg","",IF('CST-Calculation'!$F49="TEC Del","",IF('CST-Calculation'!AA49&gt;0,'CST-Calculation'!AA49,IF('CST-Calculation'!$F49=0,"",'CST-Calculation'!$F49)))))</f>
        <v>10</v>
      </c>
      <c r="AB49" s="714">
        <f>IF('CST-Calculation'!AB49=0,"",'CST-Calculation'!AB49)</f>
        <v>615</v>
      </c>
      <c r="AC49" s="714">
        <f t="shared" si="13"/>
        <v>725.7</v>
      </c>
      <c r="AD49" s="714">
        <f t="shared" si="14"/>
        <v>7257</v>
      </c>
      <c r="AE49" s="713" t="str">
        <f>IF(AF49="","",IF('CST-Calculation'!$F49="Indg","",IF('CST-Calculation'!$F49="TEC Del","",IF('CST-Calculation'!AE49&gt;0,'CST-Calculation'!AE49,IF('CST-Calculation'!$F49=0,"",'CST-Calculation'!$F49)))))</f>
        <v/>
      </c>
      <c r="AF49" s="714" t="str">
        <f>IF('CST-Calculation'!AF49=0,"",'CST-Calculation'!AF49)</f>
        <v/>
      </c>
      <c r="AG49" s="714" t="str">
        <f>IF(AE49="","",IF(AF49="TEC Rejected","",IF(AF49="","",ROUND(1.3224*Form!$D$10*AF49,2))))</f>
        <v/>
      </c>
      <c r="AH49" s="714" t="str">
        <f t="shared" si="15"/>
        <v/>
      </c>
      <c r="AI49" s="713" t="str">
        <f>IF(AJ49="","",IF('CST-Calculation'!$F49="Indg","",IF('CST-Calculation'!$F49="TEC Del","",IF('CST-Calculation'!AI49&gt;0,'CST-Calculation'!AI49,IF('CST-Calculation'!$F49=0,"",'CST-Calculation'!$F49)))))</f>
        <v/>
      </c>
      <c r="AJ49" s="714" t="str">
        <f>IF('CST-Calculation'!AJ49=0,"",'CST-Calculation'!AJ49)</f>
        <v/>
      </c>
      <c r="AK49" s="714" t="str">
        <f t="shared" si="16"/>
        <v/>
      </c>
      <c r="AL49" s="714" t="str">
        <f t="shared" si="17"/>
        <v/>
      </c>
      <c r="AM49" s="713" t="str">
        <f>IF(AN49="","",IF('CST-Calculation'!$F49="Indg","",IF('CST-Calculation'!$F49="TEC Del","",IF('CST-Calculation'!AM49&gt;0,'CST-Calculation'!AM49,IF('CST-Calculation'!$F49=0,"",'CST-Calculation'!$F49)))))</f>
        <v/>
      </c>
      <c r="AN49" s="714" t="str">
        <f>IF('CST-Calculation'!AN49=0,"",'CST-Calculation'!AN49)</f>
        <v/>
      </c>
      <c r="AO49" s="714" t="str">
        <f>IF(AM49="","",IF(AN49="TEC Rejected","",IF(AN49="","",ROUND(1.3224*Form!$D$10*AN49,2))))</f>
        <v/>
      </c>
      <c r="AP49" s="714" t="str">
        <f t="shared" si="18"/>
        <v/>
      </c>
      <c r="AQ49" s="713" t="str">
        <f>IF(AR49="","",IF('CST-Calculation'!$F49="Indg","",IF('CST-Calculation'!$F49="TEC Del","",IF('CST-Calculation'!AQ49&gt;0,'CST-Calculation'!AQ49,IF('CST-Calculation'!$F49=0,"",'CST-Calculation'!$F49)))))</f>
        <v/>
      </c>
      <c r="AR49" s="714" t="str">
        <f>IF('CST-Calculation'!AR49=0,"",'CST-Calculation'!AR49)</f>
        <v/>
      </c>
      <c r="AS49" s="714" t="str">
        <f>IF(AQ49="","",IF(AR49="TEC Rejected","",IF(AR49="","",ROUND(1.3224*Form!$D$10*AR49,2))))</f>
        <v/>
      </c>
      <c r="AT49" s="714" t="str">
        <f t="shared" si="19"/>
        <v/>
      </c>
      <c r="AU49" s="713" t="str">
        <f>IF(AV49="","",IF('CST-Calculation'!$F49="Indg","",IF('CST-Calculation'!$F49="TEC Del","",IF('CST-Calculation'!AU49&gt;0,'CST-Calculation'!AU49,IF('CST-Calculation'!$F49=0,"",'CST-Calculation'!$F49)))))</f>
        <v/>
      </c>
      <c r="AV49" s="714" t="str">
        <f>IF('CST-Calculation'!AV49=0,"",'CST-Calculation'!AV49)</f>
        <v/>
      </c>
      <c r="AW49" s="714" t="str">
        <f>IF(AU49="","",IF(AV49="TEC Rejected","",IF(AV49="","",ROUND(1.3224*Form!$D$10*AV49,2))))</f>
        <v/>
      </c>
      <c r="AX49" s="714" t="str">
        <f t="shared" si="20"/>
        <v/>
      </c>
      <c r="AY49" s="715" t="str">
        <f t="shared" si="21"/>
        <v>ADRYS</v>
      </c>
      <c r="AZ49" s="716" t="str">
        <f t="shared" si="22"/>
        <v>MULTIPLE</v>
      </c>
      <c r="BA49" s="716" t="str">
        <f t="shared" si="23"/>
        <v>&lt;= 20%</v>
      </c>
      <c r="BB49" s="716">
        <f>IF(AY49="EST",ROUND(BD49/1.18,2),IF(AY49="ADRYS",ROUND(BD49/1.18,2),ROUND(BD49/(1.3224*Form!$D$10),2)))</f>
        <v>615</v>
      </c>
      <c r="BC49" s="784">
        <f>IF(OR(AY49="EST",AY49="ADRYS"),ROUND(BE49/1.18,2),ROUND(BE49/(1.3224*Form!$D$10),2))</f>
        <v>6150</v>
      </c>
      <c r="BD49" s="717">
        <f>IF(F49="Indg",0,IF(F49="TEC Del",0,IF(AND(IF(G49="",TRUE,G49&lt;=ROUNDUP(1.2*F49,0)),IF(K49="",TRUE,K49&lt;=ROUNDUP(1.2*F49,0)),IF(O49="",TRUE,O49&lt;=ROUNDUP(1.2*F49,0)),IF(S49="",TRUE,S49&lt;=ROUNDUP(1.2*F49,0)),IF(W49="",TRUE,W49&lt;=ROUNDUP(1.2*F49,0)),IF(AA49="",TRUE,AA49&lt;=ROUNDUP(1.2*F49,0)),IF(AE49="",TRUE,AE49&lt;=ROUNDUP(1.2*F49,0)),IF(AI49="",TRUE,AI49&lt;=ROUNDUP(1.2*F49,0)),IF(AM49="",TRUE,AM49&lt;=ROUNDUP(1.2*F49,0)),IF(AQ49="",TRUE,AQ49&lt;=ROUNDUP(1.2*F49,0)),IF(AU49="",TRUE,AU49&lt;=ROUNDUP(1.2*F49,0))),IF(F49=0,0,(IF(SUM(I49,M49,Q49,U49,Y49,AC49,AG49,AK49,AO49,AS49,AW49)=0,0,SMALL((I49,M49,Q49,U49,Y49,AC49,AG49,AK49,AO49,AS49,AW49),COUNTIF((I49:AW49),0)+1)))),IF(BE49=J49,I49,IF(BE49=N49,M49,IF(BE49=R49,Q49,IF(BE49=V49,U49,IF(BE49=Z49,Y49,IF(BE49=AD49,AC49,IF(BE49=AH49,AG49,IF(BE49=AL49,AK49,IF(BE49=AP49,AO49,IF(BE49=AT49,AS49,IF(BE49=AX49,AW49))))))))))))))</f>
        <v>725.7</v>
      </c>
      <c r="BE49" s="714">
        <f>IF(F49="Indg",0,IF(F49="TEC Del",0,IF(AND(IF(G49="",TRUE,G49&lt;=ROUNDUP(1.2*F49,0)),IF(K49="",TRUE,K49&lt;=ROUNDUP(1.2*F49,0)),IF(O49="",TRUE,O49&lt;=ROUNDUP(1.2*F49,0)),IF(S49="",TRUE,S49&lt;=ROUNDUP(1.2*F49,0)),IF(W49="",TRUE,W49&lt;=ROUNDUP(1.2*F49,0)),IF(AA49="",TRUE,AA49&lt;=ROUNDUP(1.2*F49,0)),IF(AE49="",TRUE,AE49&lt;=ROUNDUP(1.2*F49,0)),IF(AI49="",TRUE,AI49&lt;=ROUNDUP(1.2*F49,0)),IF(AM49="",TRUE,AM49&lt;=ROUNDUP(1.2*F49,0)),IF(AQ49="",TRUE,AQ49&lt;=ROUNDUP(1.2*F49,0)),IF(AU49="",TRUE,AU49&lt;=ROUNDUP(1.2*F49,0))),ROUND(BD49*IF(BD49=I49,G49,IF(BD49=M49,K49,IF(BD49=Q49,O49,IF(BD49=U49,S49,IF(BD49=Y49,W49,IF(BD49=AC49,AA49,IF(BD49=AG49,AE49,IF(BD49=AK49,AI49,IF(BD49=AO49,AM49,IF(BD49=AS49,AQ49,IF(BD49=AW49,AU49))))))))))),2),(IF(SUM(J49,N49,R49,V49,Z49,AD49,AH49,AL49,AP49,AT49,AX49)=0,0,SMALL((J49,N49,R49,V49,Z49,AD49,AH49,AL49,AP49,AT49,AX49),COUNTIF((J49:AX49),0)+1))))))</f>
        <v>7257</v>
      </c>
      <c r="BF49" s="714">
        <f>IF('Annexure-I'!L46="",'Annexure-I'!F46,'Annexure-I'!L46)</f>
        <v>13.93</v>
      </c>
      <c r="BG49" s="714" t="str">
        <f>IF('Annexure-I'!M46="",'Annexure-I'!G46,'Annexure-I'!M46)</f>
        <v>CONTRACT-A45</v>
      </c>
      <c r="BH49" s="764" t="str">
        <f>IF('Annexure-I'!N46="",'Annexure-I'!H46,'Annexure-I'!N46)</f>
        <v>29-12-2015</v>
      </c>
      <c r="BI49" s="717">
        <f>IF('Annexure-I'!P46="",'Annexure-I'!J46,'Annexure-I'!P46)</f>
        <v>21.8</v>
      </c>
      <c r="BJ49" s="717">
        <f>IF('Annexure-I'!Q46="",'Annexure-I'!K46,'Annexure-I'!Q46)</f>
        <v>2386.4083296000003</v>
      </c>
      <c r="BK49" s="714">
        <f>'Annexure-I'!F46</f>
        <v>13.93</v>
      </c>
      <c r="BL49" s="718" t="str">
        <f>'Annexure-I'!G46</f>
        <v>CONTRACT-A45</v>
      </c>
      <c r="BM49" s="764">
        <v>2021</v>
      </c>
      <c r="BN49" s="717">
        <f>'Annexure-I'!J46</f>
        <v>21.8</v>
      </c>
      <c r="BO49" s="717">
        <f>'Annexure-I'!K46</f>
        <v>2386.4083296000003</v>
      </c>
      <c r="BP49" s="714">
        <f>IF(OR(AY49="EST",AY49="ADRYS"),ROUND((BC49*1.18)/(1.3224*Form!$D$10),2),BC49)</f>
        <v>66.290000000000006</v>
      </c>
      <c r="BQ49" s="714">
        <f>ROUND(BS49/(1.3224*Form!$D$10),2)</f>
        <v>218</v>
      </c>
      <c r="BR49" s="714">
        <f t="shared" si="24"/>
        <v>7257</v>
      </c>
      <c r="BS49" s="714">
        <f t="shared" si="25"/>
        <v>23864.080000000002</v>
      </c>
      <c r="BT49" s="719">
        <f t="shared" si="26"/>
        <v>-0.69590279616897033</v>
      </c>
      <c r="BU49" s="714"/>
      <c r="BV49" s="714">
        <f t="shared" si="8"/>
        <v>0</v>
      </c>
      <c r="BW49" s="714">
        <f>IF(OR(AY49="EST",AY49="ADRYS"),ROUND(1.18*BU49,2),ROUND(BU49*1.3224*Form!$D$10,2))</f>
        <v>0</v>
      </c>
      <c r="BX49" s="714">
        <f t="shared" si="9"/>
        <v>0</v>
      </c>
      <c r="BY49" s="719">
        <f t="shared" ref="BY49:BY58" si="28">IF((BX49)=0,0,(BX49-BS49)/BS49)</f>
        <v>0</v>
      </c>
      <c r="BZ49" s="714">
        <f t="shared" si="11"/>
        <v>23864.080000000002</v>
      </c>
      <c r="CA49" s="720"/>
      <c r="CB49" s="720"/>
      <c r="CC49" s="4"/>
      <c r="CD49" s="4"/>
      <c r="CE49" s="4"/>
      <c r="CF49" s="4"/>
      <c r="CG49" s="4"/>
      <c r="CH49" s="723"/>
      <c r="CI49" s="90"/>
      <c r="CJ49" s="645"/>
      <c r="CK49" s="592"/>
    </row>
    <row r="50" spans="1:96" s="579" customFormat="1" ht="45" x14ac:dyDescent="0.25">
      <c r="A50" s="712">
        <f>SUBTOTAL(2,$B$5:B50)</f>
        <v>46</v>
      </c>
      <c r="B50" s="754">
        <v>46</v>
      </c>
      <c r="C50" s="756" t="s">
        <v>714</v>
      </c>
      <c r="D50" s="755" t="s">
        <v>466</v>
      </c>
      <c r="E50" s="754">
        <v>10</v>
      </c>
      <c r="F50" s="658">
        <f>'Annexure-I'!E47</f>
        <v>10</v>
      </c>
      <c r="G50" s="784" t="str">
        <f>IF('CST-Calculation'!G50=0,"",'CST-Calculation'!G50)</f>
        <v/>
      </c>
      <c r="H50" s="784" t="str">
        <f>IF('CST-Calculation'!H50=0,"",'CST-Calculation'!H50)</f>
        <v/>
      </c>
      <c r="I50" s="714" t="str">
        <f>IF(G50="","",IF(H50="TEC Rejected","",IF(H50="","",ROUND(1.3224*Form!$D$10*H50,2))))</f>
        <v/>
      </c>
      <c r="J50" s="714" t="str">
        <f t="shared" si="0"/>
        <v/>
      </c>
      <c r="K50" s="713" t="str">
        <f>IF(L50="","",IF('CST-Calculation'!$F50="Indg","",IF('CST-Calculation'!$F50="TEC Del","",IF('CST-Calculation'!K50&gt;0,'CST-Calculation'!K50,IF('CST-Calculation'!$F50=0,"",'CST-Calculation'!$F50)))))</f>
        <v/>
      </c>
      <c r="L50" s="714" t="str">
        <f>IF('CST-Calculation'!L50=0,"",'CST-Calculation'!L50)</f>
        <v/>
      </c>
      <c r="M50" s="714" t="str">
        <f>IF(K50="","",IF(L50="TEC Rejected","",IF(L50="","",ROUND(1.3224*Form!$D$10*L50,2))))</f>
        <v/>
      </c>
      <c r="N50" s="714" t="str">
        <f t="shared" si="1"/>
        <v/>
      </c>
      <c r="O50" s="89" t="str">
        <f>IF(P50="","",IF('CST-Calculation'!$F50="Indg","",IF('CST-Calculation'!$F50="TEC Del","",IF('CST-Calculation'!O50&gt;0,'CST-Calculation'!O50,IF('CST-Calculation'!$F50=0,"",'CST-Calculation'!$F50)))))</f>
        <v/>
      </c>
      <c r="P50" s="714" t="str">
        <f>IF('CST-Calculation'!P50=0,"",'CST-Calculation'!P50)</f>
        <v/>
      </c>
      <c r="Q50" s="714" t="str">
        <f>IF(O50="","",IF(P50="TEC Rejected","",IF(P50="","",ROUND(1.3224*Form!$D$10*P50,2))))</f>
        <v/>
      </c>
      <c r="R50" s="714" t="str">
        <f t="shared" si="2"/>
        <v/>
      </c>
      <c r="S50" s="89" t="str">
        <f>IF(T50="","",IF('CST-Calculation'!$F50="Indg","",IF('CST-Calculation'!$F50="TEC Del","",IF('CST-Calculation'!S50&gt;0,'CST-Calculation'!S50,IF('CST-Calculation'!$F50=0,"",'CST-Calculation'!$F50)))))</f>
        <v/>
      </c>
      <c r="T50" s="714" t="str">
        <f>IF('CST-Calculation'!T50=0,"",'CST-Calculation'!T50)</f>
        <v/>
      </c>
      <c r="U50" s="714" t="str">
        <f>IF(S50="","",IF(T50="TEC Rejected","",IF(T50="","",ROUND(1.3224*Form!$D$10*T50,2))))</f>
        <v/>
      </c>
      <c r="V50" s="714" t="str">
        <f t="shared" si="3"/>
        <v/>
      </c>
      <c r="W50" s="713" t="str">
        <f>IF(X50="","",IF('CST-Calculation'!$F50="Indg","",IF('CST-Calculation'!$F50="TEC Del","",IF('CST-Calculation'!W50&gt;0,'CST-Calculation'!W50,IF('CST-Calculation'!$F50=0,"",'CST-Calculation'!$F50)))))</f>
        <v/>
      </c>
      <c r="X50" s="714" t="str">
        <f>IF('CST-Calculation'!X50=0,"",'CST-Calculation'!X50)</f>
        <v/>
      </c>
      <c r="Y50" s="714" t="str">
        <f>IF(W50="","",IF(X50="TEC Rejected","",IF(X50="","",ROUND(1.3224*Form!$D$10*X50,2))))</f>
        <v/>
      </c>
      <c r="Z50" s="714" t="str">
        <f t="shared" si="12"/>
        <v/>
      </c>
      <c r="AA50" s="713" t="str">
        <f>IF(AB50="","",IF('CST-Calculation'!$F50="Indg","",IF('CST-Calculation'!$F50="TEC Del","",IF('CST-Calculation'!AA50&gt;0,'CST-Calculation'!AA50,IF('CST-Calculation'!$F50=0,"",'CST-Calculation'!$F50)))))</f>
        <v/>
      </c>
      <c r="AB50" s="714" t="str">
        <f>IF('CST-Calculation'!AB50=0,"",'CST-Calculation'!AB50)</f>
        <v/>
      </c>
      <c r="AC50" s="714" t="str">
        <f t="shared" si="13"/>
        <v/>
      </c>
      <c r="AD50" s="714" t="str">
        <f t="shared" si="14"/>
        <v/>
      </c>
      <c r="AE50" s="713" t="str">
        <f>IF(AF50="","",IF('CST-Calculation'!$F50="Indg","",IF('CST-Calculation'!$F50="TEC Del","",IF('CST-Calculation'!AE50&gt;0,'CST-Calculation'!AE50,IF('CST-Calculation'!$F50=0,"",'CST-Calculation'!$F50)))))</f>
        <v/>
      </c>
      <c r="AF50" s="714" t="str">
        <f>IF('CST-Calculation'!AF50=0,"",'CST-Calculation'!AF50)</f>
        <v/>
      </c>
      <c r="AG50" s="714" t="str">
        <f>IF(AE50="","",IF(AF50="TEC Rejected","",IF(AF50="","",ROUND(1.3224*Form!$D$10*AF50,2))))</f>
        <v/>
      </c>
      <c r="AH50" s="714" t="str">
        <f t="shared" si="15"/>
        <v/>
      </c>
      <c r="AI50" s="713" t="str">
        <f>IF(AJ50="","",IF('CST-Calculation'!$F50="Indg","",IF('CST-Calculation'!$F50="TEC Del","",IF('CST-Calculation'!AI50&gt;0,'CST-Calculation'!AI50,IF('CST-Calculation'!$F50=0,"",'CST-Calculation'!$F50)))))</f>
        <v/>
      </c>
      <c r="AJ50" s="714" t="str">
        <f>IF('CST-Calculation'!AJ50=0,"",'CST-Calculation'!AJ50)</f>
        <v/>
      </c>
      <c r="AK50" s="714" t="str">
        <f t="shared" si="16"/>
        <v/>
      </c>
      <c r="AL50" s="714" t="str">
        <f t="shared" si="17"/>
        <v/>
      </c>
      <c r="AM50" s="713" t="str">
        <f>IF(AN50="","",IF('CST-Calculation'!$F50="Indg","",IF('CST-Calculation'!$F50="TEC Del","",IF('CST-Calculation'!AM50&gt;0,'CST-Calculation'!AM50,IF('CST-Calculation'!$F50=0,"",'CST-Calculation'!$F50)))))</f>
        <v/>
      </c>
      <c r="AN50" s="714" t="str">
        <f>IF('CST-Calculation'!AN50=0,"",'CST-Calculation'!AN50)</f>
        <v/>
      </c>
      <c r="AO50" s="714" t="str">
        <f>IF(AM50="","",IF(AN50="TEC Rejected","",IF(AN50="","",ROUND(1.3224*Form!$D$10*AN50,2))))</f>
        <v/>
      </c>
      <c r="AP50" s="714" t="str">
        <f t="shared" si="18"/>
        <v/>
      </c>
      <c r="AQ50" s="713" t="str">
        <f>IF(AR50="","",IF('CST-Calculation'!$F50="Indg","",IF('CST-Calculation'!$F50="TEC Del","",IF('CST-Calculation'!AQ50&gt;0,'CST-Calculation'!AQ50,IF('CST-Calculation'!$F50=0,"",'CST-Calculation'!$F50)))))</f>
        <v/>
      </c>
      <c r="AR50" s="714" t="str">
        <f>IF('CST-Calculation'!AR50=0,"",'CST-Calculation'!AR50)</f>
        <v/>
      </c>
      <c r="AS50" s="714" t="str">
        <f>IF(AQ50="","",IF(AR50="TEC Rejected","",IF(AR50="","",ROUND(1.3224*Form!$D$10*AR50,2))))</f>
        <v/>
      </c>
      <c r="AT50" s="714" t="str">
        <f t="shared" si="19"/>
        <v/>
      </c>
      <c r="AU50" s="713" t="str">
        <f>IF(AV50="","",IF('CST-Calculation'!$F50="Indg","",IF('CST-Calculation'!$F50="TEC Del","",IF('CST-Calculation'!AU50&gt;0,'CST-Calculation'!AU50,IF('CST-Calculation'!$F50=0,"",'CST-Calculation'!$F50)))))</f>
        <v/>
      </c>
      <c r="AV50" s="714" t="str">
        <f>IF('CST-Calculation'!AV50=0,"",'CST-Calculation'!AV50)</f>
        <v/>
      </c>
      <c r="AW50" s="714" t="str">
        <f>IF(AU50="","",IF(AV50="TEC Rejected","",IF(AV50="","",ROUND(1.3224*Form!$D$10*AV50,2))))</f>
        <v/>
      </c>
      <c r="AX50" s="714" t="str">
        <f t="shared" si="20"/>
        <v/>
      </c>
      <c r="AY50" s="715" t="str">
        <f t="shared" si="21"/>
        <v>NO OFFER</v>
      </c>
      <c r="AZ50" s="716" t="str">
        <f t="shared" si="22"/>
        <v>NO OFFER</v>
      </c>
      <c r="BA50" s="716" t="str">
        <f t="shared" si="23"/>
        <v>&lt;= 20%</v>
      </c>
      <c r="BB50" s="716">
        <f>IF(AY50="EST",ROUND(BD50/1.18,2),IF(AY50="ADRYS",ROUND(BD50/1.18,2),ROUND(BD50/(1.3224*Form!$D$10),2)))</f>
        <v>0</v>
      </c>
      <c r="BC50" s="784">
        <f>IF(OR(AY50="EST",AY50="ADRYS"),ROUND(BE50/1.18,2),ROUND(BE50/(1.3224*Form!$D$10),2))</f>
        <v>0</v>
      </c>
      <c r="BD50" s="717">
        <f>IF(F50="Indg",0,IF(F50="TEC Del",0,IF(AND(IF(G50="",TRUE,G50&lt;=ROUNDUP(1.2*F50,0)),IF(K50="",TRUE,K50&lt;=ROUNDUP(1.2*F50,0)),IF(O50="",TRUE,O50&lt;=ROUNDUP(1.2*F50,0)),IF(S50="",TRUE,S50&lt;=ROUNDUP(1.2*F50,0)),IF(W50="",TRUE,W50&lt;=ROUNDUP(1.2*F50,0)),IF(AA50="",TRUE,AA50&lt;=ROUNDUP(1.2*F50,0)),IF(AE50="",TRUE,AE50&lt;=ROUNDUP(1.2*F50,0)),IF(AI50="",TRUE,AI50&lt;=ROUNDUP(1.2*F50,0)),IF(AM50="",TRUE,AM50&lt;=ROUNDUP(1.2*F50,0)),IF(AQ50="",TRUE,AQ50&lt;=ROUNDUP(1.2*F50,0)),IF(AU50="",TRUE,AU50&lt;=ROUNDUP(1.2*F50,0))),IF(F50=0,0,(IF(SUM(I50,M50,Q50,U50,Y50,AC50,AG50,AK50,AO50,AS50,AW50)=0,0,SMALL((I50,M50,Q50,U50,Y50,AC50,AG50,AK50,AO50,AS50,AW50),COUNTIF((I50:AW50),0)+1)))),IF(BE50=J50,I50,IF(BE50=N50,M50,IF(BE50=R50,Q50,IF(BE50=V50,U50,IF(BE50=Z50,Y50,IF(BE50=AD50,AC50,IF(BE50=AH50,AG50,IF(BE50=AL50,AK50,IF(BE50=AP50,AO50,IF(BE50=AT50,AS50,IF(BE50=AX50,AW50))))))))))))))</f>
        <v>0</v>
      </c>
      <c r="BE50" s="714">
        <f>IF(F50="Indg",0,IF(F50="TEC Del",0,IF(AND(IF(G50="",TRUE,G50&lt;=ROUNDUP(1.2*F50,0)),IF(K50="",TRUE,K50&lt;=ROUNDUP(1.2*F50,0)),IF(O50="",TRUE,O50&lt;=ROUNDUP(1.2*F50,0)),IF(S50="",TRUE,S50&lt;=ROUNDUP(1.2*F50,0)),IF(W50="",TRUE,W50&lt;=ROUNDUP(1.2*F50,0)),IF(AA50="",TRUE,AA50&lt;=ROUNDUP(1.2*F50,0)),IF(AE50="",TRUE,AE50&lt;=ROUNDUP(1.2*F50,0)),IF(AI50="",TRUE,AI50&lt;=ROUNDUP(1.2*F50,0)),IF(AM50="",TRUE,AM50&lt;=ROUNDUP(1.2*F50,0)),IF(AQ50="",TRUE,AQ50&lt;=ROUNDUP(1.2*F50,0)),IF(AU50="",TRUE,AU50&lt;=ROUNDUP(1.2*F50,0))),ROUND(BD50*IF(BD50=I50,G50,IF(BD50=M50,K50,IF(BD50=Q50,O50,IF(BD50=U50,S50,IF(BD50=Y50,W50,IF(BD50=AC50,AA50,IF(BD50=AG50,AE50,IF(BD50=AK50,AI50,IF(BD50=AO50,AM50,IF(BD50=AS50,AQ50,IF(BD50=AW50,AU50))))))))))),2),(IF(SUM(J50,N50,R50,V50,Z50,AD50,AH50,AL50,AP50,AT50,AX50)=0,0,SMALL((J50,N50,R50,V50,Z50,AD50,AH50,AL50,AP50,AT50,AX50),COUNTIF((J50:AX50),0)+1))))))</f>
        <v>0</v>
      </c>
      <c r="BF50" s="714">
        <f>IF('Annexure-I'!L47="",'Annexure-I'!F47,'Annexure-I'!L47)</f>
        <v>179.59</v>
      </c>
      <c r="BG50" s="714" t="str">
        <f>IF('Annexure-I'!M47="",'Annexure-I'!G47,'Annexure-I'!M47)</f>
        <v>CONTRACT-A46</v>
      </c>
      <c r="BH50" s="764">
        <f>IF('Annexure-I'!N47="",'Annexure-I'!H47,'Annexure-I'!N47)</f>
        <v>40967</v>
      </c>
      <c r="BI50" s="717">
        <f>IF('Annexure-I'!P47="",'Annexure-I'!J47,'Annexure-I'!P47)</f>
        <v>329.02</v>
      </c>
      <c r="BJ50" s="717">
        <f>IF('Annexure-I'!Q47="",'Annexure-I'!K47,'Annexure-I'!Q47)</f>
        <v>36017.250853439997</v>
      </c>
      <c r="BK50" s="714">
        <f>'Annexure-I'!F47</f>
        <v>179.59</v>
      </c>
      <c r="BL50" s="718" t="str">
        <f>'Annexure-I'!G47</f>
        <v>CONTRACT-A46</v>
      </c>
      <c r="BM50" s="764">
        <f>IF('Annexure-I'!H47=0,"",'Annexure-I'!H47)</f>
        <v>40967</v>
      </c>
      <c r="BN50" s="717">
        <f>'Annexure-I'!J47</f>
        <v>329.02</v>
      </c>
      <c r="BO50" s="717">
        <f>'Annexure-I'!K47</f>
        <v>36017.250853439997</v>
      </c>
      <c r="BP50" s="714">
        <f>IF(OR(AY50="EST",AY50="ADRYS"),ROUND((BC50*1.18)/(1.3224*Form!$D$10),2),BC50)</f>
        <v>0</v>
      </c>
      <c r="BQ50" s="714">
        <f>ROUND(BS50/(1.3224*Form!$D$10),2)</f>
        <v>0</v>
      </c>
      <c r="BR50" s="714">
        <f t="shared" si="24"/>
        <v>0</v>
      </c>
      <c r="BS50" s="714">
        <f t="shared" si="25"/>
        <v>0</v>
      </c>
      <c r="BT50" s="719">
        <f t="shared" si="26"/>
        <v>0</v>
      </c>
      <c r="BU50" s="714"/>
      <c r="BV50" s="714">
        <f t="shared" si="8"/>
        <v>0</v>
      </c>
      <c r="BW50" s="714">
        <f>IF(OR(AY50="EST",AY50="ADRYS"),ROUND(1.18*BU50,2),ROUND(BU50*1.3224*Form!$D$10,2))</f>
        <v>0</v>
      </c>
      <c r="BX50" s="714">
        <f t="shared" si="9"/>
        <v>0</v>
      </c>
      <c r="BY50" s="719">
        <f t="shared" si="28"/>
        <v>0</v>
      </c>
      <c r="BZ50" s="714">
        <f t="shared" si="11"/>
        <v>360172.51</v>
      </c>
      <c r="CA50" s="720"/>
      <c r="CB50" s="720"/>
      <c r="CC50" s="4"/>
      <c r="CD50" s="4"/>
      <c r="CE50" s="4"/>
      <c r="CF50" s="4"/>
      <c r="CG50" s="4"/>
      <c r="CH50" s="4"/>
      <c r="CI50" s="721"/>
      <c r="CJ50" s="645"/>
      <c r="CK50" s="592"/>
    </row>
    <row r="51" spans="1:96" s="579" customFormat="1" ht="45" x14ac:dyDescent="0.25">
      <c r="A51" s="712">
        <f>SUBTOTAL(2,$B$5:B51)</f>
        <v>47</v>
      </c>
      <c r="B51" s="754">
        <v>47</v>
      </c>
      <c r="C51" s="755" t="s">
        <v>715</v>
      </c>
      <c r="D51" s="755" t="s">
        <v>466</v>
      </c>
      <c r="E51" s="754">
        <v>9</v>
      </c>
      <c r="F51" s="658">
        <f>'Annexure-I'!E48</f>
        <v>9</v>
      </c>
      <c r="G51" s="784" t="str">
        <f>IF('CST-Calculation'!G51=0,"",'CST-Calculation'!G51)</f>
        <v/>
      </c>
      <c r="H51" s="784" t="str">
        <f>IF('CST-Calculation'!H51=0,"",'CST-Calculation'!H51)</f>
        <v/>
      </c>
      <c r="I51" s="714" t="str">
        <f>IF(G51="","",IF(H51="TEC Rejected","",IF(H51="","",ROUND(1.3224*Form!$D$10*H51,2))))</f>
        <v/>
      </c>
      <c r="J51" s="714" t="str">
        <f t="shared" si="0"/>
        <v/>
      </c>
      <c r="K51" s="713" t="str">
        <f>IF(L51="","",IF('CST-Calculation'!$F51="Indg","",IF('CST-Calculation'!$F51="TEC Del","",IF('CST-Calculation'!K51&gt;0,'CST-Calculation'!K51,IF('CST-Calculation'!$F51=0,"",'CST-Calculation'!$F51)))))</f>
        <v/>
      </c>
      <c r="L51" s="714" t="str">
        <f>IF('CST-Calculation'!L51=0,"",'CST-Calculation'!L51)</f>
        <v/>
      </c>
      <c r="M51" s="714" t="str">
        <f>IF(K51="","",IF(L51="TEC Rejected","",IF(L51="","",ROUND(1.3224*Form!$D$10*L51,2))))</f>
        <v/>
      </c>
      <c r="N51" s="714" t="str">
        <f t="shared" si="1"/>
        <v/>
      </c>
      <c r="O51" s="89" t="str">
        <f>IF(P51="","",IF('CST-Calculation'!$F51="Indg","",IF('CST-Calculation'!$F51="TEC Del","",IF('CST-Calculation'!O51&gt;0,'CST-Calculation'!O51,IF('CST-Calculation'!$F51=0,"",'CST-Calculation'!$F51)))))</f>
        <v/>
      </c>
      <c r="P51" s="714" t="str">
        <f>IF('CST-Calculation'!P51=0,"",'CST-Calculation'!P51)</f>
        <v/>
      </c>
      <c r="Q51" s="714" t="str">
        <f>IF(O51="","",IF(P51="TEC Rejected","",IF(P51="","",ROUND(1.3224*Form!$D$10*P51,2))))</f>
        <v/>
      </c>
      <c r="R51" s="714" t="str">
        <f t="shared" si="2"/>
        <v/>
      </c>
      <c r="S51" s="89" t="str">
        <f>IF(T51="","",IF('CST-Calculation'!$F51="Indg","",IF('CST-Calculation'!$F51="TEC Del","",IF('CST-Calculation'!S51&gt;0,'CST-Calculation'!S51,IF('CST-Calculation'!$F51=0,"",'CST-Calculation'!$F51)))))</f>
        <v/>
      </c>
      <c r="T51" s="714" t="str">
        <f>IF('CST-Calculation'!T51=0,"",'CST-Calculation'!T51)</f>
        <v/>
      </c>
      <c r="U51" s="714" t="str">
        <f>IF(S51="","",IF(T51="TEC Rejected","",IF(T51="","",ROUND(1.3224*Form!$D$10*T51,2))))</f>
        <v/>
      </c>
      <c r="V51" s="714" t="str">
        <f t="shared" si="3"/>
        <v/>
      </c>
      <c r="W51" s="713" t="str">
        <f>IF(X51="","",IF('CST-Calculation'!$F51="Indg","",IF('CST-Calculation'!$F51="TEC Del","",IF('CST-Calculation'!W51&gt;0,'CST-Calculation'!W51,IF('CST-Calculation'!$F51=0,"",'CST-Calculation'!$F51)))))</f>
        <v/>
      </c>
      <c r="X51" s="714" t="str">
        <f>IF('CST-Calculation'!X51=0,"",'CST-Calculation'!X51)</f>
        <v/>
      </c>
      <c r="Y51" s="714" t="str">
        <f>IF(W51="","",IF(X51="TEC Rejected","",IF(X51="","",ROUND(1.3224*Form!$D$10*X51,2))))</f>
        <v/>
      </c>
      <c r="Z51" s="714" t="str">
        <f t="shared" si="12"/>
        <v/>
      </c>
      <c r="AA51" s="713" t="str">
        <f>IF(AB51="","",IF('CST-Calculation'!$F51="Indg","",IF('CST-Calculation'!$F51="TEC Del","",IF('CST-Calculation'!AA51&gt;0,'CST-Calculation'!AA51,IF('CST-Calculation'!$F51=0,"",'CST-Calculation'!$F51)))))</f>
        <v/>
      </c>
      <c r="AB51" s="714" t="str">
        <f>IF('CST-Calculation'!AB51=0,"",'CST-Calculation'!AB51)</f>
        <v/>
      </c>
      <c r="AC51" s="714" t="str">
        <f t="shared" si="13"/>
        <v/>
      </c>
      <c r="AD51" s="714" t="str">
        <f t="shared" si="14"/>
        <v/>
      </c>
      <c r="AE51" s="713" t="str">
        <f>IF(AF51="","",IF('CST-Calculation'!$F51="Indg","",IF('CST-Calculation'!$F51="TEC Del","",IF('CST-Calculation'!AE51&gt;0,'CST-Calculation'!AE51,IF('CST-Calculation'!$F51=0,"",'CST-Calculation'!$F51)))))</f>
        <v/>
      </c>
      <c r="AF51" s="714" t="str">
        <f>IF('CST-Calculation'!AF51=0,"",'CST-Calculation'!AF51)</f>
        <v/>
      </c>
      <c r="AG51" s="714" t="str">
        <f>IF(AE51="","",IF(AF51="TEC Rejected","",IF(AF51="","",ROUND(1.3224*Form!$D$10*AF51,2))))</f>
        <v/>
      </c>
      <c r="AH51" s="714" t="str">
        <f t="shared" si="15"/>
        <v/>
      </c>
      <c r="AI51" s="713" t="str">
        <f>IF(AJ51="","",IF('CST-Calculation'!$F51="Indg","",IF('CST-Calculation'!$F51="TEC Del","",IF('CST-Calculation'!AI51&gt;0,'CST-Calculation'!AI51,IF('CST-Calculation'!$F51=0,"",'CST-Calculation'!$F51)))))</f>
        <v/>
      </c>
      <c r="AJ51" s="714" t="str">
        <f>IF('CST-Calculation'!AJ51=0,"",'CST-Calculation'!AJ51)</f>
        <v/>
      </c>
      <c r="AK51" s="714" t="str">
        <f t="shared" si="16"/>
        <v/>
      </c>
      <c r="AL51" s="714" t="str">
        <f t="shared" si="17"/>
        <v/>
      </c>
      <c r="AM51" s="713" t="str">
        <f>IF(AN51="","",IF('CST-Calculation'!$F51="Indg","",IF('CST-Calculation'!$F51="TEC Del","",IF('CST-Calculation'!AM51&gt;0,'CST-Calculation'!AM51,IF('CST-Calculation'!$F51=0,"",'CST-Calculation'!$F51)))))</f>
        <v/>
      </c>
      <c r="AN51" s="714" t="str">
        <f>IF('CST-Calculation'!AN51=0,"",'CST-Calculation'!AN51)</f>
        <v/>
      </c>
      <c r="AO51" s="714" t="str">
        <f>IF(AM51="","",IF(AN51="TEC Rejected","",IF(AN51="","",ROUND(1.3224*Form!$D$10*AN51,2))))</f>
        <v/>
      </c>
      <c r="AP51" s="714" t="str">
        <f t="shared" si="18"/>
        <v/>
      </c>
      <c r="AQ51" s="713" t="str">
        <f>IF(AR51="","",IF('CST-Calculation'!$F51="Indg","",IF('CST-Calculation'!$F51="TEC Del","",IF('CST-Calculation'!AQ51&gt;0,'CST-Calculation'!AQ51,IF('CST-Calculation'!$F51=0,"",'CST-Calculation'!$F51)))))</f>
        <v/>
      </c>
      <c r="AR51" s="714" t="str">
        <f>IF('CST-Calculation'!AR51=0,"",'CST-Calculation'!AR51)</f>
        <v/>
      </c>
      <c r="AS51" s="714" t="str">
        <f>IF(AQ51="","",IF(AR51="TEC Rejected","",IF(AR51="","",ROUND(1.3224*Form!$D$10*AR51,2))))</f>
        <v/>
      </c>
      <c r="AT51" s="714" t="str">
        <f t="shared" si="19"/>
        <v/>
      </c>
      <c r="AU51" s="713" t="str">
        <f>IF(AV51="","",IF('CST-Calculation'!$F51="Indg","",IF('CST-Calculation'!$F51="TEC Del","",IF('CST-Calculation'!AU51&gt;0,'CST-Calculation'!AU51,IF('CST-Calculation'!$F51=0,"",'CST-Calculation'!$F51)))))</f>
        <v/>
      </c>
      <c r="AV51" s="714" t="str">
        <f>IF('CST-Calculation'!AV51=0,"",'CST-Calculation'!AV51)</f>
        <v/>
      </c>
      <c r="AW51" s="714" t="str">
        <f>IF(AU51="","",IF(AV51="TEC Rejected","",IF(AV51="","",ROUND(1.3224*Form!$D$10*AV51,2))))</f>
        <v/>
      </c>
      <c r="AX51" s="714" t="str">
        <f t="shared" si="20"/>
        <v/>
      </c>
      <c r="AY51" s="715" t="str">
        <f t="shared" si="21"/>
        <v>NO OFFER</v>
      </c>
      <c r="AZ51" s="716" t="str">
        <f t="shared" si="22"/>
        <v>NO OFFER</v>
      </c>
      <c r="BA51" s="716" t="str">
        <f t="shared" si="23"/>
        <v>&lt;= 20%</v>
      </c>
      <c r="BB51" s="716">
        <f>IF(AY51="EST",ROUND(BD51/1.18,2),IF(AY51="ADRYS",ROUND(BD51/1.18,2),ROUND(BD51/(1.3224*Form!$D$10),2)))</f>
        <v>0</v>
      </c>
      <c r="BC51" s="784">
        <f>IF(OR(AY51="EST",AY51="ADRYS"),ROUND(BE51/1.18,2),ROUND(BE51/(1.3224*Form!$D$10),2))</f>
        <v>0</v>
      </c>
      <c r="BD51" s="717">
        <f>IF(F51="Indg",0,IF(F51="TEC Del",0,IF(AND(IF(G51="",TRUE,G51&lt;=ROUNDUP(1.2*F51,0)),IF(K51="",TRUE,K51&lt;=ROUNDUP(1.2*F51,0)),IF(O51="",TRUE,O51&lt;=ROUNDUP(1.2*F51,0)),IF(S51="",TRUE,S51&lt;=ROUNDUP(1.2*F51,0)),IF(W51="",TRUE,W51&lt;=ROUNDUP(1.2*F51,0)),IF(AA51="",TRUE,AA51&lt;=ROUNDUP(1.2*F51,0)),IF(AE51="",TRUE,AE51&lt;=ROUNDUP(1.2*F51,0)),IF(AI51="",TRUE,AI51&lt;=ROUNDUP(1.2*F51,0)),IF(AM51="",TRUE,AM51&lt;=ROUNDUP(1.2*F51,0)),IF(AQ51="",TRUE,AQ51&lt;=ROUNDUP(1.2*F51,0)),IF(AU51="",TRUE,AU51&lt;=ROUNDUP(1.2*F51,0))),IF(F51=0,0,(IF(SUM(I51,M51,Q51,U51,Y51,AC51,AG51,AK51,AO51,AS51,AW51)=0,0,SMALL((I51,M51,Q51,U51,Y51,AC51,AG51,AK51,AO51,AS51,AW51),COUNTIF((I51:AW51),0)+1)))),IF(BE51=J51,I51,IF(BE51=N51,M51,IF(BE51=R51,Q51,IF(BE51=V51,U51,IF(BE51=Z51,Y51,IF(BE51=AD51,AC51,IF(BE51=AH51,AG51,IF(BE51=AL51,AK51,IF(BE51=AP51,AO51,IF(BE51=AT51,AS51,IF(BE51=AX51,AW51))))))))))))))</f>
        <v>0</v>
      </c>
      <c r="BE51" s="714">
        <f>IF(F51="Indg",0,IF(F51="TEC Del",0,IF(AND(IF(G51="",TRUE,G51&lt;=ROUNDUP(1.2*F51,0)),IF(K51="",TRUE,K51&lt;=ROUNDUP(1.2*F51,0)),IF(O51="",TRUE,O51&lt;=ROUNDUP(1.2*F51,0)),IF(S51="",TRUE,S51&lt;=ROUNDUP(1.2*F51,0)),IF(W51="",TRUE,W51&lt;=ROUNDUP(1.2*F51,0)),IF(AA51="",TRUE,AA51&lt;=ROUNDUP(1.2*F51,0)),IF(AE51="",TRUE,AE51&lt;=ROUNDUP(1.2*F51,0)),IF(AI51="",TRUE,AI51&lt;=ROUNDUP(1.2*F51,0)),IF(AM51="",TRUE,AM51&lt;=ROUNDUP(1.2*F51,0)),IF(AQ51="",TRUE,AQ51&lt;=ROUNDUP(1.2*F51,0)),IF(AU51="",TRUE,AU51&lt;=ROUNDUP(1.2*F51,0))),ROUND(BD51*IF(BD51=I51,G51,IF(BD51=M51,K51,IF(BD51=Q51,O51,IF(BD51=U51,S51,IF(BD51=Y51,W51,IF(BD51=AC51,AA51,IF(BD51=AG51,AE51,IF(BD51=AK51,AI51,IF(BD51=AO51,AM51,IF(BD51=AS51,AQ51,IF(BD51=AW51,AU51))))))))))),2),(IF(SUM(J51,N51,R51,V51,Z51,AD51,AH51,AL51,AP51,AT51,AX51)=0,0,SMALL((J51,N51,R51,V51,Z51,AD51,AH51,AL51,AP51,AT51,AX51),COUNTIF((J51:AX51),0)+1))))))</f>
        <v>0</v>
      </c>
      <c r="BF51" s="714">
        <f>IF('Annexure-I'!L48="",'Annexure-I'!F48,'Annexure-I'!L48)</f>
        <v>179.59</v>
      </c>
      <c r="BG51" s="714" t="str">
        <f>IF('Annexure-I'!M48="",'Annexure-I'!G48,'Annexure-I'!M48)</f>
        <v>CONTRACT-A47</v>
      </c>
      <c r="BH51" s="764">
        <f>IF('Annexure-I'!N48="",'Annexure-I'!H48,'Annexure-I'!N48)</f>
        <v>40967</v>
      </c>
      <c r="BI51" s="717">
        <f>IF('Annexure-I'!P48="",'Annexure-I'!J48,'Annexure-I'!P48)</f>
        <v>329.02</v>
      </c>
      <c r="BJ51" s="717">
        <f>IF('Annexure-I'!Q48="",'Annexure-I'!K48,'Annexure-I'!Q48)</f>
        <v>36017.250853439997</v>
      </c>
      <c r="BK51" s="714">
        <f>'Annexure-I'!F48</f>
        <v>179.59</v>
      </c>
      <c r="BL51" s="718" t="str">
        <f>'Annexure-I'!G48</f>
        <v>CONTRACT-A47</v>
      </c>
      <c r="BM51" s="764">
        <f>IF('Annexure-I'!H48=0,"",'Annexure-I'!H48)</f>
        <v>40967</v>
      </c>
      <c r="BN51" s="717">
        <f>'Annexure-I'!J48</f>
        <v>329.02</v>
      </c>
      <c r="BO51" s="717">
        <f>'Annexure-I'!K48</f>
        <v>36017.250853439997</v>
      </c>
      <c r="BP51" s="714">
        <f>IF(OR(AY51="EST",AY51="ADRYS"),ROUND((BC51*1.18)/(1.3224*Form!$D$10),2),BC51)</f>
        <v>0</v>
      </c>
      <c r="BQ51" s="714">
        <f>ROUND(BS51/(1.3224*Form!$D$10),2)</f>
        <v>0</v>
      </c>
      <c r="BR51" s="714">
        <f t="shared" si="24"/>
        <v>0</v>
      </c>
      <c r="BS51" s="714">
        <f t="shared" si="25"/>
        <v>0</v>
      </c>
      <c r="BT51" s="719">
        <f t="shared" si="26"/>
        <v>0</v>
      </c>
      <c r="BU51" s="714"/>
      <c r="BV51" s="714">
        <f t="shared" si="8"/>
        <v>0</v>
      </c>
      <c r="BW51" s="714">
        <f>IF(OR(AY51="EST",AY51="ADRYS"),ROUND(1.18*BU51,2),ROUND(BU51*1.3224*Form!$D$10,2))</f>
        <v>0</v>
      </c>
      <c r="BX51" s="714">
        <f t="shared" si="9"/>
        <v>0</v>
      </c>
      <c r="BY51" s="719">
        <f t="shared" si="28"/>
        <v>0</v>
      </c>
      <c r="BZ51" s="714">
        <f t="shared" si="11"/>
        <v>324155.26</v>
      </c>
      <c r="CA51" s="720"/>
      <c r="CB51" s="720"/>
      <c r="CC51" s="4"/>
      <c r="CD51" s="4"/>
      <c r="CE51" s="4"/>
      <c r="CF51" s="4"/>
      <c r="CG51" s="4"/>
      <c r="CH51" s="723"/>
      <c r="CI51" s="90"/>
    </row>
    <row r="52" spans="1:96" s="579" customFormat="1" ht="45" x14ac:dyDescent="0.25">
      <c r="A52" s="712">
        <f>SUBTOTAL(2,$B$5:B52)</f>
        <v>48</v>
      </c>
      <c r="B52" s="754">
        <v>48</v>
      </c>
      <c r="C52" s="756" t="s">
        <v>716</v>
      </c>
      <c r="D52" s="755" t="s">
        <v>605</v>
      </c>
      <c r="E52" s="754">
        <v>14</v>
      </c>
      <c r="F52" s="658">
        <f>'Annexure-I'!E49</f>
        <v>14</v>
      </c>
      <c r="G52" s="784" t="str">
        <f>IF('CST-Calculation'!G52=0,"",'CST-Calculation'!G52)</f>
        <v/>
      </c>
      <c r="H52" s="784" t="str">
        <f>IF('CST-Calculation'!H52=0,"",'CST-Calculation'!H52)</f>
        <v/>
      </c>
      <c r="I52" s="714" t="str">
        <f>IF(G52="","",IF(H52="TEC Rejected","",IF(H52="","",ROUND(1.3224*Form!$D$10*H52,2))))</f>
        <v/>
      </c>
      <c r="J52" s="714" t="str">
        <f t="shared" si="0"/>
        <v/>
      </c>
      <c r="K52" s="713" t="str">
        <f>IF(L52="","",IF('CST-Calculation'!$F52="Indg","",IF('CST-Calculation'!$F52="TEC Del","",IF('CST-Calculation'!K52&gt;0,'CST-Calculation'!K52,IF('CST-Calculation'!$F52=0,"",'CST-Calculation'!$F52)))))</f>
        <v/>
      </c>
      <c r="L52" s="714" t="str">
        <f>IF('CST-Calculation'!L52=0,"",'CST-Calculation'!L52)</f>
        <v/>
      </c>
      <c r="M52" s="714" t="str">
        <f>IF(K52="","",IF(L52="TEC Rejected","",IF(L52="","",ROUND(1.3224*Form!$D$10*L52,2))))</f>
        <v/>
      </c>
      <c r="N52" s="714" t="str">
        <f t="shared" si="1"/>
        <v/>
      </c>
      <c r="O52" s="89">
        <f>IF(P52="","",IF('CST-Calculation'!$F52="Indg","",IF('CST-Calculation'!$F52="TEC Del","",IF('CST-Calculation'!O52&gt;0,'CST-Calculation'!O52,IF('CST-Calculation'!$F52=0,"",'CST-Calculation'!$F52)))))</f>
        <v>14</v>
      </c>
      <c r="P52" s="714">
        <f>IF('CST-Calculation'!P52=0,"",'CST-Calculation'!P52)</f>
        <v>3.5</v>
      </c>
      <c r="Q52" s="714">
        <f>IF(O52="","",IF(P52="TEC Rejected","",IF(P52="","",ROUND(1.3224*Form!$D$10*P52,2))))</f>
        <v>383.14</v>
      </c>
      <c r="R52" s="714">
        <f t="shared" si="2"/>
        <v>5363.96</v>
      </c>
      <c r="S52" s="89">
        <f>IF(T52="","",IF('CST-Calculation'!$F52="Indg","",IF('CST-Calculation'!$F52="TEC Del","",IF('CST-Calculation'!S52&gt;0,'CST-Calculation'!S52,IF('CST-Calculation'!$F52=0,"",'CST-Calculation'!$F52)))))</f>
        <v>14</v>
      </c>
      <c r="T52" s="714">
        <f>IF('CST-Calculation'!T52=0,"",'CST-Calculation'!T52)</f>
        <v>6.5</v>
      </c>
      <c r="U52" s="714">
        <f>IF(S52="","",IF(T52="TEC Rejected","",IF(T52="","",ROUND(1.3224*Form!$D$10*T52,2))))</f>
        <v>711.54</v>
      </c>
      <c r="V52" s="714">
        <f t="shared" si="3"/>
        <v>9961.56</v>
      </c>
      <c r="W52" s="713" t="str">
        <f>IF(X52="","",IF('CST-Calculation'!$F52="Indg","",IF('CST-Calculation'!$F52="TEC Del","",IF('CST-Calculation'!W52&gt;0,'CST-Calculation'!W52,IF('CST-Calculation'!$F52=0,"",'CST-Calculation'!$F52)))))</f>
        <v/>
      </c>
      <c r="X52" s="714" t="str">
        <f>IF('CST-Calculation'!X52=0,"",'CST-Calculation'!X52)</f>
        <v/>
      </c>
      <c r="Y52" s="714" t="str">
        <f>IF(W52="","",IF(X52="TEC Rejected","",IF(X52="","",ROUND(1.3224*Form!$D$10*X52,2))))</f>
        <v/>
      </c>
      <c r="Z52" s="714" t="str">
        <f t="shared" si="12"/>
        <v/>
      </c>
      <c r="AA52" s="713">
        <f>IF(AB52="","",IF('CST-Calculation'!$F52="Indg","",IF('CST-Calculation'!$F52="TEC Del","",IF('CST-Calculation'!AA52&gt;0,'CST-Calculation'!AA52,IF('CST-Calculation'!$F52=0,"",'CST-Calculation'!$F52)))))</f>
        <v>14</v>
      </c>
      <c r="AB52" s="714">
        <f>IF('CST-Calculation'!AB52=0,"",'CST-Calculation'!AB52)</f>
        <v>165</v>
      </c>
      <c r="AC52" s="714">
        <f t="shared" si="13"/>
        <v>194.7</v>
      </c>
      <c r="AD52" s="714">
        <f t="shared" si="14"/>
        <v>2725.8</v>
      </c>
      <c r="AE52" s="713" t="str">
        <f>IF(AF52="","",IF('CST-Calculation'!$F52="Indg","",IF('CST-Calculation'!$F52="TEC Del","",IF('CST-Calculation'!AE52&gt;0,'CST-Calculation'!AE52,IF('CST-Calculation'!$F52=0,"",'CST-Calculation'!$F52)))))</f>
        <v/>
      </c>
      <c r="AF52" s="714" t="str">
        <f>IF('CST-Calculation'!AF52=0,"",'CST-Calculation'!AF52)</f>
        <v/>
      </c>
      <c r="AG52" s="714" t="str">
        <f>IF(AE52="","",IF(AF52="TEC Rejected","",IF(AF52="","",ROUND(1.3224*Form!$D$10*AF52,2))))</f>
        <v/>
      </c>
      <c r="AH52" s="714" t="str">
        <f t="shared" si="15"/>
        <v/>
      </c>
      <c r="AI52" s="713" t="str">
        <f>IF(AJ52="","",IF('CST-Calculation'!$F52="Indg","",IF('CST-Calculation'!$F52="TEC Del","",IF('CST-Calculation'!AI52&gt;0,'CST-Calculation'!AI52,IF('CST-Calculation'!$F52=0,"",'CST-Calculation'!$F52)))))</f>
        <v/>
      </c>
      <c r="AJ52" s="714" t="str">
        <f>IF('CST-Calculation'!AJ52=0,"",'CST-Calculation'!AJ52)</f>
        <v/>
      </c>
      <c r="AK52" s="714" t="str">
        <f t="shared" si="16"/>
        <v/>
      </c>
      <c r="AL52" s="714" t="str">
        <f t="shared" si="17"/>
        <v/>
      </c>
      <c r="AM52" s="713" t="str">
        <f>IF(AN52="","",IF('CST-Calculation'!$F52="Indg","",IF('CST-Calculation'!$F52="TEC Del","",IF('CST-Calculation'!AM52&gt;0,'CST-Calculation'!AM52,IF('CST-Calculation'!$F52=0,"",'CST-Calculation'!$F52)))))</f>
        <v/>
      </c>
      <c r="AN52" s="714" t="str">
        <f>IF('CST-Calculation'!AN52=0,"",'CST-Calculation'!AN52)</f>
        <v/>
      </c>
      <c r="AO52" s="714" t="str">
        <f>IF(AM52="","",IF(AN52="TEC Rejected","",IF(AN52="","",ROUND(1.3224*Form!$D$10*AN52,2))))</f>
        <v/>
      </c>
      <c r="AP52" s="714" t="str">
        <f t="shared" si="18"/>
        <v/>
      </c>
      <c r="AQ52" s="713" t="str">
        <f>IF(AR52="","",IF('CST-Calculation'!$F52="Indg","",IF('CST-Calculation'!$F52="TEC Del","",IF('CST-Calculation'!AQ52&gt;0,'CST-Calculation'!AQ52,IF('CST-Calculation'!$F52=0,"",'CST-Calculation'!$F52)))))</f>
        <v/>
      </c>
      <c r="AR52" s="714" t="str">
        <f>IF('CST-Calculation'!AR52=0,"",'CST-Calculation'!AR52)</f>
        <v/>
      </c>
      <c r="AS52" s="714" t="str">
        <f>IF(AQ52="","",IF(AR52="TEC Rejected","",IF(AR52="","",ROUND(1.3224*Form!$D$10*AR52,2))))</f>
        <v/>
      </c>
      <c r="AT52" s="714" t="str">
        <f t="shared" si="19"/>
        <v/>
      </c>
      <c r="AU52" s="713" t="str">
        <f>IF(AV52="","",IF('CST-Calculation'!$F52="Indg","",IF('CST-Calculation'!$F52="TEC Del","",IF('CST-Calculation'!AU52&gt;0,'CST-Calculation'!AU52,IF('CST-Calculation'!$F52=0,"",'CST-Calculation'!$F52)))))</f>
        <v/>
      </c>
      <c r="AV52" s="714" t="str">
        <f>IF('CST-Calculation'!AV52=0,"",'CST-Calculation'!AV52)</f>
        <v/>
      </c>
      <c r="AW52" s="714" t="str">
        <f>IF(AU52="","",IF(AV52="TEC Rejected","",IF(AV52="","",ROUND(1.3224*Form!$D$10*AV52,2))))</f>
        <v/>
      </c>
      <c r="AX52" s="714" t="str">
        <f t="shared" si="20"/>
        <v/>
      </c>
      <c r="AY52" s="715" t="str">
        <f t="shared" si="21"/>
        <v>ADRYS</v>
      </c>
      <c r="AZ52" s="716" t="str">
        <f t="shared" si="22"/>
        <v>MULTIPLE</v>
      </c>
      <c r="BA52" s="716" t="str">
        <f t="shared" si="23"/>
        <v>&lt;= 20%</v>
      </c>
      <c r="BB52" s="716">
        <f>IF(AY52="EST",ROUND(BD52/1.18,2),IF(AY52="ADRYS",ROUND(BD52/1.18,2),ROUND(BD52/(1.3224*Form!$D$10),2)))</f>
        <v>165</v>
      </c>
      <c r="BC52" s="784">
        <f>IF(OR(AY52="EST",AY52="ADRYS"),ROUND(BE52/1.18,2),ROUND(BE52/(1.3224*Form!$D$10),2))</f>
        <v>2310</v>
      </c>
      <c r="BD52" s="717">
        <f>IF(F52="Indg",0,IF(F52="TEC Del",0,IF(AND(IF(G52="",TRUE,G52&lt;=ROUNDUP(1.2*F52,0)),IF(K52="",TRUE,K52&lt;=ROUNDUP(1.2*F52,0)),IF(O52="",TRUE,O52&lt;=ROUNDUP(1.2*F52,0)),IF(S52="",TRUE,S52&lt;=ROUNDUP(1.2*F52,0)),IF(W52="",TRUE,W52&lt;=ROUNDUP(1.2*F52,0)),IF(AA52="",TRUE,AA52&lt;=ROUNDUP(1.2*F52,0)),IF(AE52="",TRUE,AE52&lt;=ROUNDUP(1.2*F52,0)),IF(AI52="",TRUE,AI52&lt;=ROUNDUP(1.2*F52,0)),IF(AM52="",TRUE,AM52&lt;=ROUNDUP(1.2*F52,0)),IF(AQ52="",TRUE,AQ52&lt;=ROUNDUP(1.2*F52,0)),IF(AU52="",TRUE,AU52&lt;=ROUNDUP(1.2*F52,0))),IF(F52=0,0,(IF(SUM(I52,M52,Q52,U52,Y52,AC52,AG52,AK52,AO52,AS52,AW52)=0,0,SMALL((I52,M52,Q52,U52,Y52,AC52,AG52,AK52,AO52,AS52,AW52),COUNTIF((I52:AW52),0)+1)))),IF(BE52=J52,I52,IF(BE52=N52,M52,IF(BE52=R52,Q52,IF(BE52=V52,U52,IF(BE52=Z52,Y52,IF(BE52=AD52,AC52,IF(BE52=AH52,AG52,IF(BE52=AL52,AK52,IF(BE52=AP52,AO52,IF(BE52=AT52,AS52,IF(BE52=AX52,AW52))))))))))))))</f>
        <v>194.7</v>
      </c>
      <c r="BE52" s="714">
        <f>IF(F52="Indg",0,IF(F52="TEC Del",0,IF(AND(IF(G52="",TRUE,G52&lt;=ROUNDUP(1.2*F52,0)),IF(K52="",TRUE,K52&lt;=ROUNDUP(1.2*F52,0)),IF(O52="",TRUE,O52&lt;=ROUNDUP(1.2*F52,0)),IF(S52="",TRUE,S52&lt;=ROUNDUP(1.2*F52,0)),IF(W52="",TRUE,W52&lt;=ROUNDUP(1.2*F52,0)),IF(AA52="",TRUE,AA52&lt;=ROUNDUP(1.2*F52,0)),IF(AE52="",TRUE,AE52&lt;=ROUNDUP(1.2*F52,0)),IF(AI52="",TRUE,AI52&lt;=ROUNDUP(1.2*F52,0)),IF(AM52="",TRUE,AM52&lt;=ROUNDUP(1.2*F52,0)),IF(AQ52="",TRUE,AQ52&lt;=ROUNDUP(1.2*F52,0)),IF(AU52="",TRUE,AU52&lt;=ROUNDUP(1.2*F52,0))),ROUND(BD52*IF(BD52=I52,G52,IF(BD52=M52,K52,IF(BD52=Q52,O52,IF(BD52=U52,S52,IF(BD52=Y52,W52,IF(BD52=AC52,AA52,IF(BD52=AG52,AE52,IF(BD52=AK52,AI52,IF(BD52=AO52,AM52,IF(BD52=AS52,AQ52,IF(BD52=AW52,AU52))))))))))),2),(IF(SUM(J52,N52,R52,V52,Z52,AD52,AH52,AL52,AP52,AT52,AX52)=0,0,SMALL((J52,N52,R52,V52,Z52,AD52,AH52,AL52,AP52,AT52,AX52),COUNTIF((J52:AX52),0)+1))))))</f>
        <v>2725.8</v>
      </c>
      <c r="BF52" s="714">
        <f>IF('Annexure-I'!L49="",'Annexure-I'!F49,'Annexure-I'!L49)</f>
        <v>3.91</v>
      </c>
      <c r="BG52" s="714" t="str">
        <f>IF('Annexure-I'!M49="",'Annexure-I'!G49,'Annexure-I'!M49)</f>
        <v>CONTRACT-A48</v>
      </c>
      <c r="BH52" s="764">
        <f>IF('Annexure-I'!N49="",'Annexure-I'!H49,'Annexure-I'!N49)</f>
        <v>39386</v>
      </c>
      <c r="BI52" s="717">
        <f>IF('Annexure-I'!P49="",'Annexure-I'!J49,'Annexure-I'!P49)</f>
        <v>8.9499999999999993</v>
      </c>
      <c r="BJ52" s="717">
        <f>IF('Annexure-I'!Q49="",'Annexure-I'!K49,'Annexure-I'!Q49)</f>
        <v>979.74103439999988</v>
      </c>
      <c r="BK52" s="714">
        <f>'Annexure-I'!F49</f>
        <v>3.91</v>
      </c>
      <c r="BL52" s="718" t="str">
        <f>'Annexure-I'!G49</f>
        <v>CONTRACT-A48</v>
      </c>
      <c r="BM52" s="764">
        <f>IF('Annexure-I'!H49=0,"",'Annexure-I'!H49)</f>
        <v>39386</v>
      </c>
      <c r="BN52" s="717">
        <f>'Annexure-I'!J49</f>
        <v>8.9499999999999993</v>
      </c>
      <c r="BO52" s="717">
        <f>'Annexure-I'!K49</f>
        <v>979.74103439999988</v>
      </c>
      <c r="BP52" s="714">
        <f>IF(OR(AY52="EST",AY52="ADRYS"),ROUND((BC52*1.18)/(1.3224*Form!$D$10),2),BC52)</f>
        <v>24.9</v>
      </c>
      <c r="BQ52" s="714">
        <f>ROUND(BS52/(1.3224*Form!$D$10),2)</f>
        <v>125.3</v>
      </c>
      <c r="BR52" s="714">
        <f t="shared" si="24"/>
        <v>2725.8</v>
      </c>
      <c r="BS52" s="714">
        <f t="shared" si="25"/>
        <v>13716.37</v>
      </c>
      <c r="BT52" s="719">
        <f t="shared" si="26"/>
        <v>-0.80127395221913666</v>
      </c>
      <c r="BU52" s="714"/>
      <c r="BV52" s="714">
        <f t="shared" si="8"/>
        <v>0</v>
      </c>
      <c r="BW52" s="714">
        <f>IF(OR(AY52="EST",AY52="ADRYS"),ROUND(1.18*BU52,2),ROUND(BU52*1.3224*Form!$D$10,2))</f>
        <v>0</v>
      </c>
      <c r="BX52" s="714">
        <f t="shared" si="9"/>
        <v>0</v>
      </c>
      <c r="BY52" s="719">
        <f t="shared" si="28"/>
        <v>0</v>
      </c>
      <c r="BZ52" s="714">
        <f t="shared" si="11"/>
        <v>13716.37</v>
      </c>
      <c r="CA52" s="720"/>
      <c r="CB52" s="720"/>
      <c r="CC52" s="4"/>
      <c r="CD52" s="4"/>
      <c r="CE52" s="4"/>
      <c r="CF52" s="4"/>
      <c r="CG52" s="4"/>
      <c r="CH52" s="4"/>
      <c r="CI52" s="721"/>
    </row>
    <row r="53" spans="1:96" s="579" customFormat="1" ht="45" x14ac:dyDescent="0.25">
      <c r="A53" s="712">
        <f>SUBTOTAL(2,$B$5:B53)</f>
        <v>49</v>
      </c>
      <c r="B53" s="754">
        <v>49</v>
      </c>
      <c r="C53" s="755" t="s">
        <v>717</v>
      </c>
      <c r="D53" s="755" t="s">
        <v>128</v>
      </c>
      <c r="E53" s="754">
        <v>22</v>
      </c>
      <c r="F53" s="658">
        <f>'Annexure-I'!E50</f>
        <v>22</v>
      </c>
      <c r="G53" s="784" t="str">
        <f>IF('CST-Calculation'!G53=0,"",'CST-Calculation'!G53)</f>
        <v/>
      </c>
      <c r="H53" s="784" t="str">
        <f>IF('CST-Calculation'!H53=0,"",'CST-Calculation'!H53)</f>
        <v/>
      </c>
      <c r="I53" s="714" t="str">
        <f>IF(G53="","",IF(H53="TEC Rejected","",IF(H53="","",ROUND(1.3224*Form!$D$10*H53,2))))</f>
        <v/>
      </c>
      <c r="J53" s="714" t="str">
        <f t="shared" si="0"/>
        <v/>
      </c>
      <c r="K53" s="713" t="str">
        <f>IF(L53="","",IF('CST-Calculation'!$F53="Indg","",IF('CST-Calculation'!$F53="TEC Del","",IF('CST-Calculation'!K53&gt;0,'CST-Calculation'!K53,IF('CST-Calculation'!$F53=0,"",'CST-Calculation'!$F53)))))</f>
        <v/>
      </c>
      <c r="L53" s="714" t="str">
        <f>IF('CST-Calculation'!L53=0,"",'CST-Calculation'!L53)</f>
        <v/>
      </c>
      <c r="M53" s="714" t="str">
        <f>IF(K53="","",IF(L53="TEC Rejected","",IF(L53="","",ROUND(1.3224*Form!$D$10*L53,2))))</f>
        <v/>
      </c>
      <c r="N53" s="714" t="str">
        <f t="shared" si="1"/>
        <v/>
      </c>
      <c r="O53" s="89">
        <f>IF(P53="","",IF('CST-Calculation'!$F53="Indg","",IF('CST-Calculation'!$F53="TEC Del","",IF('CST-Calculation'!O53&gt;0,'CST-Calculation'!O53,IF('CST-Calculation'!$F53=0,"",'CST-Calculation'!$F53)))))</f>
        <v>22</v>
      </c>
      <c r="P53" s="714">
        <f>IF('CST-Calculation'!P53=0,"",'CST-Calculation'!P53)</f>
        <v>2.5</v>
      </c>
      <c r="Q53" s="714">
        <f>IF(O53="","",IF(P53="TEC Rejected","",IF(P53="","",ROUND(1.3224*Form!$D$10*P53,2))))</f>
        <v>273.67</v>
      </c>
      <c r="R53" s="714">
        <f t="shared" si="2"/>
        <v>6020.74</v>
      </c>
      <c r="S53" s="89">
        <f>IF(T53="","",IF('CST-Calculation'!$F53="Indg","",IF('CST-Calculation'!$F53="TEC Del","",IF('CST-Calculation'!S53&gt;0,'CST-Calculation'!S53,IF('CST-Calculation'!$F53=0,"",'CST-Calculation'!$F53)))))</f>
        <v>22</v>
      </c>
      <c r="T53" s="714">
        <f>IF('CST-Calculation'!T53=0,"",'CST-Calculation'!T53)</f>
        <v>6.5</v>
      </c>
      <c r="U53" s="714">
        <f>IF(S53="","",IF(T53="TEC Rejected","",IF(T53="","",ROUND(1.3224*Form!$D$10*T53,2))))</f>
        <v>711.54</v>
      </c>
      <c r="V53" s="714">
        <f t="shared" si="3"/>
        <v>15653.88</v>
      </c>
      <c r="W53" s="713" t="str">
        <f>IF(X53="","",IF('CST-Calculation'!$F53="Indg","",IF('CST-Calculation'!$F53="TEC Del","",IF('CST-Calculation'!W53&gt;0,'CST-Calculation'!W53,IF('CST-Calculation'!$F53=0,"",'CST-Calculation'!$F53)))))</f>
        <v/>
      </c>
      <c r="X53" s="714" t="str">
        <f>IF('CST-Calculation'!X53=0,"",'CST-Calculation'!X53)</f>
        <v/>
      </c>
      <c r="Y53" s="714" t="str">
        <f>IF(W53="","",IF(X53="TEC Rejected","",IF(X53="","",ROUND(1.3224*Form!$D$10*X53,2))))</f>
        <v/>
      </c>
      <c r="Z53" s="714" t="str">
        <f t="shared" si="12"/>
        <v/>
      </c>
      <c r="AA53" s="713">
        <f>IF(AB53="","",IF('CST-Calculation'!$F53="Indg","",IF('CST-Calculation'!$F53="TEC Del","",IF('CST-Calculation'!AA53&gt;0,'CST-Calculation'!AA53,IF('CST-Calculation'!$F53=0,"",'CST-Calculation'!$F53)))))</f>
        <v>22</v>
      </c>
      <c r="AB53" s="714">
        <f>IF('CST-Calculation'!AB53=0,"",'CST-Calculation'!AB53)</f>
        <v>90</v>
      </c>
      <c r="AC53" s="714">
        <f t="shared" si="13"/>
        <v>106.2</v>
      </c>
      <c r="AD53" s="714">
        <f t="shared" si="14"/>
        <v>2336.4</v>
      </c>
      <c r="AE53" s="713" t="str">
        <f>IF(AF53="","",IF('CST-Calculation'!$F53="Indg","",IF('CST-Calculation'!$F53="TEC Del","",IF('CST-Calculation'!AE53&gt;0,'CST-Calculation'!AE53,IF('CST-Calculation'!$F53=0,"",'CST-Calculation'!$F53)))))</f>
        <v/>
      </c>
      <c r="AF53" s="714" t="str">
        <f>IF('CST-Calculation'!AF53=0,"",'CST-Calculation'!AF53)</f>
        <v/>
      </c>
      <c r="AG53" s="714" t="str">
        <f>IF(AE53="","",IF(AF53="TEC Rejected","",IF(AF53="","",ROUND(1.3224*Form!$D$10*AF53,2))))</f>
        <v/>
      </c>
      <c r="AH53" s="714" t="str">
        <f t="shared" si="15"/>
        <v/>
      </c>
      <c r="AI53" s="713" t="str">
        <f>IF(AJ53="","",IF('CST-Calculation'!$F53="Indg","",IF('CST-Calculation'!$F53="TEC Del","",IF('CST-Calculation'!AI53&gt;0,'CST-Calculation'!AI53,IF('CST-Calculation'!$F53=0,"",'CST-Calculation'!$F53)))))</f>
        <v/>
      </c>
      <c r="AJ53" s="714" t="str">
        <f>IF('CST-Calculation'!AJ53=0,"",'CST-Calculation'!AJ53)</f>
        <v/>
      </c>
      <c r="AK53" s="714" t="str">
        <f t="shared" si="16"/>
        <v/>
      </c>
      <c r="AL53" s="714" t="str">
        <f t="shared" si="17"/>
        <v/>
      </c>
      <c r="AM53" s="713" t="str">
        <f>IF(AN53="","",IF('CST-Calculation'!$F53="Indg","",IF('CST-Calculation'!$F53="TEC Del","",IF('CST-Calculation'!AM53&gt;0,'CST-Calculation'!AM53,IF('CST-Calculation'!$F53=0,"",'CST-Calculation'!$F53)))))</f>
        <v/>
      </c>
      <c r="AN53" s="714" t="str">
        <f>IF('CST-Calculation'!AN53=0,"",'CST-Calculation'!AN53)</f>
        <v/>
      </c>
      <c r="AO53" s="714" t="str">
        <f>IF(AM53="","",IF(AN53="TEC Rejected","",IF(AN53="","",ROUND(1.3224*Form!$D$10*AN53,2))))</f>
        <v/>
      </c>
      <c r="AP53" s="714" t="str">
        <f t="shared" si="18"/>
        <v/>
      </c>
      <c r="AQ53" s="713" t="str">
        <f>IF(AR53="","",IF('CST-Calculation'!$F53="Indg","",IF('CST-Calculation'!$F53="TEC Del","",IF('CST-Calculation'!AQ53&gt;0,'CST-Calculation'!AQ53,IF('CST-Calculation'!$F53=0,"",'CST-Calculation'!$F53)))))</f>
        <v/>
      </c>
      <c r="AR53" s="714" t="str">
        <f>IF('CST-Calculation'!AR53=0,"",'CST-Calculation'!AR53)</f>
        <v/>
      </c>
      <c r="AS53" s="714" t="str">
        <f>IF(AQ53="","",IF(AR53="TEC Rejected","",IF(AR53="","",ROUND(1.3224*Form!$D$10*AR53,2))))</f>
        <v/>
      </c>
      <c r="AT53" s="714" t="str">
        <f t="shared" si="19"/>
        <v/>
      </c>
      <c r="AU53" s="713" t="str">
        <f>IF(AV53="","",IF('CST-Calculation'!$F53="Indg","",IF('CST-Calculation'!$F53="TEC Del","",IF('CST-Calculation'!AU53&gt;0,'CST-Calculation'!AU53,IF('CST-Calculation'!$F53=0,"",'CST-Calculation'!$F53)))))</f>
        <v/>
      </c>
      <c r="AV53" s="714" t="str">
        <f>IF('CST-Calculation'!AV53=0,"",'CST-Calculation'!AV53)</f>
        <v/>
      </c>
      <c r="AW53" s="714" t="str">
        <f>IF(AU53="","",IF(AV53="TEC Rejected","",IF(AV53="","",ROUND(1.3224*Form!$D$10*AV53,2))))</f>
        <v/>
      </c>
      <c r="AX53" s="714" t="str">
        <f t="shared" si="20"/>
        <v/>
      </c>
      <c r="AY53" s="715" t="str">
        <f t="shared" si="21"/>
        <v>ADRYS</v>
      </c>
      <c r="AZ53" s="716" t="str">
        <f t="shared" si="22"/>
        <v>MULTIPLE</v>
      </c>
      <c r="BA53" s="716" t="str">
        <f t="shared" si="23"/>
        <v>&lt;= 20%</v>
      </c>
      <c r="BB53" s="716">
        <f>IF(AY53="EST",ROUND(BD53/1.18,2),IF(AY53="ADRYS",ROUND(BD53/1.18,2),ROUND(BD53/(1.3224*Form!$D$10),2)))</f>
        <v>90</v>
      </c>
      <c r="BC53" s="784">
        <f>IF(OR(AY53="EST",AY53="ADRYS"),ROUND(BE53/1.18,2),ROUND(BE53/(1.3224*Form!$D$10),2))</f>
        <v>1980</v>
      </c>
      <c r="BD53" s="717">
        <f>IF(F53="Indg",0,IF(F53="TEC Del",0,IF(AND(IF(G53="",TRUE,G53&lt;=ROUNDUP(1.2*F53,0)),IF(K53="",TRUE,K53&lt;=ROUNDUP(1.2*F53,0)),IF(O53="",TRUE,O53&lt;=ROUNDUP(1.2*F53,0)),IF(S53="",TRUE,S53&lt;=ROUNDUP(1.2*F53,0)),IF(W53="",TRUE,W53&lt;=ROUNDUP(1.2*F53,0)),IF(AA53="",TRUE,AA53&lt;=ROUNDUP(1.2*F53,0)),IF(AE53="",TRUE,AE53&lt;=ROUNDUP(1.2*F53,0)),IF(AI53="",TRUE,AI53&lt;=ROUNDUP(1.2*F53,0)),IF(AM53="",TRUE,AM53&lt;=ROUNDUP(1.2*F53,0)),IF(AQ53="",TRUE,AQ53&lt;=ROUNDUP(1.2*F53,0)),IF(AU53="",TRUE,AU53&lt;=ROUNDUP(1.2*F53,0))),IF(F53=0,0,(IF(SUM(I53,M53,Q53,U53,Y53,AC53,AG53,AK53,AO53,AS53,AW53)=0,0,SMALL((I53,M53,Q53,U53,Y53,AC53,AG53,AK53,AO53,AS53,AW53),COUNTIF((I53:AW53),0)+1)))),IF(BE53=J53,I53,IF(BE53=N53,M53,IF(BE53=R53,Q53,IF(BE53=V53,U53,IF(BE53=Z53,Y53,IF(BE53=AD53,AC53,IF(BE53=AH53,AG53,IF(BE53=AL53,AK53,IF(BE53=AP53,AO53,IF(BE53=AT53,AS53,IF(BE53=AX53,AW53))))))))))))))</f>
        <v>106.2</v>
      </c>
      <c r="BE53" s="714">
        <f>IF(F53="Indg",0,IF(F53="TEC Del",0,IF(AND(IF(G53="",TRUE,G53&lt;=ROUNDUP(1.2*F53,0)),IF(K53="",TRUE,K53&lt;=ROUNDUP(1.2*F53,0)),IF(O53="",TRUE,O53&lt;=ROUNDUP(1.2*F53,0)),IF(S53="",TRUE,S53&lt;=ROUNDUP(1.2*F53,0)),IF(W53="",TRUE,W53&lt;=ROUNDUP(1.2*F53,0)),IF(AA53="",TRUE,AA53&lt;=ROUNDUP(1.2*F53,0)),IF(AE53="",TRUE,AE53&lt;=ROUNDUP(1.2*F53,0)),IF(AI53="",TRUE,AI53&lt;=ROUNDUP(1.2*F53,0)),IF(AM53="",TRUE,AM53&lt;=ROUNDUP(1.2*F53,0)),IF(AQ53="",TRUE,AQ53&lt;=ROUNDUP(1.2*F53,0)),IF(AU53="",TRUE,AU53&lt;=ROUNDUP(1.2*F53,0))),ROUND(BD53*IF(BD53=I53,G53,IF(BD53=M53,K53,IF(BD53=Q53,O53,IF(BD53=U53,S53,IF(BD53=Y53,W53,IF(BD53=AC53,AA53,IF(BD53=AG53,AE53,IF(BD53=AK53,AI53,IF(BD53=AO53,AM53,IF(BD53=AS53,AQ53,IF(BD53=AW53,AU53))))))))))),2),(IF(SUM(J53,N53,R53,V53,Z53,AD53,AH53,AL53,AP53,AT53,AX53)=0,0,SMALL((J53,N53,R53,V53,Z53,AD53,AH53,AL53,AP53,AT53,AX53),COUNTIF((J53:AX53),0)+1))))))</f>
        <v>2336.4</v>
      </c>
      <c r="BF53" s="714">
        <f>IF('Annexure-I'!L50="",'Annexure-I'!F50,'Annexure-I'!L50)</f>
        <v>0.41</v>
      </c>
      <c r="BG53" s="714" t="str">
        <f>IF('Annexure-I'!M50="",'Annexure-I'!G50,'Annexure-I'!M50)</f>
        <v>CONTRACT-A49</v>
      </c>
      <c r="BH53" s="764">
        <f>IF('Annexure-I'!N50="",'Annexure-I'!H50,'Annexure-I'!N50)</f>
        <v>39386</v>
      </c>
      <c r="BI53" s="717">
        <f>IF('Annexure-I'!P50="",'Annexure-I'!J50,'Annexure-I'!P50)</f>
        <v>0.94</v>
      </c>
      <c r="BJ53" s="717">
        <f>IF('Annexure-I'!Q50="",'Annexure-I'!K50,'Annexure-I'!Q50)</f>
        <v>102.90017567999999</v>
      </c>
      <c r="BK53" s="714">
        <f>'Annexure-I'!F50</f>
        <v>0.41</v>
      </c>
      <c r="BL53" s="718" t="str">
        <f>'Annexure-I'!G50</f>
        <v>CONTRACT-A49</v>
      </c>
      <c r="BM53" s="764">
        <f>IF('Annexure-I'!H50=0,"",'Annexure-I'!H50)</f>
        <v>39386</v>
      </c>
      <c r="BN53" s="717">
        <f>'Annexure-I'!J50</f>
        <v>0.94</v>
      </c>
      <c r="BO53" s="717">
        <f>'Annexure-I'!K50</f>
        <v>102.90017567999999</v>
      </c>
      <c r="BP53" s="714">
        <f>IF(OR(AY53="EST",AY53="ADRYS"),ROUND((BC53*1.18)/(1.3224*Form!$D$10),2),BC53)</f>
        <v>21.34</v>
      </c>
      <c r="BQ53" s="714">
        <f>ROUND(BS53/(1.3224*Form!$D$10),2)</f>
        <v>20.68</v>
      </c>
      <c r="BR53" s="714">
        <f t="shared" si="24"/>
        <v>2336.4</v>
      </c>
      <c r="BS53" s="714">
        <f t="shared" si="25"/>
        <v>2263.8000000000002</v>
      </c>
      <c r="BT53" s="719">
        <f t="shared" si="26"/>
        <v>3.2069970845481008E-2</v>
      </c>
      <c r="BU53" s="714"/>
      <c r="BV53" s="714">
        <f t="shared" si="8"/>
        <v>0</v>
      </c>
      <c r="BW53" s="714">
        <f>IF(OR(AY53="EST",AY53="ADRYS"),ROUND(1.18*BU53,2),ROUND(BU53*1.3224*Form!$D$10,2))</f>
        <v>0</v>
      </c>
      <c r="BX53" s="714">
        <f t="shared" si="9"/>
        <v>0</v>
      </c>
      <c r="BY53" s="719">
        <f t="shared" si="28"/>
        <v>0</v>
      </c>
      <c r="BZ53" s="714">
        <f t="shared" si="11"/>
        <v>2263.8000000000002</v>
      </c>
      <c r="CA53" s="720"/>
      <c r="CB53" s="720"/>
      <c r="CC53" s="4"/>
      <c r="CD53" s="4"/>
      <c r="CE53" s="4"/>
      <c r="CF53" s="4"/>
      <c r="CG53" s="4"/>
      <c r="CH53" s="4"/>
      <c r="CI53" s="721"/>
    </row>
    <row r="54" spans="1:96" s="579" customFormat="1" ht="45" x14ac:dyDescent="0.25">
      <c r="A54" s="712">
        <f>SUBTOTAL(2,$B$5:B54)</f>
        <v>50</v>
      </c>
      <c r="B54" s="754">
        <v>50</v>
      </c>
      <c r="C54" s="756" t="s">
        <v>718</v>
      </c>
      <c r="D54" s="755" t="s">
        <v>128</v>
      </c>
      <c r="E54" s="754">
        <v>31</v>
      </c>
      <c r="F54" s="658">
        <f>'Annexure-I'!E51</f>
        <v>31</v>
      </c>
      <c r="G54" s="784" t="str">
        <f>IF('CST-Calculation'!G54=0,"",'CST-Calculation'!G54)</f>
        <v/>
      </c>
      <c r="H54" s="784" t="str">
        <f>IF('CST-Calculation'!H54=0,"",'CST-Calculation'!H54)</f>
        <v/>
      </c>
      <c r="I54" s="714" t="str">
        <f>IF(G54="","",IF(H54="TEC Rejected","",IF(H54="","",ROUND(1.3224*Form!$D$10*H54,2))))</f>
        <v/>
      </c>
      <c r="J54" s="714" t="str">
        <f t="shared" si="0"/>
        <v/>
      </c>
      <c r="K54" s="713" t="str">
        <f>IF(L54="","",IF('CST-Calculation'!$F54="Indg","",IF('CST-Calculation'!$F54="TEC Del","",IF('CST-Calculation'!K54&gt;0,'CST-Calculation'!K54,IF('CST-Calculation'!$F54=0,"",'CST-Calculation'!$F54)))))</f>
        <v/>
      </c>
      <c r="L54" s="714" t="str">
        <f>IF('CST-Calculation'!L54=0,"",'CST-Calculation'!L54)</f>
        <v/>
      </c>
      <c r="M54" s="714" t="str">
        <f>IF(K54="","",IF(L54="TEC Rejected","",IF(L54="","",ROUND(1.3224*Form!$D$10*L54,2))))</f>
        <v/>
      </c>
      <c r="N54" s="714" t="str">
        <f t="shared" si="1"/>
        <v/>
      </c>
      <c r="O54" s="89">
        <f>IF(P54="","",IF('CST-Calculation'!$F54="Indg","",IF('CST-Calculation'!$F54="TEC Del","",IF('CST-Calculation'!O54&gt;0,'CST-Calculation'!O54,IF('CST-Calculation'!$F54=0,"",'CST-Calculation'!$F54)))))</f>
        <v>31</v>
      </c>
      <c r="P54" s="714">
        <f>IF('CST-Calculation'!P54=0,"",'CST-Calculation'!P54)</f>
        <v>2.5</v>
      </c>
      <c r="Q54" s="714">
        <f>IF(O54="","",IF(P54="TEC Rejected","",IF(P54="","",ROUND(1.3224*Form!$D$10*P54,2))))</f>
        <v>273.67</v>
      </c>
      <c r="R54" s="714">
        <f t="shared" si="2"/>
        <v>8483.77</v>
      </c>
      <c r="S54" s="89">
        <f>IF(T54="","",IF('CST-Calculation'!$F54="Indg","",IF('CST-Calculation'!$F54="TEC Del","",IF('CST-Calculation'!S54&gt;0,'CST-Calculation'!S54,IF('CST-Calculation'!$F54=0,"",'CST-Calculation'!$F54)))))</f>
        <v>31</v>
      </c>
      <c r="T54" s="714">
        <f>IF('CST-Calculation'!T54=0,"",'CST-Calculation'!T54)</f>
        <v>6.5</v>
      </c>
      <c r="U54" s="714">
        <f>IF(S54="","",IF(T54="TEC Rejected","",IF(T54="","",ROUND(1.3224*Form!$D$10*T54,2))))</f>
        <v>711.54</v>
      </c>
      <c r="V54" s="714">
        <f t="shared" si="3"/>
        <v>22057.74</v>
      </c>
      <c r="W54" s="713" t="str">
        <f>IF(X54="","",IF('CST-Calculation'!$F54="Indg","",IF('CST-Calculation'!$F54="TEC Del","",IF('CST-Calculation'!W54&gt;0,'CST-Calculation'!W54,IF('CST-Calculation'!$F54=0,"",'CST-Calculation'!$F54)))))</f>
        <v/>
      </c>
      <c r="X54" s="714" t="str">
        <f>IF('CST-Calculation'!X54=0,"",'CST-Calculation'!X54)</f>
        <v/>
      </c>
      <c r="Y54" s="714" t="str">
        <f>IF(W54="","",IF(X54="TEC Rejected","",IF(X54="","",ROUND(1.3224*Form!$D$10*X54,2))))</f>
        <v/>
      </c>
      <c r="Z54" s="714" t="str">
        <f t="shared" si="12"/>
        <v/>
      </c>
      <c r="AA54" s="713">
        <f>IF(AB54="","",IF('CST-Calculation'!$F54="Indg","",IF('CST-Calculation'!$F54="TEC Del","",IF('CST-Calculation'!AA54&gt;0,'CST-Calculation'!AA54,IF('CST-Calculation'!$F54=0,"",'CST-Calculation'!$F54)))))</f>
        <v>31</v>
      </c>
      <c r="AB54" s="714">
        <f>IF('CST-Calculation'!AB54=0,"",'CST-Calculation'!AB54)</f>
        <v>90</v>
      </c>
      <c r="AC54" s="714">
        <f t="shared" si="13"/>
        <v>106.2</v>
      </c>
      <c r="AD54" s="714">
        <f t="shared" si="14"/>
        <v>3292.2</v>
      </c>
      <c r="AE54" s="713" t="str">
        <f>IF(AF54="","",IF('CST-Calculation'!$F54="Indg","",IF('CST-Calculation'!$F54="TEC Del","",IF('CST-Calculation'!AE54&gt;0,'CST-Calculation'!AE54,IF('CST-Calculation'!$F54=0,"",'CST-Calculation'!$F54)))))</f>
        <v/>
      </c>
      <c r="AF54" s="714" t="str">
        <f>IF('CST-Calculation'!AF54=0,"",'CST-Calculation'!AF54)</f>
        <v/>
      </c>
      <c r="AG54" s="714" t="str">
        <f>IF(AE54="","",IF(AF54="TEC Rejected","",IF(AF54="","",ROUND(1.3224*Form!$D$10*AF54,2))))</f>
        <v/>
      </c>
      <c r="AH54" s="714" t="str">
        <f t="shared" si="15"/>
        <v/>
      </c>
      <c r="AI54" s="713" t="str">
        <f>IF(AJ54="","",IF('CST-Calculation'!$F54="Indg","",IF('CST-Calculation'!$F54="TEC Del","",IF('CST-Calculation'!AI54&gt;0,'CST-Calculation'!AI54,IF('CST-Calculation'!$F54=0,"",'CST-Calculation'!$F54)))))</f>
        <v/>
      </c>
      <c r="AJ54" s="714" t="str">
        <f>IF('CST-Calculation'!AJ54=0,"",'CST-Calculation'!AJ54)</f>
        <v/>
      </c>
      <c r="AK54" s="714" t="str">
        <f t="shared" si="16"/>
        <v/>
      </c>
      <c r="AL54" s="714" t="str">
        <f t="shared" si="17"/>
        <v/>
      </c>
      <c r="AM54" s="713" t="str">
        <f>IF(AN54="","",IF('CST-Calculation'!$F54="Indg","",IF('CST-Calculation'!$F54="TEC Del","",IF('CST-Calculation'!AM54&gt;0,'CST-Calculation'!AM54,IF('CST-Calculation'!$F54=0,"",'CST-Calculation'!$F54)))))</f>
        <v/>
      </c>
      <c r="AN54" s="714" t="str">
        <f>IF('CST-Calculation'!AN54=0,"",'CST-Calculation'!AN54)</f>
        <v/>
      </c>
      <c r="AO54" s="714" t="str">
        <f>IF(AM54="","",IF(AN54="TEC Rejected","",IF(AN54="","",ROUND(1.3224*Form!$D$10*AN54,2))))</f>
        <v/>
      </c>
      <c r="AP54" s="714" t="str">
        <f t="shared" si="18"/>
        <v/>
      </c>
      <c r="AQ54" s="713" t="str">
        <f>IF(AR54="","",IF('CST-Calculation'!$F54="Indg","",IF('CST-Calculation'!$F54="TEC Del","",IF('CST-Calculation'!AQ54&gt;0,'CST-Calculation'!AQ54,IF('CST-Calculation'!$F54=0,"",'CST-Calculation'!$F54)))))</f>
        <v/>
      </c>
      <c r="AR54" s="714" t="str">
        <f>IF('CST-Calculation'!AR54=0,"",'CST-Calculation'!AR54)</f>
        <v/>
      </c>
      <c r="AS54" s="714" t="str">
        <f>IF(AQ54="","",IF(AR54="TEC Rejected","",IF(AR54="","",ROUND(1.3224*Form!$D$10*AR54,2))))</f>
        <v/>
      </c>
      <c r="AT54" s="714" t="str">
        <f t="shared" si="19"/>
        <v/>
      </c>
      <c r="AU54" s="713" t="str">
        <f>IF(AV54="","",IF('CST-Calculation'!$F54="Indg","",IF('CST-Calculation'!$F54="TEC Del","",IF('CST-Calculation'!AU54&gt;0,'CST-Calculation'!AU54,IF('CST-Calculation'!$F54=0,"",'CST-Calculation'!$F54)))))</f>
        <v/>
      </c>
      <c r="AV54" s="714" t="str">
        <f>IF('CST-Calculation'!AV54=0,"",'CST-Calculation'!AV54)</f>
        <v/>
      </c>
      <c r="AW54" s="714" t="str">
        <f>IF(AU54="","",IF(AV54="TEC Rejected","",IF(AV54="","",ROUND(1.3224*Form!$D$10*AV54,2))))</f>
        <v/>
      </c>
      <c r="AX54" s="714" t="str">
        <f t="shared" si="20"/>
        <v/>
      </c>
      <c r="AY54" s="715" t="str">
        <f t="shared" si="21"/>
        <v>ADRYS</v>
      </c>
      <c r="AZ54" s="716" t="str">
        <f t="shared" si="22"/>
        <v>MULTIPLE</v>
      </c>
      <c r="BA54" s="716" t="str">
        <f t="shared" si="23"/>
        <v>&lt;= 20%</v>
      </c>
      <c r="BB54" s="716">
        <f>IF(AY54="EST",ROUND(BD54/1.18,2),IF(AY54="ADRYS",ROUND(BD54/1.18,2),ROUND(BD54/(1.3224*Form!$D$10),2)))</f>
        <v>90</v>
      </c>
      <c r="BC54" s="784">
        <f>IF(OR(AY54="EST",AY54="ADRYS"),ROUND(BE54/1.18,2),ROUND(BE54/(1.3224*Form!$D$10),2))</f>
        <v>2790</v>
      </c>
      <c r="BD54" s="717">
        <f>IF(F54="Indg",0,IF(F54="TEC Del",0,IF(AND(IF(G54="",TRUE,G54&lt;=ROUNDUP(1.2*F54,0)),IF(K54="",TRUE,K54&lt;=ROUNDUP(1.2*F54,0)),IF(O54="",TRUE,O54&lt;=ROUNDUP(1.2*F54,0)),IF(S54="",TRUE,S54&lt;=ROUNDUP(1.2*F54,0)),IF(W54="",TRUE,W54&lt;=ROUNDUP(1.2*F54,0)),IF(AA54="",TRUE,AA54&lt;=ROUNDUP(1.2*F54,0)),IF(AE54="",TRUE,AE54&lt;=ROUNDUP(1.2*F54,0)),IF(AI54="",TRUE,AI54&lt;=ROUNDUP(1.2*F54,0)),IF(AM54="",TRUE,AM54&lt;=ROUNDUP(1.2*F54,0)),IF(AQ54="",TRUE,AQ54&lt;=ROUNDUP(1.2*F54,0)),IF(AU54="",TRUE,AU54&lt;=ROUNDUP(1.2*F54,0))),IF(F54=0,0,(IF(SUM(I54,M54,Q54,U54,Y54,AC54,AG54,AK54,AO54,AS54,AW54)=0,0,SMALL((I54,M54,Q54,U54,Y54,AC54,AG54,AK54,AO54,AS54,AW54),COUNTIF((I54:AW54),0)+1)))),IF(BE54=J54,I54,IF(BE54=N54,M54,IF(BE54=R54,Q54,IF(BE54=V54,U54,IF(BE54=Z54,Y54,IF(BE54=AD54,AC54,IF(BE54=AH54,AG54,IF(BE54=AL54,AK54,IF(BE54=AP54,AO54,IF(BE54=AT54,AS54,IF(BE54=AX54,AW54))))))))))))))</f>
        <v>106.2</v>
      </c>
      <c r="BE54" s="714">
        <f>IF(F54="Indg",0,IF(F54="TEC Del",0,IF(AND(IF(G54="",TRUE,G54&lt;=ROUNDUP(1.2*F54,0)),IF(K54="",TRUE,K54&lt;=ROUNDUP(1.2*F54,0)),IF(O54="",TRUE,O54&lt;=ROUNDUP(1.2*F54,0)),IF(S54="",TRUE,S54&lt;=ROUNDUP(1.2*F54,0)),IF(W54="",TRUE,W54&lt;=ROUNDUP(1.2*F54,0)),IF(AA54="",TRUE,AA54&lt;=ROUNDUP(1.2*F54,0)),IF(AE54="",TRUE,AE54&lt;=ROUNDUP(1.2*F54,0)),IF(AI54="",TRUE,AI54&lt;=ROUNDUP(1.2*F54,0)),IF(AM54="",TRUE,AM54&lt;=ROUNDUP(1.2*F54,0)),IF(AQ54="",TRUE,AQ54&lt;=ROUNDUP(1.2*F54,0)),IF(AU54="",TRUE,AU54&lt;=ROUNDUP(1.2*F54,0))),ROUND(BD54*IF(BD54=I54,G54,IF(BD54=M54,K54,IF(BD54=Q54,O54,IF(BD54=U54,S54,IF(BD54=Y54,W54,IF(BD54=AC54,AA54,IF(BD54=AG54,AE54,IF(BD54=AK54,AI54,IF(BD54=AO54,AM54,IF(BD54=AS54,AQ54,IF(BD54=AW54,AU54))))))))))),2),(IF(SUM(J54,N54,R54,V54,Z54,AD54,AH54,AL54,AP54,AT54,AX54)=0,0,SMALL((J54,N54,R54,V54,Z54,AD54,AH54,AL54,AP54,AT54,AX54),COUNTIF((J54:AX54),0)+1))))))</f>
        <v>3292.2</v>
      </c>
      <c r="BF54" s="714">
        <f>IF('Annexure-I'!L51="",'Annexure-I'!F51,'Annexure-I'!L51)</f>
        <v>1.75</v>
      </c>
      <c r="BG54" s="714" t="str">
        <f>IF('Annexure-I'!M51="",'Annexure-I'!G51,'Annexure-I'!M51)</f>
        <v>CONTRACT-A50</v>
      </c>
      <c r="BH54" s="764" t="str">
        <f>IF('Annexure-I'!N51="",'Annexure-I'!H51,'Annexure-I'!N51)</f>
        <v>29-12-2015</v>
      </c>
      <c r="BI54" s="717">
        <f>IF('Annexure-I'!P51="",'Annexure-I'!J51,'Annexure-I'!P51)</f>
        <v>2.74</v>
      </c>
      <c r="BJ54" s="717">
        <f>IF('Annexure-I'!Q51="",'Annexure-I'!K51,'Annexure-I'!Q51)</f>
        <v>299.94306528000004</v>
      </c>
      <c r="BK54" s="714">
        <f>'Annexure-I'!F51</f>
        <v>1.75</v>
      </c>
      <c r="BL54" s="718" t="str">
        <f>'Annexure-I'!G51</f>
        <v>CONTRACT-A50</v>
      </c>
      <c r="BM54" s="764" t="str">
        <f>IF('Annexure-I'!H51=0,"",'Annexure-I'!H51)</f>
        <v>29-12-2015</v>
      </c>
      <c r="BN54" s="717">
        <f>'Annexure-I'!J51</f>
        <v>2.74</v>
      </c>
      <c r="BO54" s="717">
        <f>'Annexure-I'!K51</f>
        <v>299.94306528000004</v>
      </c>
      <c r="BP54" s="714">
        <f>IF(OR(AY54="EST",AY54="ADRYS"),ROUND((BC54*1.18)/(1.3224*Form!$D$10),2),BC54)</f>
        <v>30.07</v>
      </c>
      <c r="BQ54" s="714">
        <f>ROUND(BS54/(1.3224*Form!$D$10),2)</f>
        <v>84.94</v>
      </c>
      <c r="BR54" s="714">
        <f t="shared" si="24"/>
        <v>3292.2</v>
      </c>
      <c r="BS54" s="714">
        <f t="shared" si="25"/>
        <v>9298.24</v>
      </c>
      <c r="BT54" s="719">
        <f t="shared" si="26"/>
        <v>-0.64593299377086422</v>
      </c>
      <c r="BU54" s="714"/>
      <c r="BV54" s="714">
        <f t="shared" si="8"/>
        <v>0</v>
      </c>
      <c r="BW54" s="714">
        <f>IF(OR(AY54="EST",AY54="ADRYS"),ROUND(1.18*BU54,2),ROUND(BU54*1.3224*Form!$D$10,2))</f>
        <v>0</v>
      </c>
      <c r="BX54" s="714">
        <f t="shared" si="9"/>
        <v>0</v>
      </c>
      <c r="BY54" s="719">
        <f t="shared" si="28"/>
        <v>0</v>
      </c>
      <c r="BZ54" s="714">
        <f t="shared" si="11"/>
        <v>9298.24</v>
      </c>
      <c r="CA54" s="720"/>
      <c r="CB54" s="720"/>
      <c r="CC54" s="4"/>
      <c r="CD54" s="4"/>
      <c r="CE54" s="4"/>
      <c r="CF54" s="4"/>
      <c r="CG54" s="4"/>
      <c r="CH54" s="4"/>
      <c r="CI54" s="721"/>
    </row>
    <row r="55" spans="1:96" s="579" customFormat="1" ht="45" x14ac:dyDescent="0.25">
      <c r="A55" s="712">
        <f>SUBTOTAL(2,$B$5:B55)</f>
        <v>51</v>
      </c>
      <c r="B55" s="754">
        <v>51</v>
      </c>
      <c r="C55" s="755" t="s">
        <v>719</v>
      </c>
      <c r="D55" s="755" t="s">
        <v>128</v>
      </c>
      <c r="E55" s="754">
        <v>5</v>
      </c>
      <c r="F55" s="658">
        <f>'Annexure-I'!E52</f>
        <v>5</v>
      </c>
      <c r="G55" s="784" t="str">
        <f>IF('CST-Calculation'!G55=0,"",'CST-Calculation'!G55)</f>
        <v/>
      </c>
      <c r="H55" s="784" t="str">
        <f>IF('CST-Calculation'!H55=0,"",'CST-Calculation'!H55)</f>
        <v/>
      </c>
      <c r="I55" s="714" t="str">
        <f>IF(G55="","",IF(H55="TEC Rejected","",IF(H55="","",ROUND(1.3224*Form!$D$10*H55,2))))</f>
        <v/>
      </c>
      <c r="J55" s="714" t="str">
        <f t="shared" si="0"/>
        <v/>
      </c>
      <c r="K55" s="713" t="str">
        <f>IF(L55="","",IF('CST-Calculation'!$F55="Indg","",IF('CST-Calculation'!$F55="TEC Del","",IF('CST-Calculation'!K55&gt;0,'CST-Calculation'!K55,IF('CST-Calculation'!$F55=0,"",'CST-Calculation'!$F55)))))</f>
        <v/>
      </c>
      <c r="L55" s="714" t="str">
        <f>IF('CST-Calculation'!L55=0,"",'CST-Calculation'!L55)</f>
        <v/>
      </c>
      <c r="M55" s="714" t="str">
        <f>IF(K55="","",IF(L55="TEC Rejected","",IF(L55="","",ROUND(1.3224*Form!$D$10*L55,2))))</f>
        <v/>
      </c>
      <c r="N55" s="714" t="str">
        <f t="shared" si="1"/>
        <v/>
      </c>
      <c r="O55" s="89" t="str">
        <f>IF(P55="","",IF('CST-Calculation'!$F55="Indg","",IF('CST-Calculation'!$F55="TEC Del","",IF('CST-Calculation'!O55&gt;0,'CST-Calculation'!O55,IF('CST-Calculation'!$F55=0,"",'CST-Calculation'!$F55)))))</f>
        <v/>
      </c>
      <c r="P55" s="714" t="str">
        <f>IF('CST-Calculation'!P55=0,"",'CST-Calculation'!P55)</f>
        <v/>
      </c>
      <c r="Q55" s="714" t="str">
        <f>IF(O55="","",IF(P55="TEC Rejected","",IF(P55="","",ROUND(1.3224*Form!$D$10*P55,2))))</f>
        <v/>
      </c>
      <c r="R55" s="714" t="str">
        <f t="shared" si="2"/>
        <v/>
      </c>
      <c r="S55" s="89">
        <f>IF(T55="","",IF('CST-Calculation'!$F55="Indg","",IF('CST-Calculation'!$F55="TEC Del","",IF('CST-Calculation'!S55&gt;0,'CST-Calculation'!S55,IF('CST-Calculation'!$F55=0,"",'CST-Calculation'!$F55)))))</f>
        <v>5</v>
      </c>
      <c r="T55" s="714">
        <f>IF('CST-Calculation'!T55=0,"",'CST-Calculation'!T55)</f>
        <v>42</v>
      </c>
      <c r="U55" s="714">
        <f>IF(S55="","",IF(T55="TEC Rejected","",IF(T55="","",ROUND(1.3224*Form!$D$10*T55,2))))</f>
        <v>4597.67</v>
      </c>
      <c r="V55" s="714">
        <f t="shared" si="3"/>
        <v>22988.35</v>
      </c>
      <c r="W55" s="713" t="str">
        <f>IF(X55="","",IF('CST-Calculation'!$F55="Indg","",IF('CST-Calculation'!$F55="TEC Del","",IF('CST-Calculation'!W55&gt;0,'CST-Calculation'!W55,IF('CST-Calculation'!$F55=0,"",'CST-Calculation'!$F55)))))</f>
        <v/>
      </c>
      <c r="X55" s="714" t="str">
        <f>IF('CST-Calculation'!X55=0,"",'CST-Calculation'!X55)</f>
        <v/>
      </c>
      <c r="Y55" s="714" t="str">
        <f>IF(W55="","",IF(X55="TEC Rejected","",IF(X55="","",ROUND(1.3224*Form!$D$10*X55,2))))</f>
        <v/>
      </c>
      <c r="Z55" s="714" t="str">
        <f t="shared" si="12"/>
        <v/>
      </c>
      <c r="AA55" s="713">
        <f>IF(AB55="","",IF('CST-Calculation'!$F55="Indg","",IF('CST-Calculation'!$F55="TEC Del","",IF('CST-Calculation'!AA55&gt;0,'CST-Calculation'!AA55,IF('CST-Calculation'!$F55=0,"",'CST-Calculation'!$F55)))))</f>
        <v>5</v>
      </c>
      <c r="AB55" s="714">
        <f>IF('CST-Calculation'!AB55=0,"",'CST-Calculation'!AB55)</f>
        <v>1515</v>
      </c>
      <c r="AC55" s="714">
        <f t="shared" si="13"/>
        <v>1787.7</v>
      </c>
      <c r="AD55" s="714">
        <f t="shared" si="14"/>
        <v>8938.5</v>
      </c>
      <c r="AE55" s="713" t="str">
        <f>IF(AF55="","",IF('CST-Calculation'!$F55="Indg","",IF('CST-Calculation'!$F55="TEC Del","",IF('CST-Calculation'!AE55&gt;0,'CST-Calculation'!AE55,IF('CST-Calculation'!$F55=0,"",'CST-Calculation'!$F55)))))</f>
        <v/>
      </c>
      <c r="AF55" s="714" t="str">
        <f>IF('CST-Calculation'!AF55=0,"",'CST-Calculation'!AF55)</f>
        <v/>
      </c>
      <c r="AG55" s="714" t="str">
        <f>IF(AE55="","",IF(AF55="TEC Rejected","",IF(AF55="","",ROUND(1.3224*Form!$D$10*AF55,2))))</f>
        <v/>
      </c>
      <c r="AH55" s="714" t="str">
        <f t="shared" si="15"/>
        <v/>
      </c>
      <c r="AI55" s="713" t="str">
        <f>IF(AJ55="","",IF('CST-Calculation'!$F55="Indg","",IF('CST-Calculation'!$F55="TEC Del","",IF('CST-Calculation'!AI55&gt;0,'CST-Calculation'!AI55,IF('CST-Calculation'!$F55=0,"",'CST-Calculation'!$F55)))))</f>
        <v/>
      </c>
      <c r="AJ55" s="714" t="str">
        <f>IF('CST-Calculation'!AJ55=0,"",'CST-Calculation'!AJ55)</f>
        <v/>
      </c>
      <c r="AK55" s="714" t="str">
        <f t="shared" si="16"/>
        <v/>
      </c>
      <c r="AL55" s="714" t="str">
        <f t="shared" si="17"/>
        <v/>
      </c>
      <c r="AM55" s="713" t="str">
        <f>IF(AN55="","",IF('CST-Calculation'!$F55="Indg","",IF('CST-Calculation'!$F55="TEC Del","",IF('CST-Calculation'!AM55&gt;0,'CST-Calculation'!AM55,IF('CST-Calculation'!$F55=0,"",'CST-Calculation'!$F55)))))</f>
        <v/>
      </c>
      <c r="AN55" s="714" t="str">
        <f>IF('CST-Calculation'!AN55=0,"",'CST-Calculation'!AN55)</f>
        <v/>
      </c>
      <c r="AO55" s="714" t="str">
        <f>IF(AM55="","",IF(AN55="TEC Rejected","",IF(AN55="","",ROUND(1.3224*Form!$D$10*AN55,2))))</f>
        <v/>
      </c>
      <c r="AP55" s="714" t="str">
        <f t="shared" si="18"/>
        <v/>
      </c>
      <c r="AQ55" s="713" t="str">
        <f>IF(AR55="","",IF('CST-Calculation'!$F55="Indg","",IF('CST-Calculation'!$F55="TEC Del","",IF('CST-Calculation'!AQ55&gt;0,'CST-Calculation'!AQ55,IF('CST-Calculation'!$F55=0,"",'CST-Calculation'!$F55)))))</f>
        <v/>
      </c>
      <c r="AR55" s="714" t="str">
        <f>IF('CST-Calculation'!AR55=0,"",'CST-Calculation'!AR55)</f>
        <v/>
      </c>
      <c r="AS55" s="714" t="str">
        <f>IF(AQ55="","",IF(AR55="TEC Rejected","",IF(AR55="","",ROUND(1.3224*Form!$D$10*AR55,2))))</f>
        <v/>
      </c>
      <c r="AT55" s="714" t="str">
        <f t="shared" si="19"/>
        <v/>
      </c>
      <c r="AU55" s="713" t="str">
        <f>IF(AV55="","",IF('CST-Calculation'!$F55="Indg","",IF('CST-Calculation'!$F55="TEC Del","",IF('CST-Calculation'!AU55&gt;0,'CST-Calculation'!AU55,IF('CST-Calculation'!$F55=0,"",'CST-Calculation'!$F55)))))</f>
        <v/>
      </c>
      <c r="AV55" s="714" t="str">
        <f>IF('CST-Calculation'!AV55=0,"",'CST-Calculation'!AV55)</f>
        <v/>
      </c>
      <c r="AW55" s="714" t="str">
        <f>IF(AU55="","",IF(AV55="TEC Rejected","",IF(AV55="","",ROUND(1.3224*Form!$D$10*AV55,2))))</f>
        <v/>
      </c>
      <c r="AX55" s="714" t="str">
        <f t="shared" si="20"/>
        <v/>
      </c>
      <c r="AY55" s="715" t="str">
        <f t="shared" si="21"/>
        <v>ADRYS</v>
      </c>
      <c r="AZ55" s="716" t="str">
        <f t="shared" si="22"/>
        <v>MULTIPLE</v>
      </c>
      <c r="BA55" s="716" t="str">
        <f t="shared" si="23"/>
        <v>&lt;= 20%</v>
      </c>
      <c r="BB55" s="716">
        <f>IF(AY55="EST",ROUND(BD55/1.18,2),IF(AY55="ADRYS",ROUND(BD55/1.18,2),ROUND(BD55/(1.3224*Form!$D$10),2)))</f>
        <v>1515</v>
      </c>
      <c r="BC55" s="784">
        <f>IF(OR(AY55="EST",AY55="ADRYS"),ROUND(BE55/1.18,2),ROUND(BE55/(1.3224*Form!$D$10),2))</f>
        <v>7575</v>
      </c>
      <c r="BD55" s="717">
        <f>IF(F55="Indg",0,IF(F55="TEC Del",0,IF(AND(IF(G55="",TRUE,G55&lt;=ROUNDUP(1.2*F55,0)),IF(K55="",TRUE,K55&lt;=ROUNDUP(1.2*F55,0)),IF(O55="",TRUE,O55&lt;=ROUNDUP(1.2*F55,0)),IF(S55="",TRUE,S55&lt;=ROUNDUP(1.2*F55,0)),IF(W55="",TRUE,W55&lt;=ROUNDUP(1.2*F55,0)),IF(AA55="",TRUE,AA55&lt;=ROUNDUP(1.2*F55,0)),IF(AE55="",TRUE,AE55&lt;=ROUNDUP(1.2*F55,0)),IF(AI55="",TRUE,AI55&lt;=ROUNDUP(1.2*F55,0)),IF(AM55="",TRUE,AM55&lt;=ROUNDUP(1.2*F55,0)),IF(AQ55="",TRUE,AQ55&lt;=ROUNDUP(1.2*F55,0)),IF(AU55="",TRUE,AU55&lt;=ROUNDUP(1.2*F55,0))),IF(F55=0,0,(IF(SUM(I55,M55,Q55,U55,Y55,AC55,AG55,AK55,AO55,AS55,AW55)=0,0,SMALL((I55,M55,Q55,U55,Y55,AC55,AG55,AK55,AO55,AS55,AW55),COUNTIF((I55:AW55),0)+1)))),IF(BE55=J55,I55,IF(BE55=N55,M55,IF(BE55=R55,Q55,IF(BE55=V55,U55,IF(BE55=Z55,Y55,IF(BE55=AD55,AC55,IF(BE55=AH55,AG55,IF(BE55=AL55,AK55,IF(BE55=AP55,AO55,IF(BE55=AT55,AS55,IF(BE55=AX55,AW55))))))))))))))</f>
        <v>1787.7</v>
      </c>
      <c r="BE55" s="714">
        <f>IF(F55="Indg",0,IF(F55="TEC Del",0,IF(AND(IF(G55="",TRUE,G55&lt;=ROUNDUP(1.2*F55,0)),IF(K55="",TRUE,K55&lt;=ROUNDUP(1.2*F55,0)),IF(O55="",TRUE,O55&lt;=ROUNDUP(1.2*F55,0)),IF(S55="",TRUE,S55&lt;=ROUNDUP(1.2*F55,0)),IF(W55="",TRUE,W55&lt;=ROUNDUP(1.2*F55,0)),IF(AA55="",TRUE,AA55&lt;=ROUNDUP(1.2*F55,0)),IF(AE55="",TRUE,AE55&lt;=ROUNDUP(1.2*F55,0)),IF(AI55="",TRUE,AI55&lt;=ROUNDUP(1.2*F55,0)),IF(AM55="",TRUE,AM55&lt;=ROUNDUP(1.2*F55,0)),IF(AQ55="",TRUE,AQ55&lt;=ROUNDUP(1.2*F55,0)),IF(AU55="",TRUE,AU55&lt;=ROUNDUP(1.2*F55,0))),ROUND(BD55*IF(BD55=I55,G55,IF(BD55=M55,K55,IF(BD55=Q55,O55,IF(BD55=U55,S55,IF(BD55=Y55,W55,IF(BD55=AC55,AA55,IF(BD55=AG55,AE55,IF(BD55=AK55,AI55,IF(BD55=AO55,AM55,IF(BD55=AS55,AQ55,IF(BD55=AW55,AU55))))))))))),2),(IF(SUM(J55,N55,R55,V55,Z55,AD55,AH55,AL55,AP55,AT55,AX55)=0,0,SMALL((J55,N55,R55,V55,Z55,AD55,AH55,AL55,AP55,AT55,AX55),COUNTIF((J55:AX55),0)+1))))))</f>
        <v>8938.5</v>
      </c>
      <c r="BF55" s="714">
        <f>IF('Annexure-I'!L52="",'Annexure-I'!F52,'Annexure-I'!L52)</f>
        <v>20.260000000000002</v>
      </c>
      <c r="BG55" s="714" t="str">
        <f>IF('Annexure-I'!M52="",'Annexure-I'!G52,'Annexure-I'!M52)</f>
        <v>CONTRACT-A51</v>
      </c>
      <c r="BH55" s="764" t="str">
        <f>IF('Annexure-I'!N52="",'Annexure-I'!H52,'Annexure-I'!N52)</f>
        <v>29-12-2015</v>
      </c>
      <c r="BI55" s="717">
        <f>IF('Annexure-I'!P52="",'Annexure-I'!J52,'Annexure-I'!P52)</f>
        <v>31.7</v>
      </c>
      <c r="BJ55" s="717">
        <f>IF('Annexure-I'!Q52="",'Annexure-I'!K52,'Annexure-I'!Q52)</f>
        <v>3470.1442223999998</v>
      </c>
      <c r="BK55" s="714">
        <f>'Annexure-I'!F52</f>
        <v>20.260000000000002</v>
      </c>
      <c r="BL55" s="718" t="str">
        <f>'Annexure-I'!G52</f>
        <v>CONTRACT-A51</v>
      </c>
      <c r="BM55" s="764" t="str">
        <f>IF('Annexure-I'!H52=0,"",'Annexure-I'!H52)</f>
        <v>29-12-2015</v>
      </c>
      <c r="BN55" s="717">
        <f>'Annexure-I'!J52</f>
        <v>31.7</v>
      </c>
      <c r="BO55" s="717">
        <f>'Annexure-I'!K52</f>
        <v>3470.1442223999998</v>
      </c>
      <c r="BP55" s="714">
        <f>IF(OR(AY55="EST",AY55="ADRYS"),ROUND((BC55*1.18)/(1.3224*Form!$D$10),2),BC55)</f>
        <v>81.650000000000006</v>
      </c>
      <c r="BQ55" s="714">
        <f>ROUND(BS55/(1.3224*Form!$D$10),2)</f>
        <v>158.5</v>
      </c>
      <c r="BR55" s="714">
        <f t="shared" si="24"/>
        <v>8938.5</v>
      </c>
      <c r="BS55" s="714">
        <f t="shared" si="25"/>
        <v>17350.72</v>
      </c>
      <c r="BT55" s="719">
        <f t="shared" si="26"/>
        <v>-0.48483405875952124</v>
      </c>
      <c r="BU55" s="714"/>
      <c r="BV55" s="714">
        <f t="shared" si="8"/>
        <v>0</v>
      </c>
      <c r="BW55" s="714">
        <f>IF(OR(AY55="EST",AY55="ADRYS"),ROUND(1.18*BU55,2),ROUND(BU55*1.3224*Form!$D$10,2))</f>
        <v>0</v>
      </c>
      <c r="BX55" s="714">
        <f t="shared" si="9"/>
        <v>0</v>
      </c>
      <c r="BY55" s="719">
        <f t="shared" si="28"/>
        <v>0</v>
      </c>
      <c r="BZ55" s="714">
        <f t="shared" si="11"/>
        <v>17350.72</v>
      </c>
      <c r="CA55" s="720"/>
      <c r="CB55" s="720"/>
      <c r="CC55" s="4"/>
      <c r="CD55" s="4"/>
      <c r="CE55" s="4"/>
      <c r="CF55" s="4"/>
      <c r="CG55" s="4"/>
      <c r="CH55" s="4"/>
      <c r="CI55" s="721"/>
    </row>
    <row r="56" spans="1:96" s="579" customFormat="1" ht="45" x14ac:dyDescent="0.25">
      <c r="A56" s="712">
        <f>SUBTOTAL(2,$B$5:B56)</f>
        <v>52</v>
      </c>
      <c r="B56" s="754">
        <v>52</v>
      </c>
      <c r="C56" s="756" t="s">
        <v>720</v>
      </c>
      <c r="D56" s="755" t="s">
        <v>606</v>
      </c>
      <c r="E56" s="754">
        <v>3</v>
      </c>
      <c r="F56" s="658">
        <f>'Annexure-I'!E53</f>
        <v>3</v>
      </c>
      <c r="G56" s="784" t="str">
        <f>IF('CST-Calculation'!G56=0,"",'CST-Calculation'!G56)</f>
        <v/>
      </c>
      <c r="H56" s="784" t="str">
        <f>IF('CST-Calculation'!H56=0,"",'CST-Calculation'!H56)</f>
        <v/>
      </c>
      <c r="I56" s="714" t="str">
        <f>IF(G56="","",IF(H56="TEC Rejected","",IF(H56="","",ROUND(1.3224*Form!$D$10*H56,2))))</f>
        <v/>
      </c>
      <c r="J56" s="714" t="str">
        <f t="shared" si="0"/>
        <v/>
      </c>
      <c r="K56" s="713" t="str">
        <f>IF(L56="","",IF('CST-Calculation'!$F56="Indg","",IF('CST-Calculation'!$F56="TEC Del","",IF('CST-Calculation'!K56&gt;0,'CST-Calculation'!K56,IF('CST-Calculation'!$F56=0,"",'CST-Calculation'!$F56)))))</f>
        <v/>
      </c>
      <c r="L56" s="714" t="str">
        <f>IF('CST-Calculation'!L56=0,"",'CST-Calculation'!L56)</f>
        <v/>
      </c>
      <c r="M56" s="714" t="str">
        <f>IF(K56="","",IF(L56="TEC Rejected","",IF(L56="","",ROUND(1.3224*Form!$D$10*L56,2))))</f>
        <v/>
      </c>
      <c r="N56" s="714" t="str">
        <f t="shared" si="1"/>
        <v/>
      </c>
      <c r="O56" s="89" t="str">
        <f>IF(P56="","",IF('CST-Calculation'!$F56="Indg","",IF('CST-Calculation'!$F56="TEC Del","",IF('CST-Calculation'!O56&gt;0,'CST-Calculation'!O56,IF('CST-Calculation'!$F56=0,"",'CST-Calculation'!$F56)))))</f>
        <v/>
      </c>
      <c r="P56" s="714" t="str">
        <f>IF('CST-Calculation'!P56=0,"",'CST-Calculation'!P56)</f>
        <v/>
      </c>
      <c r="Q56" s="714" t="str">
        <f>IF(O56="","",IF(P56="TEC Rejected","",IF(P56="","",ROUND(1.3224*Form!$D$10*P56,2))))</f>
        <v/>
      </c>
      <c r="R56" s="714" t="str">
        <f t="shared" si="2"/>
        <v/>
      </c>
      <c r="S56" s="89" t="str">
        <f>IF(T56="","",IF('CST-Calculation'!$F56="Indg","",IF('CST-Calculation'!$F56="TEC Del","",IF('CST-Calculation'!S56&gt;0,'CST-Calculation'!S56,IF('CST-Calculation'!$F56=0,"",'CST-Calculation'!$F56)))))</f>
        <v/>
      </c>
      <c r="T56" s="714" t="str">
        <f>IF('CST-Calculation'!T56=0,"",'CST-Calculation'!T56)</f>
        <v/>
      </c>
      <c r="U56" s="714" t="str">
        <f>IF(S56="","",IF(T56="TEC Rejected","",IF(T56="","",ROUND(1.3224*Form!$D$10*T56,2))))</f>
        <v/>
      </c>
      <c r="V56" s="714" t="str">
        <f t="shared" si="3"/>
        <v/>
      </c>
      <c r="W56" s="713" t="str">
        <f>IF(X56="","",IF('CST-Calculation'!$F56="Indg","",IF('CST-Calculation'!$F56="TEC Del","",IF('CST-Calculation'!W56&gt;0,'CST-Calculation'!W56,IF('CST-Calculation'!$F56=0,"",'CST-Calculation'!$F56)))))</f>
        <v/>
      </c>
      <c r="X56" s="714" t="str">
        <f>IF('CST-Calculation'!X56=0,"",'CST-Calculation'!X56)</f>
        <v/>
      </c>
      <c r="Y56" s="714" t="str">
        <f>IF(W56="","",IF(X56="TEC Rejected","",IF(X56="","",ROUND(1.3224*Form!$D$10*X56,2))))</f>
        <v/>
      </c>
      <c r="Z56" s="714" t="str">
        <f t="shared" si="12"/>
        <v/>
      </c>
      <c r="AA56" s="713" t="str">
        <f>IF(AB56="","",IF('CST-Calculation'!$F56="Indg","",IF('CST-Calculation'!$F56="TEC Del","",IF('CST-Calculation'!AA56&gt;0,'CST-Calculation'!AA56,IF('CST-Calculation'!$F56=0,"",'CST-Calculation'!$F56)))))</f>
        <v/>
      </c>
      <c r="AB56" s="714" t="str">
        <f>IF('CST-Calculation'!AB56=0,"",'CST-Calculation'!AB56)</f>
        <v/>
      </c>
      <c r="AC56" s="714" t="str">
        <f t="shared" si="13"/>
        <v/>
      </c>
      <c r="AD56" s="714" t="str">
        <f t="shared" si="14"/>
        <v/>
      </c>
      <c r="AE56" s="713" t="str">
        <f>IF(AF56="","",IF('CST-Calculation'!$F56="Indg","",IF('CST-Calculation'!$F56="TEC Del","",IF('CST-Calculation'!AE56&gt;0,'CST-Calculation'!AE56,IF('CST-Calculation'!$F56=0,"",'CST-Calculation'!$F56)))))</f>
        <v/>
      </c>
      <c r="AF56" s="714" t="str">
        <f>IF('CST-Calculation'!AF56=0,"",'CST-Calculation'!AF56)</f>
        <v/>
      </c>
      <c r="AG56" s="714" t="str">
        <f>IF(AE56="","",IF(AF56="TEC Rejected","",IF(AF56="","",ROUND(1.3224*Form!$D$10*AF56,2))))</f>
        <v/>
      </c>
      <c r="AH56" s="714" t="str">
        <f t="shared" si="15"/>
        <v/>
      </c>
      <c r="AI56" s="713" t="str">
        <f>IF(AJ56="","",IF('CST-Calculation'!$F56="Indg","",IF('CST-Calculation'!$F56="TEC Del","",IF('CST-Calculation'!AI56&gt;0,'CST-Calculation'!AI56,IF('CST-Calculation'!$F56=0,"",'CST-Calculation'!$F56)))))</f>
        <v/>
      </c>
      <c r="AJ56" s="714" t="str">
        <f>IF('CST-Calculation'!AJ56=0,"",'CST-Calculation'!AJ56)</f>
        <v/>
      </c>
      <c r="AK56" s="714" t="str">
        <f t="shared" si="16"/>
        <v/>
      </c>
      <c r="AL56" s="714" t="str">
        <f t="shared" si="17"/>
        <v/>
      </c>
      <c r="AM56" s="713" t="str">
        <f>IF(AN56="","",IF('CST-Calculation'!$F56="Indg","",IF('CST-Calculation'!$F56="TEC Del","",IF('CST-Calculation'!AM56&gt;0,'CST-Calculation'!AM56,IF('CST-Calculation'!$F56=0,"",'CST-Calculation'!$F56)))))</f>
        <v/>
      </c>
      <c r="AN56" s="714" t="str">
        <f>IF('CST-Calculation'!AN56=0,"",'CST-Calculation'!AN56)</f>
        <v/>
      </c>
      <c r="AO56" s="714" t="str">
        <f>IF(AM56="","",IF(AN56="TEC Rejected","",IF(AN56="","",ROUND(1.3224*Form!$D$10*AN56,2))))</f>
        <v/>
      </c>
      <c r="AP56" s="714" t="str">
        <f t="shared" si="18"/>
        <v/>
      </c>
      <c r="AQ56" s="713" t="str">
        <f>IF(AR56="","",IF('CST-Calculation'!$F56="Indg","",IF('CST-Calculation'!$F56="TEC Del","",IF('CST-Calculation'!AQ56&gt;0,'CST-Calculation'!AQ56,IF('CST-Calculation'!$F56=0,"",'CST-Calculation'!$F56)))))</f>
        <v/>
      </c>
      <c r="AR56" s="714" t="str">
        <f>IF('CST-Calculation'!AR56=0,"",'CST-Calculation'!AR56)</f>
        <v/>
      </c>
      <c r="AS56" s="714" t="str">
        <f>IF(AQ56="","",IF(AR56="TEC Rejected","",IF(AR56="","",ROUND(1.3224*Form!$D$10*AR56,2))))</f>
        <v/>
      </c>
      <c r="AT56" s="714" t="str">
        <f t="shared" si="19"/>
        <v/>
      </c>
      <c r="AU56" s="713" t="str">
        <f>IF(AV56="","",IF('CST-Calculation'!$F56="Indg","",IF('CST-Calculation'!$F56="TEC Del","",IF('CST-Calculation'!AU56&gt;0,'CST-Calculation'!AU56,IF('CST-Calculation'!$F56=0,"",'CST-Calculation'!$F56)))))</f>
        <v/>
      </c>
      <c r="AV56" s="714" t="str">
        <f>IF('CST-Calculation'!AV56=0,"",'CST-Calculation'!AV56)</f>
        <v/>
      </c>
      <c r="AW56" s="714" t="str">
        <f>IF(AU56="","",IF(AV56="TEC Rejected","",IF(AV56="","",ROUND(1.3224*Form!$D$10*AV56,2))))</f>
        <v/>
      </c>
      <c r="AX56" s="714" t="str">
        <f t="shared" si="20"/>
        <v/>
      </c>
      <c r="AY56" s="715" t="str">
        <f t="shared" si="21"/>
        <v>NO OFFER</v>
      </c>
      <c r="AZ56" s="716" t="str">
        <f t="shared" si="22"/>
        <v>NO OFFER</v>
      </c>
      <c r="BA56" s="716" t="str">
        <f t="shared" si="23"/>
        <v>&lt;= 20%</v>
      </c>
      <c r="BB56" s="716">
        <f>IF(AY56="EST",ROUND(BD56/1.18,2),IF(AY56="ADRYS",ROUND(BD56/1.18,2),ROUND(BD56/(1.3224*Form!$D$10),2)))</f>
        <v>0</v>
      </c>
      <c r="BC56" s="784">
        <f>IF(OR(AY56="EST",AY56="ADRYS"),ROUND(BE56/1.18,2),ROUND(BE56/(1.3224*Form!$D$10),2))</f>
        <v>0</v>
      </c>
      <c r="BD56" s="717">
        <f>IF(F56="Indg",0,IF(F56="TEC Del",0,IF(AND(IF(G56="",TRUE,G56&lt;=ROUNDUP(1.2*F56,0)),IF(K56="",TRUE,K56&lt;=ROUNDUP(1.2*F56,0)),IF(O56="",TRUE,O56&lt;=ROUNDUP(1.2*F56,0)),IF(S56="",TRUE,S56&lt;=ROUNDUP(1.2*F56,0)),IF(W56="",TRUE,W56&lt;=ROUNDUP(1.2*F56,0)),IF(AA56="",TRUE,AA56&lt;=ROUNDUP(1.2*F56,0)),IF(AE56="",TRUE,AE56&lt;=ROUNDUP(1.2*F56,0)),IF(AI56="",TRUE,AI56&lt;=ROUNDUP(1.2*F56,0)),IF(AM56="",TRUE,AM56&lt;=ROUNDUP(1.2*F56,0)),IF(AQ56="",TRUE,AQ56&lt;=ROUNDUP(1.2*F56,0)),IF(AU56="",TRUE,AU56&lt;=ROUNDUP(1.2*F56,0))),IF(F56=0,0,(IF(SUM(I56,M56,Q56,U56,Y56,AC56,AG56,AK56,AO56,AS56,AW56)=0,0,SMALL((I56,M56,Q56,U56,Y56,AC56,AG56,AK56,AO56,AS56,AW56),COUNTIF((I56:AW56),0)+1)))),IF(BE56=J56,I56,IF(BE56=N56,M56,IF(BE56=R56,Q56,IF(BE56=V56,U56,IF(BE56=Z56,Y56,IF(BE56=AD56,AC56,IF(BE56=AH56,AG56,IF(BE56=AL56,AK56,IF(BE56=AP56,AO56,IF(BE56=AT56,AS56,IF(BE56=AX56,AW56))))))))))))))</f>
        <v>0</v>
      </c>
      <c r="BE56" s="714">
        <f>IF(F56="Indg",0,IF(F56="TEC Del",0,IF(AND(IF(G56="",TRUE,G56&lt;=ROUNDUP(1.2*F56,0)),IF(K56="",TRUE,K56&lt;=ROUNDUP(1.2*F56,0)),IF(O56="",TRUE,O56&lt;=ROUNDUP(1.2*F56,0)),IF(S56="",TRUE,S56&lt;=ROUNDUP(1.2*F56,0)),IF(W56="",TRUE,W56&lt;=ROUNDUP(1.2*F56,0)),IF(AA56="",TRUE,AA56&lt;=ROUNDUP(1.2*F56,0)),IF(AE56="",TRUE,AE56&lt;=ROUNDUP(1.2*F56,0)),IF(AI56="",TRUE,AI56&lt;=ROUNDUP(1.2*F56,0)),IF(AM56="",TRUE,AM56&lt;=ROUNDUP(1.2*F56,0)),IF(AQ56="",TRUE,AQ56&lt;=ROUNDUP(1.2*F56,0)),IF(AU56="",TRUE,AU56&lt;=ROUNDUP(1.2*F56,0))),ROUND(BD56*IF(BD56=I56,G56,IF(BD56=M56,K56,IF(BD56=Q56,O56,IF(BD56=U56,S56,IF(BD56=Y56,W56,IF(BD56=AC56,AA56,IF(BD56=AG56,AE56,IF(BD56=AK56,AI56,IF(BD56=AO56,AM56,IF(BD56=AS56,AQ56,IF(BD56=AW56,AU56))))))))))),2),(IF(SUM(J56,N56,R56,V56,Z56,AD56,AH56,AL56,AP56,AT56,AX56)=0,0,SMALL((J56,N56,R56,V56,Z56,AD56,AH56,AL56,AP56,AT56,AX56),COUNTIF((J56:AX56),0)+1))))))</f>
        <v>0</v>
      </c>
      <c r="BF56" s="714">
        <f>IF('Annexure-I'!L53="",'Annexure-I'!F53,'Annexure-I'!L53)</f>
        <v>19948</v>
      </c>
      <c r="BG56" s="714" t="str">
        <f>IF('Annexure-I'!M53="",'Annexure-I'!G53,'Annexure-I'!M53)</f>
        <v>CONTRACT-A52</v>
      </c>
      <c r="BH56" s="764">
        <f>IF('Annexure-I'!N53="",'Annexure-I'!H53,'Annexure-I'!N53)</f>
        <v>41789</v>
      </c>
      <c r="BI56" s="717">
        <f>IF('Annexure-I'!P53="",'Annexure-I'!J53,'Annexure-I'!P53)</f>
        <v>32835.19</v>
      </c>
      <c r="BJ56" s="717">
        <f>IF('Annexure-I'!Q53="",'Annexure-I'!K53,'Annexure-I'!Q53)</f>
        <v>3594411.5100916806</v>
      </c>
      <c r="BK56" s="714">
        <f>'Annexure-I'!F53</f>
        <v>19948</v>
      </c>
      <c r="BL56" s="718" t="str">
        <f>'Annexure-I'!G53</f>
        <v>CONTRACT-A52</v>
      </c>
      <c r="BM56" s="764">
        <f>IF('Annexure-I'!H53=0,"",'Annexure-I'!H53)</f>
        <v>41789</v>
      </c>
      <c r="BN56" s="717">
        <f>'Annexure-I'!J53</f>
        <v>32835.19</v>
      </c>
      <c r="BO56" s="717">
        <f>'Annexure-I'!K53</f>
        <v>3594411.5100916806</v>
      </c>
      <c r="BP56" s="714">
        <f>IF(OR(AY56="EST",AY56="ADRYS"),ROUND((BC56*1.18)/(1.3224*Form!$D$10),2),BC56)</f>
        <v>0</v>
      </c>
      <c r="BQ56" s="714">
        <f>ROUND(BS56/(1.3224*Form!$D$10),2)</f>
        <v>0</v>
      </c>
      <c r="BR56" s="714">
        <f t="shared" si="24"/>
        <v>0</v>
      </c>
      <c r="BS56" s="714">
        <f t="shared" si="25"/>
        <v>0</v>
      </c>
      <c r="BT56" s="719">
        <f t="shared" si="26"/>
        <v>0</v>
      </c>
      <c r="BU56" s="714"/>
      <c r="BV56" s="714">
        <f t="shared" si="8"/>
        <v>0</v>
      </c>
      <c r="BW56" s="714">
        <f>IF(OR(AY56="EST",AY56="ADRYS"),ROUND(1.18*BU56,2),ROUND(BU56*1.3224*Form!$D$10,2))</f>
        <v>0</v>
      </c>
      <c r="BX56" s="714">
        <f t="shared" si="9"/>
        <v>0</v>
      </c>
      <c r="BY56" s="719">
        <f t="shared" si="28"/>
        <v>0</v>
      </c>
      <c r="BZ56" s="714">
        <f t="shared" si="11"/>
        <v>10783234.529999999</v>
      </c>
      <c r="CA56" s="720"/>
      <c r="CB56" s="720"/>
      <c r="CC56" s="4"/>
      <c r="CD56" s="4"/>
      <c r="CE56" s="4"/>
      <c r="CF56" s="4"/>
      <c r="CG56" s="4"/>
      <c r="CH56" s="4"/>
      <c r="CI56" s="721"/>
    </row>
    <row r="57" spans="1:96" s="579" customFormat="1" ht="45" x14ac:dyDescent="0.25">
      <c r="A57" s="712">
        <f>SUBTOTAL(2,$B$5:B57)</f>
        <v>53</v>
      </c>
      <c r="B57" s="754">
        <v>53</v>
      </c>
      <c r="C57" s="755" t="s">
        <v>721</v>
      </c>
      <c r="D57" s="755" t="s">
        <v>120</v>
      </c>
      <c r="E57" s="754">
        <v>5</v>
      </c>
      <c r="F57" s="658">
        <f>'Annexure-I'!E54</f>
        <v>5</v>
      </c>
      <c r="G57" s="784" t="str">
        <f>IF('CST-Calculation'!G57=0,"",'CST-Calculation'!G57)</f>
        <v/>
      </c>
      <c r="H57" s="784" t="str">
        <f>IF('CST-Calculation'!H57=0,"",'CST-Calculation'!H57)</f>
        <v/>
      </c>
      <c r="I57" s="714" t="str">
        <f>IF(G57="","",IF(H57="TEC Rejected","",IF(H57="","",ROUND(1.3224*Form!$D$10*H57,2))))</f>
        <v/>
      </c>
      <c r="J57" s="714" t="str">
        <f t="shared" si="0"/>
        <v/>
      </c>
      <c r="K57" s="713" t="str">
        <f>IF(L57="","",IF('CST-Calculation'!$F57="Indg","",IF('CST-Calculation'!$F57="TEC Del","",IF('CST-Calculation'!K57&gt;0,'CST-Calculation'!K57,IF('CST-Calculation'!$F57=0,"",'CST-Calculation'!$F57)))))</f>
        <v/>
      </c>
      <c r="L57" s="714" t="str">
        <f>IF('CST-Calculation'!L57=0,"",'CST-Calculation'!L57)</f>
        <v/>
      </c>
      <c r="M57" s="714" t="str">
        <f>IF(K57="","",IF(L57="TEC Rejected","",IF(L57="","",ROUND(1.3224*Form!$D$10*L57,2))))</f>
        <v/>
      </c>
      <c r="N57" s="714" t="str">
        <f t="shared" si="1"/>
        <v/>
      </c>
      <c r="O57" s="89" t="str">
        <f>IF(P57="","",IF('CST-Calculation'!$F57="Indg","",IF('CST-Calculation'!$F57="TEC Del","",IF('CST-Calculation'!O57&gt;0,'CST-Calculation'!O57,IF('CST-Calculation'!$F57=0,"",'CST-Calculation'!$F57)))))</f>
        <v/>
      </c>
      <c r="P57" s="714" t="str">
        <f>IF('CST-Calculation'!P57=0,"",'CST-Calculation'!P57)</f>
        <v/>
      </c>
      <c r="Q57" s="714" t="str">
        <f>IF(O57="","",IF(P57="TEC Rejected","",IF(P57="","",ROUND(1.3224*Form!$D$10*P57,2))))</f>
        <v/>
      </c>
      <c r="R57" s="714" t="str">
        <f t="shared" si="2"/>
        <v/>
      </c>
      <c r="S57" s="89" t="str">
        <f>IF(T57="","",IF('CST-Calculation'!$F57="Indg","",IF('CST-Calculation'!$F57="TEC Del","",IF('CST-Calculation'!S57&gt;0,'CST-Calculation'!S57,IF('CST-Calculation'!$F57=0,"",'CST-Calculation'!$F57)))))</f>
        <v/>
      </c>
      <c r="T57" s="714" t="str">
        <f>IF('CST-Calculation'!T57=0,"",'CST-Calculation'!T57)</f>
        <v/>
      </c>
      <c r="U57" s="714" t="str">
        <f>IF(S57="","",IF(T57="TEC Rejected","",IF(T57="","",ROUND(1.3224*Form!$D$10*T57,2))))</f>
        <v/>
      </c>
      <c r="V57" s="714" t="str">
        <f t="shared" si="3"/>
        <v/>
      </c>
      <c r="W57" s="713" t="str">
        <f>IF(X57="","",IF('CST-Calculation'!$F57="Indg","",IF('CST-Calculation'!$F57="TEC Del","",IF('CST-Calculation'!W57&gt;0,'CST-Calculation'!W57,IF('CST-Calculation'!$F57=0,"",'CST-Calculation'!$F57)))))</f>
        <v/>
      </c>
      <c r="X57" s="714" t="str">
        <f>IF('CST-Calculation'!X57=0,"",'CST-Calculation'!X57)</f>
        <v/>
      </c>
      <c r="Y57" s="714" t="str">
        <f>IF(W57="","",IF(X57="TEC Rejected","",IF(X57="","",ROUND(1.3224*Form!$D$10*X57,2))))</f>
        <v/>
      </c>
      <c r="Z57" s="714" t="str">
        <f t="shared" si="12"/>
        <v/>
      </c>
      <c r="AA57" s="713" t="str">
        <f>IF(AB57="","",IF('CST-Calculation'!$F57="Indg","",IF('CST-Calculation'!$F57="TEC Del","",IF('CST-Calculation'!AA57&gt;0,'CST-Calculation'!AA57,IF('CST-Calculation'!$F57=0,"",'CST-Calculation'!$F57)))))</f>
        <v/>
      </c>
      <c r="AB57" s="714" t="str">
        <f>IF('CST-Calculation'!AB57=0,"",'CST-Calculation'!AB57)</f>
        <v/>
      </c>
      <c r="AC57" s="714" t="str">
        <f t="shared" si="13"/>
        <v/>
      </c>
      <c r="AD57" s="714" t="str">
        <f t="shared" si="14"/>
        <v/>
      </c>
      <c r="AE57" s="713" t="str">
        <f>IF(AF57="","",IF('CST-Calculation'!$F57="Indg","",IF('CST-Calculation'!$F57="TEC Del","",IF('CST-Calculation'!AE57&gt;0,'CST-Calculation'!AE57,IF('CST-Calculation'!$F57=0,"",'CST-Calculation'!$F57)))))</f>
        <v/>
      </c>
      <c r="AF57" s="714" t="str">
        <f>IF('CST-Calculation'!AF57=0,"",'CST-Calculation'!AF57)</f>
        <v/>
      </c>
      <c r="AG57" s="714" t="str">
        <f>IF(AE57="","",IF(AF57="TEC Rejected","",IF(AF57="","",ROUND(1.3224*Form!$D$10*AF57,2))))</f>
        <v/>
      </c>
      <c r="AH57" s="714" t="str">
        <f t="shared" si="15"/>
        <v/>
      </c>
      <c r="AI57" s="713" t="str">
        <f>IF(AJ57="","",IF('CST-Calculation'!$F57="Indg","",IF('CST-Calculation'!$F57="TEC Del","",IF('CST-Calculation'!AI57&gt;0,'CST-Calculation'!AI57,IF('CST-Calculation'!$F57=0,"",'CST-Calculation'!$F57)))))</f>
        <v/>
      </c>
      <c r="AJ57" s="714" t="str">
        <f>IF('CST-Calculation'!AJ57=0,"",'CST-Calculation'!AJ57)</f>
        <v/>
      </c>
      <c r="AK57" s="714" t="str">
        <f t="shared" si="16"/>
        <v/>
      </c>
      <c r="AL57" s="714" t="str">
        <f t="shared" si="17"/>
        <v/>
      </c>
      <c r="AM57" s="713" t="str">
        <f>IF(AN57="","",IF('CST-Calculation'!$F57="Indg","",IF('CST-Calculation'!$F57="TEC Del","",IF('CST-Calculation'!AM57&gt;0,'CST-Calculation'!AM57,IF('CST-Calculation'!$F57=0,"",'CST-Calculation'!$F57)))))</f>
        <v/>
      </c>
      <c r="AN57" s="714" t="str">
        <f>IF('CST-Calculation'!AN57=0,"",'CST-Calculation'!AN57)</f>
        <v/>
      </c>
      <c r="AO57" s="714" t="str">
        <f>IF(AM57="","",IF(AN57="TEC Rejected","",IF(AN57="","",ROUND(1.3224*Form!$D$10*AN57,2))))</f>
        <v/>
      </c>
      <c r="AP57" s="714" t="str">
        <f t="shared" si="18"/>
        <v/>
      </c>
      <c r="AQ57" s="713" t="str">
        <f>IF(AR57="","",IF('CST-Calculation'!$F57="Indg","",IF('CST-Calculation'!$F57="TEC Del","",IF('CST-Calculation'!AQ57&gt;0,'CST-Calculation'!AQ57,IF('CST-Calculation'!$F57=0,"",'CST-Calculation'!$F57)))))</f>
        <v/>
      </c>
      <c r="AR57" s="714" t="str">
        <f>IF('CST-Calculation'!AR57=0,"",'CST-Calculation'!AR57)</f>
        <v/>
      </c>
      <c r="AS57" s="714" t="str">
        <f>IF(AQ57="","",IF(AR57="TEC Rejected","",IF(AR57="","",ROUND(1.3224*Form!$D$10*AR57,2))))</f>
        <v/>
      </c>
      <c r="AT57" s="714" t="str">
        <f t="shared" si="19"/>
        <v/>
      </c>
      <c r="AU57" s="713" t="str">
        <f>IF(AV57="","",IF('CST-Calculation'!$F57="Indg","",IF('CST-Calculation'!$F57="TEC Del","",IF('CST-Calculation'!AU57&gt;0,'CST-Calculation'!AU57,IF('CST-Calculation'!$F57=0,"",'CST-Calculation'!$F57)))))</f>
        <v/>
      </c>
      <c r="AV57" s="714" t="str">
        <f>IF('CST-Calculation'!AV57=0,"",'CST-Calculation'!AV57)</f>
        <v/>
      </c>
      <c r="AW57" s="714" t="str">
        <f>IF(AU57="","",IF(AV57="TEC Rejected","",IF(AV57="","",ROUND(1.3224*Form!$D$10*AV57,2))))</f>
        <v/>
      </c>
      <c r="AX57" s="714" t="str">
        <f t="shared" si="20"/>
        <v/>
      </c>
      <c r="AY57" s="715" t="str">
        <f t="shared" si="21"/>
        <v>NO OFFER</v>
      </c>
      <c r="AZ57" s="716" t="str">
        <f t="shared" si="22"/>
        <v>NO OFFER</v>
      </c>
      <c r="BA57" s="716" t="str">
        <f t="shared" si="23"/>
        <v>&lt;= 20%</v>
      </c>
      <c r="BB57" s="716">
        <f>IF(AY57="EST",ROUND(BD57/1.18,2),IF(AY57="ADRYS",ROUND(BD57/1.18,2),ROUND(BD57/(1.3224*Form!$D$10),2)))</f>
        <v>0</v>
      </c>
      <c r="BC57" s="784">
        <f>IF(OR(AY57="EST",AY57="ADRYS"),ROUND(BE57/1.18,2),ROUND(BE57/(1.3224*Form!$D$10),2))</f>
        <v>0</v>
      </c>
      <c r="BD57" s="717">
        <f>IF(F57="Indg",0,IF(F57="TEC Del",0,IF(AND(IF(G57="",TRUE,G57&lt;=ROUNDUP(1.2*F57,0)),IF(K57="",TRUE,K57&lt;=ROUNDUP(1.2*F57,0)),IF(O57="",TRUE,O57&lt;=ROUNDUP(1.2*F57,0)),IF(S57="",TRUE,S57&lt;=ROUNDUP(1.2*F57,0)),IF(W57="",TRUE,W57&lt;=ROUNDUP(1.2*F57,0)),IF(AA57="",TRUE,AA57&lt;=ROUNDUP(1.2*F57,0)),IF(AE57="",TRUE,AE57&lt;=ROUNDUP(1.2*F57,0)),IF(AI57="",TRUE,AI57&lt;=ROUNDUP(1.2*F57,0)),IF(AM57="",TRUE,AM57&lt;=ROUNDUP(1.2*F57,0)),IF(AQ57="",TRUE,AQ57&lt;=ROUNDUP(1.2*F57,0)),IF(AU57="",TRUE,AU57&lt;=ROUNDUP(1.2*F57,0))),IF(F57=0,0,(IF(SUM(I57,M57,Q57,U57,Y57,AC57,AG57,AK57,AO57,AS57,AW57)=0,0,SMALL((I57,M57,Q57,U57,Y57,AC57,AG57,AK57,AO57,AS57,AW57),COUNTIF((I57:AW57),0)+1)))),IF(BE57=J57,I57,IF(BE57=N57,M57,IF(BE57=R57,Q57,IF(BE57=V57,U57,IF(BE57=Z57,Y57,IF(BE57=AD57,AC57,IF(BE57=AH57,AG57,IF(BE57=AL57,AK57,IF(BE57=AP57,AO57,IF(BE57=AT57,AS57,IF(BE57=AX57,AW57))))))))))))))</f>
        <v>0</v>
      </c>
      <c r="BE57" s="714">
        <f>IF(F57="Indg",0,IF(F57="TEC Del",0,IF(AND(IF(G57="",TRUE,G57&lt;=ROUNDUP(1.2*F57,0)),IF(K57="",TRUE,K57&lt;=ROUNDUP(1.2*F57,0)),IF(O57="",TRUE,O57&lt;=ROUNDUP(1.2*F57,0)),IF(S57="",TRUE,S57&lt;=ROUNDUP(1.2*F57,0)),IF(W57="",TRUE,W57&lt;=ROUNDUP(1.2*F57,0)),IF(AA57="",TRUE,AA57&lt;=ROUNDUP(1.2*F57,0)),IF(AE57="",TRUE,AE57&lt;=ROUNDUP(1.2*F57,0)),IF(AI57="",TRUE,AI57&lt;=ROUNDUP(1.2*F57,0)),IF(AM57="",TRUE,AM57&lt;=ROUNDUP(1.2*F57,0)),IF(AQ57="",TRUE,AQ57&lt;=ROUNDUP(1.2*F57,0)),IF(AU57="",TRUE,AU57&lt;=ROUNDUP(1.2*F57,0))),ROUND(BD57*IF(BD57=I57,G57,IF(BD57=M57,K57,IF(BD57=Q57,O57,IF(BD57=U57,S57,IF(BD57=Y57,W57,IF(BD57=AC57,AA57,IF(BD57=AG57,AE57,IF(BD57=AK57,AI57,IF(BD57=AO57,AM57,IF(BD57=AS57,AQ57,IF(BD57=AW57,AU57))))))))))),2),(IF(SUM(J57,N57,R57,V57,Z57,AD57,AH57,AL57,AP57,AT57,AX57)=0,0,SMALL((J57,N57,R57,V57,Z57,AD57,AH57,AL57,AP57,AT57,AX57),COUNTIF((J57:AX57),0)+1))))))</f>
        <v>0</v>
      </c>
      <c r="BF57" s="714">
        <f>IF('Annexure-I'!L54="",'Annexure-I'!F54,'Annexure-I'!L54)</f>
        <v>414.87</v>
      </c>
      <c r="BG57" s="714" t="str">
        <f>IF('Annexure-I'!M54="",'Annexure-I'!G54,'Annexure-I'!M54)</f>
        <v>CONTRACT-A53</v>
      </c>
      <c r="BH57" s="764" t="str">
        <f>IF('Annexure-I'!N54="",'Annexure-I'!H54,'Annexure-I'!N54)</f>
        <v>29-12-2015</v>
      </c>
      <c r="BI57" s="717">
        <f>IF('Annexure-I'!P54="",'Annexure-I'!J54,'Annexure-I'!P54)</f>
        <v>649.14</v>
      </c>
      <c r="BJ57" s="717">
        <f>IF('Annexure-I'!Q54="",'Annexure-I'!K54,'Annexure-I'!Q54)</f>
        <v>71060.234086080003</v>
      </c>
      <c r="BK57" s="714">
        <f>'Annexure-I'!F54</f>
        <v>414.87</v>
      </c>
      <c r="BL57" s="718" t="str">
        <f>'Annexure-I'!G54</f>
        <v>CONTRACT-A53</v>
      </c>
      <c r="BM57" s="764" t="str">
        <f>IF('Annexure-I'!H54=0,"",'Annexure-I'!H54)</f>
        <v>29-12-2015</v>
      </c>
      <c r="BN57" s="717">
        <f>'Annexure-I'!J54</f>
        <v>649.14</v>
      </c>
      <c r="BO57" s="717">
        <f>'Annexure-I'!K54</f>
        <v>71060.234086080003</v>
      </c>
      <c r="BP57" s="714">
        <f>IF(OR(AY57="EST",AY57="ADRYS"),ROUND((BC57*1.18)/(1.3224*Form!$D$10),2),BC57)</f>
        <v>0</v>
      </c>
      <c r="BQ57" s="714">
        <f>ROUND(BS57/(1.3224*Form!$D$10),2)</f>
        <v>0</v>
      </c>
      <c r="BR57" s="714">
        <f t="shared" si="24"/>
        <v>0</v>
      </c>
      <c r="BS57" s="714">
        <f t="shared" si="25"/>
        <v>0</v>
      </c>
      <c r="BT57" s="719">
        <f t="shared" si="26"/>
        <v>0</v>
      </c>
      <c r="BU57" s="714"/>
      <c r="BV57" s="714">
        <f t="shared" si="8"/>
        <v>0</v>
      </c>
      <c r="BW57" s="714">
        <f>IF(OR(AY57="EST",AY57="ADRYS"),ROUND(1.18*BU57,2),ROUND(BU57*1.3224*Form!$D$10,2))</f>
        <v>0</v>
      </c>
      <c r="BX57" s="714">
        <f t="shared" si="9"/>
        <v>0</v>
      </c>
      <c r="BY57" s="719">
        <f t="shared" si="28"/>
        <v>0</v>
      </c>
      <c r="BZ57" s="714">
        <f t="shared" si="11"/>
        <v>355301.17</v>
      </c>
      <c r="CA57" s="720"/>
      <c r="CB57" s="720"/>
      <c r="CC57" s="4"/>
      <c r="CD57" s="4"/>
      <c r="CE57" s="4"/>
      <c r="CF57" s="4"/>
      <c r="CG57" s="4"/>
      <c r="CH57" s="4"/>
      <c r="CI57" s="721"/>
    </row>
    <row r="58" spans="1:96" s="579" customFormat="1" ht="45" x14ac:dyDescent="0.25">
      <c r="A58" s="712">
        <f>SUBTOTAL(2,$B$5:B58)</f>
        <v>54</v>
      </c>
      <c r="B58" s="754">
        <v>54</v>
      </c>
      <c r="C58" s="756" t="s">
        <v>722</v>
      </c>
      <c r="D58" s="755" t="s">
        <v>607</v>
      </c>
      <c r="E58" s="754">
        <v>16</v>
      </c>
      <c r="F58" s="658">
        <f>'Annexure-I'!E55</f>
        <v>16</v>
      </c>
      <c r="G58" s="784" t="str">
        <f>IF('CST-Calculation'!G58=0,"",'CST-Calculation'!G58)</f>
        <v/>
      </c>
      <c r="H58" s="784" t="str">
        <f>IF('CST-Calculation'!H58=0,"",'CST-Calculation'!H58)</f>
        <v/>
      </c>
      <c r="I58" s="714" t="str">
        <f>IF(G58="","",IF(H58="TEC Rejected","",IF(H58="","",ROUND(1.3224*Form!$D$10*H58,2))))</f>
        <v/>
      </c>
      <c r="J58" s="714" t="str">
        <f t="shared" si="0"/>
        <v/>
      </c>
      <c r="K58" s="713" t="str">
        <f>IF(L58="","",IF('CST-Calculation'!$F58="Indg","",IF('CST-Calculation'!$F58="TEC Del","",IF('CST-Calculation'!K58&gt;0,'CST-Calculation'!K58,IF('CST-Calculation'!$F58=0,"",'CST-Calculation'!$F58)))))</f>
        <v/>
      </c>
      <c r="L58" s="714" t="str">
        <f>IF('CST-Calculation'!L58=0,"",'CST-Calculation'!L58)</f>
        <v/>
      </c>
      <c r="M58" s="714" t="str">
        <f>IF(K58="","",IF(L58="TEC Rejected","",IF(L58="","",ROUND(1.3224*Form!$D$10*L58,2))))</f>
        <v/>
      </c>
      <c r="N58" s="714" t="str">
        <f t="shared" si="1"/>
        <v/>
      </c>
      <c r="O58" s="89" t="str">
        <f>IF(P58="","",IF('CST-Calculation'!$F58="Indg","",IF('CST-Calculation'!$F58="TEC Del","",IF('CST-Calculation'!O58&gt;0,'CST-Calculation'!O58,IF('CST-Calculation'!$F58=0,"",'CST-Calculation'!$F58)))))</f>
        <v/>
      </c>
      <c r="P58" s="714" t="str">
        <f>IF('CST-Calculation'!P58=0,"",'CST-Calculation'!P58)</f>
        <v/>
      </c>
      <c r="Q58" s="714" t="str">
        <f>IF(O58="","",IF(P58="TEC Rejected","",IF(P58="","",ROUND(1.3224*Form!$D$10*P58,2))))</f>
        <v/>
      </c>
      <c r="R58" s="714" t="str">
        <f t="shared" si="2"/>
        <v/>
      </c>
      <c r="S58" s="89" t="str">
        <f>IF(T58="","",IF('CST-Calculation'!$F58="Indg","",IF('CST-Calculation'!$F58="TEC Del","",IF('CST-Calculation'!S58&gt;0,'CST-Calculation'!S58,IF('CST-Calculation'!$F58=0,"",'CST-Calculation'!$F58)))))</f>
        <v/>
      </c>
      <c r="T58" s="714" t="str">
        <f>IF('CST-Calculation'!T58=0,"",'CST-Calculation'!T58)</f>
        <v/>
      </c>
      <c r="U58" s="714" t="str">
        <f>IF(S58="","",IF(T58="TEC Rejected","",IF(T58="","",ROUND(1.3224*Form!$D$10*T58,2))))</f>
        <v/>
      </c>
      <c r="V58" s="714" t="str">
        <f t="shared" si="3"/>
        <v/>
      </c>
      <c r="W58" s="713" t="str">
        <f>IF(X58="","",IF('CST-Calculation'!$F58="Indg","",IF('CST-Calculation'!$F58="TEC Del","",IF('CST-Calculation'!W58&gt;0,'CST-Calculation'!W58,IF('CST-Calculation'!$F58=0,"",'CST-Calculation'!$F58)))))</f>
        <v/>
      </c>
      <c r="X58" s="714" t="str">
        <f>IF('CST-Calculation'!X58=0,"",'CST-Calculation'!X58)</f>
        <v/>
      </c>
      <c r="Y58" s="714" t="str">
        <f>IF(W58="","",IF(X58="TEC Rejected","",IF(X58="","",ROUND(1.3224*Form!$D$10*X58,2))))</f>
        <v/>
      </c>
      <c r="Z58" s="714" t="str">
        <f t="shared" si="12"/>
        <v/>
      </c>
      <c r="AA58" s="713" t="str">
        <f>IF(AB58="","",IF('CST-Calculation'!$F58="Indg","",IF('CST-Calculation'!$F58="TEC Del","",IF('CST-Calculation'!AA58&gt;0,'CST-Calculation'!AA58,IF('CST-Calculation'!$F58=0,"",'CST-Calculation'!$F58)))))</f>
        <v/>
      </c>
      <c r="AB58" s="714" t="str">
        <f>IF('CST-Calculation'!AB58=0,"",'CST-Calculation'!AB58)</f>
        <v/>
      </c>
      <c r="AC58" s="714" t="str">
        <f t="shared" si="13"/>
        <v/>
      </c>
      <c r="AD58" s="714" t="str">
        <f t="shared" si="14"/>
        <v/>
      </c>
      <c r="AE58" s="713" t="str">
        <f>IF(AF58="","",IF('CST-Calculation'!$F58="Indg","",IF('CST-Calculation'!$F58="TEC Del","",IF('CST-Calculation'!AE58&gt;0,'CST-Calculation'!AE58,IF('CST-Calculation'!$F58=0,"",'CST-Calculation'!$F58)))))</f>
        <v/>
      </c>
      <c r="AF58" s="714" t="str">
        <f>IF('CST-Calculation'!AF58=0,"",'CST-Calculation'!AF58)</f>
        <v/>
      </c>
      <c r="AG58" s="714" t="str">
        <f>IF(AE58="","",IF(AF58="TEC Rejected","",IF(AF58="","",ROUND(1.3224*Form!$D$10*AF58,2))))</f>
        <v/>
      </c>
      <c r="AH58" s="714" t="str">
        <f t="shared" si="15"/>
        <v/>
      </c>
      <c r="AI58" s="713" t="str">
        <f>IF(AJ58="","",IF('CST-Calculation'!$F58="Indg","",IF('CST-Calculation'!$F58="TEC Del","",IF('CST-Calculation'!AI58&gt;0,'CST-Calculation'!AI58,IF('CST-Calculation'!$F58=0,"",'CST-Calculation'!$F58)))))</f>
        <v/>
      </c>
      <c r="AJ58" s="714" t="str">
        <f>IF('CST-Calculation'!AJ58=0,"",'CST-Calculation'!AJ58)</f>
        <v/>
      </c>
      <c r="AK58" s="714" t="str">
        <f t="shared" si="16"/>
        <v/>
      </c>
      <c r="AL58" s="714" t="str">
        <f t="shared" si="17"/>
        <v/>
      </c>
      <c r="AM58" s="713" t="str">
        <f>IF(AN58="","",IF('CST-Calculation'!$F58="Indg","",IF('CST-Calculation'!$F58="TEC Del","",IF('CST-Calculation'!AM58&gt;0,'CST-Calculation'!AM58,IF('CST-Calculation'!$F58=0,"",'CST-Calculation'!$F58)))))</f>
        <v/>
      </c>
      <c r="AN58" s="714" t="str">
        <f>IF('CST-Calculation'!AN58=0,"",'CST-Calculation'!AN58)</f>
        <v/>
      </c>
      <c r="AO58" s="714" t="str">
        <f>IF(AM58="","",IF(AN58="TEC Rejected","",IF(AN58="","",ROUND(1.3224*Form!$D$10*AN58,2))))</f>
        <v/>
      </c>
      <c r="AP58" s="714" t="str">
        <f t="shared" si="18"/>
        <v/>
      </c>
      <c r="AQ58" s="713" t="str">
        <f>IF(AR58="","",IF('CST-Calculation'!$F58="Indg","",IF('CST-Calculation'!$F58="TEC Del","",IF('CST-Calculation'!AQ58&gt;0,'CST-Calculation'!AQ58,IF('CST-Calculation'!$F58=0,"",'CST-Calculation'!$F58)))))</f>
        <v/>
      </c>
      <c r="AR58" s="714" t="str">
        <f>IF('CST-Calculation'!AR58=0,"",'CST-Calculation'!AR58)</f>
        <v/>
      </c>
      <c r="AS58" s="714" t="str">
        <f>IF(AQ58="","",IF(AR58="TEC Rejected","",IF(AR58="","",ROUND(1.3224*Form!$D$10*AR58,2))))</f>
        <v/>
      </c>
      <c r="AT58" s="714" t="str">
        <f t="shared" si="19"/>
        <v/>
      </c>
      <c r="AU58" s="713" t="str">
        <f>IF(AV58="","",IF('CST-Calculation'!$F58="Indg","",IF('CST-Calculation'!$F58="TEC Del","",IF('CST-Calculation'!AU58&gt;0,'CST-Calculation'!AU58,IF('CST-Calculation'!$F58=0,"",'CST-Calculation'!$F58)))))</f>
        <v/>
      </c>
      <c r="AV58" s="714" t="str">
        <f>IF('CST-Calculation'!AV58=0,"",'CST-Calculation'!AV58)</f>
        <v/>
      </c>
      <c r="AW58" s="714" t="str">
        <f>IF(AU58="","",IF(AV58="TEC Rejected","",IF(AV58="","",ROUND(1.3224*Form!$D$10*AV58,2))))</f>
        <v/>
      </c>
      <c r="AX58" s="714" t="str">
        <f t="shared" si="20"/>
        <v/>
      </c>
      <c r="AY58" s="715" t="str">
        <f t="shared" si="21"/>
        <v>NO OFFER</v>
      </c>
      <c r="AZ58" s="716" t="str">
        <f t="shared" si="22"/>
        <v>NO OFFER</v>
      </c>
      <c r="BA58" s="716" t="str">
        <f t="shared" si="23"/>
        <v>&lt;= 20%</v>
      </c>
      <c r="BB58" s="716">
        <f>IF(AY58="EST",ROUND(BD58/1.18,2),IF(AY58="ADRYS",ROUND(BD58/1.18,2),ROUND(BD58/(1.3224*Form!$D$10),2)))</f>
        <v>0</v>
      </c>
      <c r="BC58" s="784">
        <f>IF(OR(AY58="EST",AY58="ADRYS"),ROUND(BE58/1.18,2),ROUND(BE58/(1.3224*Form!$D$10),2))</f>
        <v>0</v>
      </c>
      <c r="BD58" s="717">
        <f>IF(F58="Indg",0,IF(F58="TEC Del",0,IF(AND(IF(G58="",TRUE,G58&lt;=ROUNDUP(1.2*F58,0)),IF(K58="",TRUE,K58&lt;=ROUNDUP(1.2*F58,0)),IF(O58="",TRUE,O58&lt;=ROUNDUP(1.2*F58,0)),IF(S58="",TRUE,S58&lt;=ROUNDUP(1.2*F58,0)),IF(W58="",TRUE,W58&lt;=ROUNDUP(1.2*F58,0)),IF(AA58="",TRUE,AA58&lt;=ROUNDUP(1.2*F58,0)),IF(AE58="",TRUE,AE58&lt;=ROUNDUP(1.2*F58,0)),IF(AI58="",TRUE,AI58&lt;=ROUNDUP(1.2*F58,0)),IF(AM58="",TRUE,AM58&lt;=ROUNDUP(1.2*F58,0)),IF(AQ58="",TRUE,AQ58&lt;=ROUNDUP(1.2*F58,0)),IF(AU58="",TRUE,AU58&lt;=ROUNDUP(1.2*F58,0))),IF(F58=0,0,(IF(SUM(I58,M58,Q58,U58,Y58,AC58,AG58,AK58,AO58,AS58,AW58)=0,0,SMALL((I58,M58,Q58,U58,Y58,AC58,AG58,AK58,AO58,AS58,AW58),COUNTIF((I58:AW58),0)+1)))),IF(BE58=J58,I58,IF(BE58=N58,M58,IF(BE58=R58,Q58,IF(BE58=V58,U58,IF(BE58=Z58,Y58,IF(BE58=AD58,AC58,IF(BE58=AH58,AG58,IF(BE58=AL58,AK58,IF(BE58=AP58,AO58,IF(BE58=AT58,AS58,IF(BE58=AX58,AW58))))))))))))))</f>
        <v>0</v>
      </c>
      <c r="BE58" s="714">
        <f>IF(F58="Indg",0,IF(F58="TEC Del",0,IF(AND(IF(G58="",TRUE,G58&lt;=ROUNDUP(1.2*F58,0)),IF(K58="",TRUE,K58&lt;=ROUNDUP(1.2*F58,0)),IF(O58="",TRUE,O58&lt;=ROUNDUP(1.2*F58,0)),IF(S58="",TRUE,S58&lt;=ROUNDUP(1.2*F58,0)),IF(W58="",TRUE,W58&lt;=ROUNDUP(1.2*F58,0)),IF(AA58="",TRUE,AA58&lt;=ROUNDUP(1.2*F58,0)),IF(AE58="",TRUE,AE58&lt;=ROUNDUP(1.2*F58,0)),IF(AI58="",TRUE,AI58&lt;=ROUNDUP(1.2*F58,0)),IF(AM58="",TRUE,AM58&lt;=ROUNDUP(1.2*F58,0)),IF(AQ58="",TRUE,AQ58&lt;=ROUNDUP(1.2*F58,0)),IF(AU58="",TRUE,AU58&lt;=ROUNDUP(1.2*F58,0))),ROUND(BD58*IF(BD58=I58,G58,IF(BD58=M58,K58,IF(BD58=Q58,O58,IF(BD58=U58,S58,IF(BD58=Y58,W58,IF(BD58=AC58,AA58,IF(BD58=AG58,AE58,IF(BD58=AK58,AI58,IF(BD58=AO58,AM58,IF(BD58=AS58,AQ58,IF(BD58=AW58,AU58))))))))))),2),(IF(SUM(J58,N58,R58,V58,Z58,AD58,AH58,AL58,AP58,AT58,AX58)=0,0,SMALL((J58,N58,R58,V58,Z58,AD58,AH58,AL58,AP58,AT58,AX58),COUNTIF((J58:AX58),0)+1))))))</f>
        <v>0</v>
      </c>
      <c r="BF58" s="714">
        <f>IF('Annexure-I'!L55="",'Annexure-I'!F55,'Annexure-I'!L55)</f>
        <v>819.87</v>
      </c>
      <c r="BG58" s="714" t="str">
        <f>IF('Annexure-I'!M55="",'Annexure-I'!G55,'Annexure-I'!M55)</f>
        <v>CONTRACT-A54</v>
      </c>
      <c r="BH58" s="764" t="str">
        <f>IF('Annexure-I'!N55="",'Annexure-I'!H55,'Annexure-I'!N55)</f>
        <v>29-12-2015</v>
      </c>
      <c r="BI58" s="717">
        <f>IF('Annexure-I'!P55="",'Annexure-I'!J55,'Annexure-I'!P55)</f>
        <v>1282.83</v>
      </c>
      <c r="BJ58" s="717">
        <f>IF('Annexure-I'!Q55="",'Annexure-I'!K55,'Annexure-I'!Q55)</f>
        <v>140429.18336975999</v>
      </c>
      <c r="BK58" s="714">
        <f>'Annexure-I'!F55</f>
        <v>819.87</v>
      </c>
      <c r="BL58" s="718" t="str">
        <f>'Annexure-I'!G55</f>
        <v>CONTRACT-A54</v>
      </c>
      <c r="BM58" s="764" t="str">
        <f>IF('Annexure-I'!H55=0,"",'Annexure-I'!H55)</f>
        <v>29-12-2015</v>
      </c>
      <c r="BN58" s="717">
        <f>'Annexure-I'!J55</f>
        <v>1282.83</v>
      </c>
      <c r="BO58" s="717">
        <f>'Annexure-I'!K55</f>
        <v>140429.18336975999</v>
      </c>
      <c r="BP58" s="714">
        <f>IF(OR(AY58="EST",AY58="ADRYS"),ROUND((BC58*1.18)/(1.3224*Form!$D$10),2),BC58)</f>
        <v>0</v>
      </c>
      <c r="BQ58" s="714">
        <f>ROUND(BS58/(1.3224*Form!$D$10),2)</f>
        <v>0</v>
      </c>
      <c r="BR58" s="714">
        <f t="shared" si="24"/>
        <v>0</v>
      </c>
      <c r="BS58" s="714">
        <f t="shared" si="25"/>
        <v>0</v>
      </c>
      <c r="BT58" s="719">
        <f t="shared" si="26"/>
        <v>0</v>
      </c>
      <c r="BU58" s="714"/>
      <c r="BV58" s="714">
        <f t="shared" si="8"/>
        <v>0</v>
      </c>
      <c r="BW58" s="714">
        <f>IF(OR(AY58="EST",AY58="ADRYS"),ROUND(1.18*BU58,2),ROUND(BU58*1.3224*Form!$D$10,2))</f>
        <v>0</v>
      </c>
      <c r="BX58" s="714">
        <f t="shared" si="9"/>
        <v>0</v>
      </c>
      <c r="BY58" s="719">
        <f t="shared" si="28"/>
        <v>0</v>
      </c>
      <c r="BZ58" s="714">
        <f t="shared" si="11"/>
        <v>2246866.9300000002</v>
      </c>
      <c r="CA58" s="720"/>
      <c r="CB58" s="720"/>
      <c r="CC58" s="4"/>
      <c r="CD58" s="4"/>
      <c r="CE58" s="4"/>
      <c r="CF58" s="4"/>
      <c r="CG58" s="4"/>
      <c r="CH58" s="4"/>
      <c r="CI58" s="721"/>
    </row>
    <row r="59" spans="1:96" s="579" customFormat="1" ht="45" x14ac:dyDescent="0.25">
      <c r="A59" s="712">
        <f>SUBTOTAL(2,$B$5:B59)</f>
        <v>55</v>
      </c>
      <c r="B59" s="754">
        <v>55</v>
      </c>
      <c r="C59" s="755" t="s">
        <v>723</v>
      </c>
      <c r="D59" s="755" t="s">
        <v>608</v>
      </c>
      <c r="E59" s="754">
        <v>7</v>
      </c>
      <c r="F59" s="658">
        <f>'Annexure-I'!E56</f>
        <v>7</v>
      </c>
      <c r="G59" s="784" t="str">
        <f>IF('CST-Calculation'!G59=0,"",'CST-Calculation'!G59)</f>
        <v/>
      </c>
      <c r="H59" s="784" t="str">
        <f>IF('CST-Calculation'!H59=0,"",'CST-Calculation'!H59)</f>
        <v/>
      </c>
      <c r="I59" s="714" t="str">
        <f>IF(G59="","",IF(H59="TEC Rejected","",IF(H59="","",ROUND(1.3224*Form!$D$10*H59,2))))</f>
        <v/>
      </c>
      <c r="J59" s="714" t="str">
        <f t="shared" si="0"/>
        <v/>
      </c>
      <c r="K59" s="713" t="str">
        <f>IF(L59="","",IF('CST-Calculation'!$F59="Indg","",IF('CST-Calculation'!$F59="TEC Del","",IF('CST-Calculation'!K59&gt;0,'CST-Calculation'!K59,IF('CST-Calculation'!$F59=0,"",'CST-Calculation'!$F59)))))</f>
        <v/>
      </c>
      <c r="L59" s="714" t="str">
        <f>IF('CST-Calculation'!L59=0,"",'CST-Calculation'!L59)</f>
        <v/>
      </c>
      <c r="M59" s="714" t="str">
        <f>IF(K59="","",IF(L59="TEC Rejected","",IF(L59="","",ROUND(1.3224*Form!$D$10*L59,2))))</f>
        <v/>
      </c>
      <c r="N59" s="714" t="str">
        <f t="shared" si="1"/>
        <v/>
      </c>
      <c r="O59" s="89">
        <f>IF(P59="","",IF('CST-Calculation'!$F59="Indg","",IF('CST-Calculation'!$F59="TEC Del","",IF('CST-Calculation'!O59&gt;0,'CST-Calculation'!O59,IF('CST-Calculation'!$F59=0,"",'CST-Calculation'!$F59)))))</f>
        <v>7</v>
      </c>
      <c r="P59" s="714">
        <f>IF('CST-Calculation'!P59=0,"",'CST-Calculation'!P59)</f>
        <v>1290</v>
      </c>
      <c r="Q59" s="714">
        <f>IF(O59="","",IF(P59="TEC Rejected","",IF(P59="","",ROUND(1.3224*Form!$D$10*P59,2))))</f>
        <v>141214.07</v>
      </c>
      <c r="R59" s="714">
        <f t="shared" si="2"/>
        <v>988498.49</v>
      </c>
      <c r="S59" s="89" t="str">
        <f>IF(T59="","",IF('CST-Calculation'!$F59="Indg","",IF('CST-Calculation'!$F59="TEC Del","",IF('CST-Calculation'!S59&gt;0,'CST-Calculation'!S59,IF('CST-Calculation'!$F59=0,"",'CST-Calculation'!$F59)))))</f>
        <v/>
      </c>
      <c r="T59" s="714" t="str">
        <f>IF('CST-Calculation'!T59=0,"",'CST-Calculation'!T59)</f>
        <v/>
      </c>
      <c r="U59" s="714" t="str">
        <f>IF(S59="","",IF(T59="TEC Rejected","",IF(T59="","",ROUND(1.3224*Form!$D$10*T59,2))))</f>
        <v/>
      </c>
      <c r="V59" s="714" t="str">
        <f t="shared" si="3"/>
        <v/>
      </c>
      <c r="W59" s="713" t="str">
        <f>IF(X59="","",IF('CST-Calculation'!$F59="Indg","",IF('CST-Calculation'!$F59="TEC Del","",IF('CST-Calculation'!W59&gt;0,'CST-Calculation'!W59,IF('CST-Calculation'!$F59=0,"",'CST-Calculation'!$F59)))))</f>
        <v/>
      </c>
      <c r="X59" s="714" t="str">
        <f>IF('CST-Calculation'!X59=0,"",'CST-Calculation'!X59)</f>
        <v/>
      </c>
      <c r="Y59" s="714" t="str">
        <f>IF(W59="","",IF(X59="TEC Rejected","",IF(X59="","",ROUND(1.3224*Form!$D$10*X59,2))))</f>
        <v/>
      </c>
      <c r="Z59" s="714" t="str">
        <f t="shared" si="12"/>
        <v/>
      </c>
      <c r="AA59" s="713" t="str">
        <f>IF(AB59="","",IF('CST-Calculation'!$F59="Indg","",IF('CST-Calculation'!$F59="TEC Del","",IF('CST-Calculation'!AA59&gt;0,'CST-Calculation'!AA59,IF('CST-Calculation'!$F59=0,"",'CST-Calculation'!$F59)))))</f>
        <v/>
      </c>
      <c r="AB59" s="714" t="str">
        <f>IF('CST-Calculation'!AB59=0,"",'CST-Calculation'!AB59)</f>
        <v/>
      </c>
      <c r="AC59" s="714" t="str">
        <f t="shared" si="13"/>
        <v/>
      </c>
      <c r="AD59" s="714" t="str">
        <f t="shared" si="14"/>
        <v/>
      </c>
      <c r="AE59" s="713" t="str">
        <f>IF(AF59="","",IF('CST-Calculation'!$F59="Indg","",IF('CST-Calculation'!$F59="TEC Del","",IF('CST-Calculation'!AE59&gt;0,'CST-Calculation'!AE59,IF('CST-Calculation'!$F59=0,"",'CST-Calculation'!$F59)))))</f>
        <v/>
      </c>
      <c r="AF59" s="714" t="str">
        <f>IF('CST-Calculation'!AF59=0,"",'CST-Calculation'!AF59)</f>
        <v/>
      </c>
      <c r="AG59" s="714" t="str">
        <f>IF(AE59="","",IF(AF59="TEC Rejected","",IF(AF59="","",ROUND(1.3224*Form!$D$10*AF59,2))))</f>
        <v/>
      </c>
      <c r="AH59" s="714" t="str">
        <f t="shared" si="15"/>
        <v/>
      </c>
      <c r="AI59" s="713" t="str">
        <f>IF(AJ59="","",IF('CST-Calculation'!$F59="Indg","",IF('CST-Calculation'!$F59="TEC Del","",IF('CST-Calculation'!AI59&gt;0,'CST-Calculation'!AI59,IF('CST-Calculation'!$F59=0,"",'CST-Calculation'!$F59)))))</f>
        <v/>
      </c>
      <c r="AJ59" s="714" t="str">
        <f>IF('CST-Calculation'!AJ59=0,"",'CST-Calculation'!AJ59)</f>
        <v/>
      </c>
      <c r="AK59" s="714" t="str">
        <f t="shared" si="16"/>
        <v/>
      </c>
      <c r="AL59" s="714" t="str">
        <f t="shared" si="17"/>
        <v/>
      </c>
      <c r="AM59" s="713" t="str">
        <f>IF(AN59="","",IF('CST-Calculation'!$F59="Indg","",IF('CST-Calculation'!$F59="TEC Del","",IF('CST-Calculation'!AM59&gt;0,'CST-Calculation'!AM59,IF('CST-Calculation'!$F59=0,"",'CST-Calculation'!$F59)))))</f>
        <v/>
      </c>
      <c r="AN59" s="714" t="str">
        <f>IF('CST-Calculation'!AN59=0,"",'CST-Calculation'!AN59)</f>
        <v/>
      </c>
      <c r="AO59" s="714" t="str">
        <f>IF(AM59="","",IF(AN59="TEC Rejected","",IF(AN59="","",ROUND(1.3224*Form!$D$10*AN59,2))))</f>
        <v/>
      </c>
      <c r="AP59" s="714" t="str">
        <f t="shared" si="18"/>
        <v/>
      </c>
      <c r="AQ59" s="713" t="str">
        <f>IF(AR59="","",IF('CST-Calculation'!$F59="Indg","",IF('CST-Calculation'!$F59="TEC Del","",IF('CST-Calculation'!AQ59&gt;0,'CST-Calculation'!AQ59,IF('CST-Calculation'!$F59=0,"",'CST-Calculation'!$F59)))))</f>
        <v/>
      </c>
      <c r="AR59" s="714" t="str">
        <f>IF('CST-Calculation'!AR59=0,"",'CST-Calculation'!AR59)</f>
        <v/>
      </c>
      <c r="AS59" s="714" t="str">
        <f>IF(AQ59="","",IF(AR59="TEC Rejected","",IF(AR59="","",ROUND(1.3224*Form!$D$10*AR59,2))))</f>
        <v/>
      </c>
      <c r="AT59" s="714" t="str">
        <f t="shared" si="19"/>
        <v/>
      </c>
      <c r="AU59" s="713" t="str">
        <f>IF(AV59="","",IF('CST-Calculation'!$F59="Indg","",IF('CST-Calculation'!$F59="TEC Del","",IF('CST-Calculation'!AU59&gt;0,'CST-Calculation'!AU59,IF('CST-Calculation'!$F59=0,"",'CST-Calculation'!$F59)))))</f>
        <v/>
      </c>
      <c r="AV59" s="714" t="str">
        <f>IF('CST-Calculation'!AV59=0,"",'CST-Calculation'!AV59)</f>
        <v/>
      </c>
      <c r="AW59" s="714" t="str">
        <f>IF(AU59="","",IF(AV59="TEC Rejected","",IF(AV59="","",ROUND(1.3224*Form!$D$10*AV59,2))))</f>
        <v/>
      </c>
      <c r="AX59" s="714" t="str">
        <f t="shared" si="20"/>
        <v/>
      </c>
      <c r="AY59" s="715" t="str">
        <f t="shared" si="21"/>
        <v>GIS</v>
      </c>
      <c r="AZ59" s="716" t="str">
        <f t="shared" si="22"/>
        <v>SINGLE</v>
      </c>
      <c r="BA59" s="716" t="str">
        <f t="shared" si="23"/>
        <v>&lt;= 20%</v>
      </c>
      <c r="BB59" s="716">
        <f>IF(AY59="EST",ROUND(BD59/1.18,2),IF(AY59="ADRYS",ROUND(BD59/1.18,2),ROUND(BD59/(1.3224*Form!$D$10),2)))</f>
        <v>1290</v>
      </c>
      <c r="BC59" s="784">
        <f>IF(OR(AY59="EST",AY59="ADRYS"),ROUND(BE59/1.18,2),ROUND(BE59/(1.3224*Form!$D$10),2))</f>
        <v>9030</v>
      </c>
      <c r="BD59" s="717">
        <f>IF(F59="Indg",0,IF(F59="TEC Del",0,IF(AND(IF(G59="",TRUE,G59&lt;=ROUNDUP(1.2*F59,0)),IF(K59="",TRUE,K59&lt;=ROUNDUP(1.2*F59,0)),IF(O59="",TRUE,O59&lt;=ROUNDUP(1.2*F59,0)),IF(S59="",TRUE,S59&lt;=ROUNDUP(1.2*F59,0)),IF(W59="",TRUE,W59&lt;=ROUNDUP(1.2*F59,0)),IF(AA59="",TRUE,AA59&lt;=ROUNDUP(1.2*F59,0)),IF(AE59="",TRUE,AE59&lt;=ROUNDUP(1.2*F59,0)),IF(AI59="",TRUE,AI59&lt;=ROUNDUP(1.2*F59,0)),IF(AM59="",TRUE,AM59&lt;=ROUNDUP(1.2*F59,0)),IF(AQ59="",TRUE,AQ59&lt;=ROUNDUP(1.2*F59,0)),IF(AU59="",TRUE,AU59&lt;=ROUNDUP(1.2*F59,0))),IF(F59=0,0,(IF(SUM(I59,M59,Q59,U59,Y59,AC59,AG59,AK59,AO59,AS59,AW59)=0,0,SMALL((I59,M59,Q59,U59,Y59,AC59,AG59,AK59,AO59,AS59,AW59),COUNTIF((I59:AW59),0)+1)))),IF(BE59=J59,I59,IF(BE59=N59,M59,IF(BE59=R59,Q59,IF(BE59=V59,U59,IF(BE59=Z59,Y59,IF(BE59=AD59,AC59,IF(BE59=AH59,AG59,IF(BE59=AL59,AK59,IF(BE59=AP59,AO59,IF(BE59=AT59,AS59,IF(BE59=AX59,AW59))))))))))))))</f>
        <v>141214.07</v>
      </c>
      <c r="BE59" s="714">
        <f>IF(F59="Indg",0,IF(F59="TEC Del",0,IF(AND(IF(G59="",TRUE,G59&lt;=ROUNDUP(1.2*F59,0)),IF(K59="",TRUE,K59&lt;=ROUNDUP(1.2*F59,0)),IF(O59="",TRUE,O59&lt;=ROUNDUP(1.2*F59,0)),IF(S59="",TRUE,S59&lt;=ROUNDUP(1.2*F59,0)),IF(W59="",TRUE,W59&lt;=ROUNDUP(1.2*F59,0)),IF(AA59="",TRUE,AA59&lt;=ROUNDUP(1.2*F59,0)),IF(AE59="",TRUE,AE59&lt;=ROUNDUP(1.2*F59,0)),IF(AI59="",TRUE,AI59&lt;=ROUNDUP(1.2*F59,0)),IF(AM59="",TRUE,AM59&lt;=ROUNDUP(1.2*F59,0)),IF(AQ59="",TRUE,AQ59&lt;=ROUNDUP(1.2*F59,0)),IF(AU59="",TRUE,AU59&lt;=ROUNDUP(1.2*F59,0))),ROUND(BD59*IF(BD59=I59,G59,IF(BD59=M59,K59,IF(BD59=Q59,O59,IF(BD59=U59,S59,IF(BD59=Y59,W59,IF(BD59=AC59,AA59,IF(BD59=AG59,AE59,IF(BD59=AK59,AI59,IF(BD59=AO59,AM59,IF(BD59=AS59,AQ59,IF(BD59=AW59,AU59))))))))))),2),(IF(SUM(J59,N59,R59,V59,Z59,AD59,AH59,AL59,AP59,AT59,AX59)=0,0,SMALL((J59,N59,R59,V59,Z59,AD59,AH59,AL59,AP59,AT59,AX59),COUNTIF((J59:AX59),0)+1))))))</f>
        <v>988498.49</v>
      </c>
      <c r="BF59" s="714">
        <f>IF('Annexure-I'!L56="",'Annexure-I'!F56,'Annexure-I'!L56)</f>
        <v>473.38</v>
      </c>
      <c r="BG59" s="714" t="str">
        <f>IF('Annexure-I'!M56="",'Annexure-I'!G56,'Annexure-I'!M56)</f>
        <v>CONTRACT-A55</v>
      </c>
      <c r="BH59" s="764">
        <f>IF('Annexure-I'!N56="",'Annexure-I'!H56,'Annexure-I'!N56)</f>
        <v>42944</v>
      </c>
      <c r="BI59" s="717">
        <f>IF('Annexure-I'!P56="",'Annexure-I'!J56,'Annexure-I'!P56)</f>
        <v>670.55</v>
      </c>
      <c r="BJ59" s="717">
        <f>IF('Annexure-I'!Q56="",'Annexure-I'!K56,'Annexure-I'!Q56)</f>
        <v>73403.949789599996</v>
      </c>
      <c r="BK59" s="714">
        <f>'Annexure-I'!F56</f>
        <v>473.38</v>
      </c>
      <c r="BL59" s="718" t="str">
        <f>'Annexure-I'!G56</f>
        <v>CONTRACT-A55</v>
      </c>
      <c r="BM59" s="764">
        <f>IF('Annexure-I'!H56=0,"",'Annexure-I'!H56)</f>
        <v>42944</v>
      </c>
      <c r="BN59" s="717">
        <f>'Annexure-I'!J56</f>
        <v>670.55</v>
      </c>
      <c r="BO59" s="717">
        <f>'Annexure-I'!K56</f>
        <v>73403.949789599996</v>
      </c>
      <c r="BP59" s="714">
        <f>IF(OR(AY59="EST",AY59="ADRYS"),ROUND((BC59*1.18)/(1.3224*Form!$D$10),2),BC59)</f>
        <v>9030</v>
      </c>
      <c r="BQ59" s="714">
        <f>ROUND(BS59/(1.3224*Form!$D$10),2)</f>
        <v>4693.8500000000004</v>
      </c>
      <c r="BR59" s="714">
        <f t="shared" si="24"/>
        <v>988498.49</v>
      </c>
      <c r="BS59" s="714">
        <f t="shared" si="25"/>
        <v>513827.65</v>
      </c>
      <c r="BT59" s="719">
        <f t="shared" si="26"/>
        <v>0.92379388302673071</v>
      </c>
      <c r="BU59" s="714"/>
      <c r="BV59" s="714">
        <f t="shared" si="8"/>
        <v>0</v>
      </c>
      <c r="BW59" s="714">
        <f>IF(OR(AY59="EST",AY59="ADRYS"),ROUND(1.18*BU59,2),ROUND(BU59*1.3224*Form!$D$10,2))</f>
        <v>0</v>
      </c>
      <c r="BX59" s="714">
        <f t="shared" si="9"/>
        <v>0</v>
      </c>
      <c r="BY59" s="719">
        <f t="shared" si="10"/>
        <v>0</v>
      </c>
      <c r="BZ59" s="714">
        <f t="shared" si="11"/>
        <v>513827.65</v>
      </c>
      <c r="CA59" s="720"/>
      <c r="CB59" s="720"/>
      <c r="CC59" s="4"/>
      <c r="CD59" s="4"/>
      <c r="CE59" s="4"/>
      <c r="CF59" s="4"/>
      <c r="CG59" s="4"/>
      <c r="CH59" s="4"/>
      <c r="CI59" s="721"/>
      <c r="CJ59" s="645"/>
      <c r="CK59" s="592"/>
    </row>
    <row r="60" spans="1:96" s="579" customFormat="1" ht="45" x14ac:dyDescent="0.25">
      <c r="A60" s="712">
        <f>SUBTOTAL(2,$B$5:B60)</f>
        <v>56</v>
      </c>
      <c r="B60" s="754">
        <v>56</v>
      </c>
      <c r="C60" s="756" t="s">
        <v>724</v>
      </c>
      <c r="D60" s="755" t="s">
        <v>467</v>
      </c>
      <c r="E60" s="754">
        <v>5</v>
      </c>
      <c r="F60" s="658">
        <f>'Annexure-I'!E57</f>
        <v>5</v>
      </c>
      <c r="G60" s="784" t="str">
        <f>IF('CST-Calculation'!G60=0,"",'CST-Calculation'!G60)</f>
        <v/>
      </c>
      <c r="H60" s="784" t="str">
        <f>IF('CST-Calculation'!H60=0,"",'CST-Calculation'!H60)</f>
        <v/>
      </c>
      <c r="I60" s="714" t="str">
        <f>IF(G60="","",IF(H60="TEC Rejected","",IF(H60="","",ROUND(1.3224*Form!$D$10*H60,2))))</f>
        <v/>
      </c>
      <c r="J60" s="714" t="str">
        <f t="shared" si="0"/>
        <v/>
      </c>
      <c r="K60" s="713" t="str">
        <f>IF(L60="","",IF('CST-Calculation'!$F60="Indg","",IF('CST-Calculation'!$F60="TEC Del","",IF('CST-Calculation'!K60&gt;0,'CST-Calculation'!K60,IF('CST-Calculation'!$F60=0,"",'CST-Calculation'!$F60)))))</f>
        <v/>
      </c>
      <c r="L60" s="714" t="str">
        <f>IF('CST-Calculation'!L60=0,"",'CST-Calculation'!L60)</f>
        <v/>
      </c>
      <c r="M60" s="714" t="str">
        <f>IF(K60="","",IF(L60="TEC Rejected","",IF(L60="","",ROUND(1.3224*Form!$D$10*L60,2))))</f>
        <v/>
      </c>
      <c r="N60" s="714" t="str">
        <f t="shared" si="1"/>
        <v/>
      </c>
      <c r="O60" s="89">
        <f>IF(P60="","",IF('CST-Calculation'!$F60="Indg","",IF('CST-Calculation'!$F60="TEC Del","",IF('CST-Calculation'!O60&gt;0,'CST-Calculation'!O60,IF('CST-Calculation'!$F60=0,"",'CST-Calculation'!$F60)))))</f>
        <v>5</v>
      </c>
      <c r="P60" s="714">
        <f>IF('CST-Calculation'!P60=0,"",'CST-Calculation'!P60)</f>
        <v>125</v>
      </c>
      <c r="Q60" s="714">
        <f>IF(O60="","",IF(P60="TEC Rejected","",IF(P60="","",ROUND(1.3224*Form!$D$10*P60,2))))</f>
        <v>13683.53</v>
      </c>
      <c r="R60" s="714">
        <f t="shared" si="2"/>
        <v>68417.649999999994</v>
      </c>
      <c r="S60" s="89" t="str">
        <f>IF(T60="","",IF('CST-Calculation'!$F60="Indg","",IF('CST-Calculation'!$F60="TEC Del","",IF('CST-Calculation'!S60&gt;0,'CST-Calculation'!S60,IF('CST-Calculation'!$F60=0,"",'CST-Calculation'!$F60)))))</f>
        <v/>
      </c>
      <c r="T60" s="714" t="str">
        <f>IF('CST-Calculation'!T60=0,"",'CST-Calculation'!T60)</f>
        <v/>
      </c>
      <c r="U60" s="714" t="str">
        <f>IF(S60="","",IF(T60="TEC Rejected","",IF(T60="","",ROUND(1.3224*Form!$D$10*T60,2))))</f>
        <v/>
      </c>
      <c r="V60" s="714" t="str">
        <f t="shared" si="3"/>
        <v/>
      </c>
      <c r="W60" s="713" t="str">
        <f>IF(X60="","",IF('CST-Calculation'!$F60="Indg","",IF('CST-Calculation'!$F60="TEC Del","",IF('CST-Calculation'!W60&gt;0,'CST-Calculation'!W60,IF('CST-Calculation'!$F60=0,"",'CST-Calculation'!$F60)))))</f>
        <v/>
      </c>
      <c r="X60" s="714" t="str">
        <f>IF('CST-Calculation'!X60=0,"",'CST-Calculation'!X60)</f>
        <v/>
      </c>
      <c r="Y60" s="714" t="str">
        <f>IF(W60="","",IF(X60="TEC Rejected","",IF(X60="","",ROUND(1.3224*Form!$D$10*X60,2))))</f>
        <v/>
      </c>
      <c r="Z60" s="714" t="str">
        <f t="shared" si="12"/>
        <v/>
      </c>
      <c r="AA60" s="713" t="str">
        <f>IF(AB60="","",IF('CST-Calculation'!$F60="Indg","",IF('CST-Calculation'!$F60="TEC Del","",IF('CST-Calculation'!AA60&gt;0,'CST-Calculation'!AA60,IF('CST-Calculation'!$F60=0,"",'CST-Calculation'!$F60)))))</f>
        <v/>
      </c>
      <c r="AB60" s="714" t="str">
        <f>IF('CST-Calculation'!AB60=0,"",'CST-Calculation'!AB60)</f>
        <v/>
      </c>
      <c r="AC60" s="714" t="str">
        <f t="shared" si="13"/>
        <v/>
      </c>
      <c r="AD60" s="714" t="str">
        <f t="shared" si="14"/>
        <v/>
      </c>
      <c r="AE60" s="713" t="str">
        <f>IF(AF60="","",IF('CST-Calculation'!$F60="Indg","",IF('CST-Calculation'!$F60="TEC Del","",IF('CST-Calculation'!AE60&gt;0,'CST-Calculation'!AE60,IF('CST-Calculation'!$F60=0,"",'CST-Calculation'!$F60)))))</f>
        <v/>
      </c>
      <c r="AF60" s="714" t="str">
        <f>IF('CST-Calculation'!AF60=0,"",'CST-Calculation'!AF60)</f>
        <v/>
      </c>
      <c r="AG60" s="714" t="str">
        <f>IF(AE60="","",IF(AF60="TEC Rejected","",IF(AF60="","",ROUND(1.3224*Form!$D$10*AF60,2))))</f>
        <v/>
      </c>
      <c r="AH60" s="714" t="str">
        <f t="shared" si="15"/>
        <v/>
      </c>
      <c r="AI60" s="713" t="str">
        <f>IF(AJ60="","",IF('CST-Calculation'!$F60="Indg","",IF('CST-Calculation'!$F60="TEC Del","",IF('CST-Calculation'!AI60&gt;0,'CST-Calculation'!AI60,IF('CST-Calculation'!$F60=0,"",'CST-Calculation'!$F60)))))</f>
        <v/>
      </c>
      <c r="AJ60" s="714" t="str">
        <f>IF('CST-Calculation'!AJ60=0,"",'CST-Calculation'!AJ60)</f>
        <v/>
      </c>
      <c r="AK60" s="714" t="str">
        <f t="shared" si="16"/>
        <v/>
      </c>
      <c r="AL60" s="714" t="str">
        <f t="shared" si="17"/>
        <v/>
      </c>
      <c r="AM60" s="713" t="str">
        <f>IF(AN60="","",IF('CST-Calculation'!$F60="Indg","",IF('CST-Calculation'!$F60="TEC Del","",IF('CST-Calculation'!AM60&gt;0,'CST-Calculation'!AM60,IF('CST-Calculation'!$F60=0,"",'CST-Calculation'!$F60)))))</f>
        <v/>
      </c>
      <c r="AN60" s="714" t="str">
        <f>IF('CST-Calculation'!AN60=0,"",'CST-Calculation'!AN60)</f>
        <v/>
      </c>
      <c r="AO60" s="714" t="str">
        <f>IF(AM60="","",IF(AN60="TEC Rejected","",IF(AN60="","",ROUND(1.3224*Form!$D$10*AN60,2))))</f>
        <v/>
      </c>
      <c r="AP60" s="714" t="str">
        <f t="shared" si="18"/>
        <v/>
      </c>
      <c r="AQ60" s="713" t="str">
        <f>IF(AR60="","",IF('CST-Calculation'!$F60="Indg","",IF('CST-Calculation'!$F60="TEC Del","",IF('CST-Calculation'!AQ60&gt;0,'CST-Calculation'!AQ60,IF('CST-Calculation'!$F60=0,"",'CST-Calculation'!$F60)))))</f>
        <v/>
      </c>
      <c r="AR60" s="714" t="str">
        <f>IF('CST-Calculation'!AR60=0,"",'CST-Calculation'!AR60)</f>
        <v/>
      </c>
      <c r="AS60" s="714" t="str">
        <f>IF(AQ60="","",IF(AR60="TEC Rejected","",IF(AR60="","",ROUND(1.3224*Form!$D$10*AR60,2))))</f>
        <v/>
      </c>
      <c r="AT60" s="714" t="str">
        <f t="shared" si="19"/>
        <v/>
      </c>
      <c r="AU60" s="713" t="str">
        <f>IF(AV60="","",IF('CST-Calculation'!$F60="Indg","",IF('CST-Calculation'!$F60="TEC Del","",IF('CST-Calculation'!AU60&gt;0,'CST-Calculation'!AU60,IF('CST-Calculation'!$F60=0,"",'CST-Calculation'!$F60)))))</f>
        <v/>
      </c>
      <c r="AV60" s="714" t="str">
        <f>IF('CST-Calculation'!AV60=0,"",'CST-Calculation'!AV60)</f>
        <v/>
      </c>
      <c r="AW60" s="714" t="str">
        <f>IF(AU60="","",IF(AV60="TEC Rejected","",IF(AV60="","",ROUND(1.3224*Form!$D$10*AV60,2))))</f>
        <v/>
      </c>
      <c r="AX60" s="714" t="str">
        <f t="shared" si="20"/>
        <v/>
      </c>
      <c r="AY60" s="715" t="str">
        <f t="shared" si="21"/>
        <v>GIS</v>
      </c>
      <c r="AZ60" s="716" t="str">
        <f t="shared" si="22"/>
        <v>SINGLE</v>
      </c>
      <c r="BA60" s="716" t="str">
        <f t="shared" si="23"/>
        <v>&lt;= 20%</v>
      </c>
      <c r="BB60" s="716">
        <f>IF(AY60="EST",ROUND(BD60/1.18,2),IF(AY60="ADRYS",ROUND(BD60/1.18,2),ROUND(BD60/(1.3224*Form!$D$10),2)))</f>
        <v>125</v>
      </c>
      <c r="BC60" s="784">
        <f>IF(OR(AY60="EST",AY60="ADRYS"),ROUND(BE60/1.18,2),ROUND(BE60/(1.3224*Form!$D$10),2))</f>
        <v>625</v>
      </c>
      <c r="BD60" s="717">
        <f>IF(F60="Indg",0,IF(F60="TEC Del",0,IF(AND(IF(G60="",TRUE,G60&lt;=ROUNDUP(1.2*F60,0)),IF(K60="",TRUE,K60&lt;=ROUNDUP(1.2*F60,0)),IF(O60="",TRUE,O60&lt;=ROUNDUP(1.2*F60,0)),IF(S60="",TRUE,S60&lt;=ROUNDUP(1.2*F60,0)),IF(W60="",TRUE,W60&lt;=ROUNDUP(1.2*F60,0)),IF(AA60="",TRUE,AA60&lt;=ROUNDUP(1.2*F60,0)),IF(AE60="",TRUE,AE60&lt;=ROUNDUP(1.2*F60,0)),IF(AI60="",TRUE,AI60&lt;=ROUNDUP(1.2*F60,0)),IF(AM60="",TRUE,AM60&lt;=ROUNDUP(1.2*F60,0)),IF(AQ60="",TRUE,AQ60&lt;=ROUNDUP(1.2*F60,0)),IF(AU60="",TRUE,AU60&lt;=ROUNDUP(1.2*F60,0))),IF(F60=0,0,(IF(SUM(I60,M60,Q60,U60,Y60,AC60,AG60,AK60,AO60,AS60,AW60)=0,0,SMALL((I60,M60,Q60,U60,Y60,AC60,AG60,AK60,AO60,AS60,AW60),COUNTIF((I60:AW60),0)+1)))),IF(BE60=J60,I60,IF(BE60=N60,M60,IF(BE60=R60,Q60,IF(BE60=V60,U60,IF(BE60=Z60,Y60,IF(BE60=AD60,AC60,IF(BE60=AH60,AG60,IF(BE60=AL60,AK60,IF(BE60=AP60,AO60,IF(BE60=AT60,AS60,IF(BE60=AX60,AW60))))))))))))))</f>
        <v>13683.53</v>
      </c>
      <c r="BE60" s="714">
        <f>IF(F60="Indg",0,IF(F60="TEC Del",0,IF(AND(IF(G60="",TRUE,G60&lt;=ROUNDUP(1.2*F60,0)),IF(K60="",TRUE,K60&lt;=ROUNDUP(1.2*F60,0)),IF(O60="",TRUE,O60&lt;=ROUNDUP(1.2*F60,0)),IF(S60="",TRUE,S60&lt;=ROUNDUP(1.2*F60,0)),IF(W60="",TRUE,W60&lt;=ROUNDUP(1.2*F60,0)),IF(AA60="",TRUE,AA60&lt;=ROUNDUP(1.2*F60,0)),IF(AE60="",TRUE,AE60&lt;=ROUNDUP(1.2*F60,0)),IF(AI60="",TRUE,AI60&lt;=ROUNDUP(1.2*F60,0)),IF(AM60="",TRUE,AM60&lt;=ROUNDUP(1.2*F60,0)),IF(AQ60="",TRUE,AQ60&lt;=ROUNDUP(1.2*F60,0)),IF(AU60="",TRUE,AU60&lt;=ROUNDUP(1.2*F60,0))),ROUND(BD60*IF(BD60=I60,G60,IF(BD60=M60,K60,IF(BD60=Q60,O60,IF(BD60=U60,S60,IF(BD60=Y60,W60,IF(BD60=AC60,AA60,IF(BD60=AG60,AE60,IF(BD60=AK60,AI60,IF(BD60=AO60,AM60,IF(BD60=AS60,AQ60,IF(BD60=AW60,AU60))))))))))),2),(IF(SUM(J60,N60,R60,V60,Z60,AD60,AH60,AL60,AP60,AT60,AX60)=0,0,SMALL((J60,N60,R60,V60,Z60,AD60,AH60,AL60,AP60,AT60,AX60),COUNTIF((J60:AX60),0)+1))))))</f>
        <v>68417.649999999994</v>
      </c>
      <c r="BF60" s="714">
        <f>IF('Annexure-I'!L57="",'Annexure-I'!F57,'Annexure-I'!L57)</f>
        <v>1468.85</v>
      </c>
      <c r="BG60" s="714" t="str">
        <f>IF('Annexure-I'!M57="",'Annexure-I'!G57,'Annexure-I'!M57)</f>
        <v>CONTRACT-A56</v>
      </c>
      <c r="BH60" s="764">
        <f>IF('Annexure-I'!N57="",'Annexure-I'!H57,'Annexure-I'!N57)</f>
        <v>41789</v>
      </c>
      <c r="BI60" s="717">
        <f>IF('Annexure-I'!P57="",'Annexure-I'!J57,'Annexure-I'!P57)</f>
        <v>2417.7800000000002</v>
      </c>
      <c r="BJ60" s="717">
        <f>IF('Annexure-I'!Q57="",'Annexure-I'!K57,'Annexure-I'!Q57)</f>
        <v>264670.19867616001</v>
      </c>
      <c r="BK60" s="714">
        <f>'Annexure-I'!F57</f>
        <v>1468.85</v>
      </c>
      <c r="BL60" s="718" t="str">
        <f>'Annexure-I'!G57</f>
        <v>CONTRACT-A56</v>
      </c>
      <c r="BM60" s="764">
        <f>IF('Annexure-I'!H57=0,"",'Annexure-I'!H57)</f>
        <v>41789</v>
      </c>
      <c r="BN60" s="717">
        <f>'Annexure-I'!J57</f>
        <v>2417.7800000000002</v>
      </c>
      <c r="BO60" s="717">
        <f>'Annexure-I'!K57</f>
        <v>264670.19867616001</v>
      </c>
      <c r="BP60" s="714">
        <f>IF(OR(AY60="EST",AY60="ADRYS"),ROUND((BC60*1.18)/(1.3224*Form!$D$10),2),BC60)</f>
        <v>625</v>
      </c>
      <c r="BQ60" s="714">
        <f>ROUND(BS60/(1.3224*Form!$D$10),2)</f>
        <v>12088.9</v>
      </c>
      <c r="BR60" s="714">
        <f t="shared" si="24"/>
        <v>68417.649999999994</v>
      </c>
      <c r="BS60" s="714">
        <f t="shared" si="25"/>
        <v>1323350.99</v>
      </c>
      <c r="BT60" s="719">
        <f t="shared" si="26"/>
        <v>-0.94829969485268617</v>
      </c>
      <c r="BU60" s="714"/>
      <c r="BV60" s="714">
        <f t="shared" si="8"/>
        <v>0</v>
      </c>
      <c r="BW60" s="714">
        <f>IF(OR(AY60="EST",AY60="ADRYS"),ROUND(1.18*BU60,2),ROUND(BU60*1.3224*Form!$D$10,2))</f>
        <v>0</v>
      </c>
      <c r="BX60" s="714">
        <f t="shared" si="9"/>
        <v>0</v>
      </c>
      <c r="BY60" s="719">
        <f t="shared" si="10"/>
        <v>0</v>
      </c>
      <c r="BZ60" s="714">
        <f t="shared" si="11"/>
        <v>1323350.99</v>
      </c>
      <c r="CA60" s="720"/>
      <c r="CB60" s="720"/>
      <c r="CC60" s="4"/>
      <c r="CD60" s="4"/>
      <c r="CE60" s="4"/>
      <c r="CF60" s="4"/>
      <c r="CG60" s="4"/>
      <c r="CH60" s="4"/>
      <c r="CI60" s="721"/>
    </row>
    <row r="61" spans="1:96" s="579" customFormat="1" ht="45" x14ac:dyDescent="0.25">
      <c r="A61" s="712">
        <f>SUBTOTAL(2,$B$5:B61)</f>
        <v>57</v>
      </c>
      <c r="B61" s="754">
        <v>57</v>
      </c>
      <c r="C61" s="755" t="s">
        <v>725</v>
      </c>
      <c r="D61" s="755" t="s">
        <v>468</v>
      </c>
      <c r="E61" s="754">
        <v>5</v>
      </c>
      <c r="F61" s="658">
        <f>'Annexure-I'!E58</f>
        <v>5</v>
      </c>
      <c r="G61" s="784" t="str">
        <f>IF('CST-Calculation'!G61=0,"",'CST-Calculation'!G61)</f>
        <v/>
      </c>
      <c r="H61" s="784" t="str">
        <f>IF('CST-Calculation'!H61=0,"",'CST-Calculation'!H61)</f>
        <v/>
      </c>
      <c r="I61" s="714" t="str">
        <f>IF(G61="","",IF(H61="TEC Rejected","",IF(H61="","",ROUND(1.3224*Form!$D$10*H61,2))))</f>
        <v/>
      </c>
      <c r="J61" s="714" t="str">
        <f t="shared" si="0"/>
        <v/>
      </c>
      <c r="K61" s="713" t="str">
        <f>IF(L61="","",IF('CST-Calculation'!$F61="Indg","",IF('CST-Calculation'!$F61="TEC Del","",IF('CST-Calculation'!K61&gt;0,'CST-Calculation'!K61,IF('CST-Calculation'!$F61=0,"",'CST-Calculation'!$F61)))))</f>
        <v/>
      </c>
      <c r="L61" s="714" t="str">
        <f>IF('CST-Calculation'!L61=0,"",'CST-Calculation'!L61)</f>
        <v/>
      </c>
      <c r="M61" s="714" t="str">
        <f>IF(K61="","",IF(L61="TEC Rejected","",IF(L61="","",ROUND(1.3224*Form!$D$10*L61,2))))</f>
        <v/>
      </c>
      <c r="N61" s="714" t="str">
        <f t="shared" si="1"/>
        <v/>
      </c>
      <c r="O61" s="89">
        <f>IF(P61="","",IF('CST-Calculation'!$F61="Indg","",IF('CST-Calculation'!$F61="TEC Del","",IF('CST-Calculation'!O61&gt;0,'CST-Calculation'!O61,IF('CST-Calculation'!$F61=0,"",'CST-Calculation'!$F61)))))</f>
        <v>5</v>
      </c>
      <c r="P61" s="714">
        <f>IF('CST-Calculation'!P61=0,"",'CST-Calculation'!P61)</f>
        <v>115</v>
      </c>
      <c r="Q61" s="714">
        <f>IF(O61="","",IF(P61="TEC Rejected","",IF(P61="","",ROUND(1.3224*Form!$D$10*P61,2))))</f>
        <v>12588.85</v>
      </c>
      <c r="R61" s="714">
        <f t="shared" si="2"/>
        <v>62944.25</v>
      </c>
      <c r="S61" s="89" t="str">
        <f>IF(T61="","",IF('CST-Calculation'!$F61="Indg","",IF('CST-Calculation'!$F61="TEC Del","",IF('CST-Calculation'!S61&gt;0,'CST-Calculation'!S61,IF('CST-Calculation'!$F61=0,"",'CST-Calculation'!$F61)))))</f>
        <v/>
      </c>
      <c r="T61" s="714" t="str">
        <f>IF('CST-Calculation'!T61=0,"",'CST-Calculation'!T61)</f>
        <v/>
      </c>
      <c r="U61" s="714" t="str">
        <f>IF(S61="","",IF(T61="TEC Rejected","",IF(T61="","",ROUND(1.3224*Form!$D$10*T61,2))))</f>
        <v/>
      </c>
      <c r="V61" s="714" t="str">
        <f t="shared" si="3"/>
        <v/>
      </c>
      <c r="W61" s="713" t="str">
        <f>IF(X61="","",IF('CST-Calculation'!$F61="Indg","",IF('CST-Calculation'!$F61="TEC Del","",IF('CST-Calculation'!W61&gt;0,'CST-Calculation'!W61,IF('CST-Calculation'!$F61=0,"",'CST-Calculation'!$F61)))))</f>
        <v/>
      </c>
      <c r="X61" s="714" t="str">
        <f>IF('CST-Calculation'!X61=0,"",'CST-Calculation'!X61)</f>
        <v/>
      </c>
      <c r="Y61" s="714" t="str">
        <f>IF(W61="","",IF(X61="TEC Rejected","",IF(X61="","",ROUND(1.3224*Form!$D$10*X61,2))))</f>
        <v/>
      </c>
      <c r="Z61" s="714" t="str">
        <f t="shared" si="12"/>
        <v/>
      </c>
      <c r="AA61" s="713" t="str">
        <f>IF(AB61="","",IF('CST-Calculation'!$F61="Indg","",IF('CST-Calculation'!$F61="TEC Del","",IF('CST-Calculation'!AA61&gt;0,'CST-Calculation'!AA61,IF('CST-Calculation'!$F61=0,"",'CST-Calculation'!$F61)))))</f>
        <v/>
      </c>
      <c r="AB61" s="714" t="str">
        <f>IF('CST-Calculation'!AB61=0,"",'CST-Calculation'!AB61)</f>
        <v/>
      </c>
      <c r="AC61" s="714" t="str">
        <f t="shared" si="13"/>
        <v/>
      </c>
      <c r="AD61" s="714" t="str">
        <f t="shared" si="14"/>
        <v/>
      </c>
      <c r="AE61" s="713" t="str">
        <f>IF(AF61="","",IF('CST-Calculation'!$F61="Indg","",IF('CST-Calculation'!$F61="TEC Del","",IF('CST-Calculation'!AE61&gt;0,'CST-Calculation'!AE61,IF('CST-Calculation'!$F61=0,"",'CST-Calculation'!$F61)))))</f>
        <v/>
      </c>
      <c r="AF61" s="714" t="str">
        <f>IF('CST-Calculation'!AF61=0,"",'CST-Calculation'!AF61)</f>
        <v/>
      </c>
      <c r="AG61" s="714" t="str">
        <f>IF(AE61="","",IF(AF61="TEC Rejected","",IF(AF61="","",ROUND(1.3224*Form!$D$10*AF61,2))))</f>
        <v/>
      </c>
      <c r="AH61" s="714" t="str">
        <f t="shared" si="15"/>
        <v/>
      </c>
      <c r="AI61" s="713" t="str">
        <f>IF(AJ61="","",IF('CST-Calculation'!$F61="Indg","",IF('CST-Calculation'!$F61="TEC Del","",IF('CST-Calculation'!AI61&gt;0,'CST-Calculation'!AI61,IF('CST-Calculation'!$F61=0,"",'CST-Calculation'!$F61)))))</f>
        <v/>
      </c>
      <c r="AJ61" s="714" t="str">
        <f>IF('CST-Calculation'!AJ61=0,"",'CST-Calculation'!AJ61)</f>
        <v/>
      </c>
      <c r="AK61" s="714" t="str">
        <f t="shared" si="16"/>
        <v/>
      </c>
      <c r="AL61" s="714" t="str">
        <f t="shared" si="17"/>
        <v/>
      </c>
      <c r="AM61" s="713" t="str">
        <f>IF(AN61="","",IF('CST-Calculation'!$F61="Indg","",IF('CST-Calculation'!$F61="TEC Del","",IF('CST-Calculation'!AM61&gt;0,'CST-Calculation'!AM61,IF('CST-Calculation'!$F61=0,"",'CST-Calculation'!$F61)))))</f>
        <v/>
      </c>
      <c r="AN61" s="714" t="str">
        <f>IF('CST-Calculation'!AN61=0,"",'CST-Calculation'!AN61)</f>
        <v/>
      </c>
      <c r="AO61" s="714" t="str">
        <f>IF(AM61="","",IF(AN61="TEC Rejected","",IF(AN61="","",ROUND(1.3224*Form!$D$10*AN61,2))))</f>
        <v/>
      </c>
      <c r="AP61" s="714" t="str">
        <f t="shared" si="18"/>
        <v/>
      </c>
      <c r="AQ61" s="724" t="str">
        <f>IF(AR61="","",IF('CST-Calculation'!$F61="Indg","",IF('CST-Calculation'!$F61="TEC Del","",IF('CST-Calculation'!AQ61&gt;0,'CST-Calculation'!AQ61,IF('CST-Calculation'!$F61=0,"",'CST-Calculation'!$F61)))))</f>
        <v/>
      </c>
      <c r="AR61" s="714" t="str">
        <f>IF('CST-Calculation'!AR61=0,"",'CST-Calculation'!AR61)</f>
        <v/>
      </c>
      <c r="AS61" s="725" t="str">
        <f>IF(AQ61="","",IF(AR61="TEC Rejected","",IF(AR61="","",ROUND(1.3224*Form!$D$10*AR61,2))))</f>
        <v/>
      </c>
      <c r="AT61" s="714" t="str">
        <f t="shared" si="19"/>
        <v/>
      </c>
      <c r="AU61" s="713" t="str">
        <f>IF(AV61="","",IF('CST-Calculation'!$F61="Indg","",IF('CST-Calculation'!$F61="TEC Del","",IF('CST-Calculation'!AU61&gt;0,'CST-Calculation'!AU61,IF('CST-Calculation'!$F61=0,"",'CST-Calculation'!$F61)))))</f>
        <v/>
      </c>
      <c r="AV61" s="714" t="str">
        <f>IF('CST-Calculation'!AV61=0,"",'CST-Calculation'!AV61)</f>
        <v/>
      </c>
      <c r="AW61" s="714" t="str">
        <f>IF(AU61="","",IF(AV61="TEC Rejected","",IF(AV61="","",ROUND(1.3224*Form!$D$10*AV61,2))))</f>
        <v/>
      </c>
      <c r="AX61" s="714" t="str">
        <f t="shared" si="20"/>
        <v/>
      </c>
      <c r="AY61" s="715" t="str">
        <f t="shared" si="21"/>
        <v>GIS</v>
      </c>
      <c r="AZ61" s="716" t="str">
        <f t="shared" si="22"/>
        <v>SINGLE</v>
      </c>
      <c r="BA61" s="716" t="str">
        <f t="shared" si="23"/>
        <v>&lt;= 20%</v>
      </c>
      <c r="BB61" s="716">
        <f>IF(AY61="EST",ROUND(BD61/1.18,2),IF(AY61="ADRYS",ROUND(BD61/1.18,2),ROUND(BD61/(1.3224*Form!$D$10),2)))</f>
        <v>115</v>
      </c>
      <c r="BC61" s="784">
        <f>IF(OR(AY61="EST",AY61="ADRYS"),ROUND(BE61/1.18,2),ROUND(BE61/(1.3224*Form!$D$10),2))</f>
        <v>575</v>
      </c>
      <c r="BD61" s="717">
        <f>IF(F61="Indg",0,IF(F61="TEC Del",0,IF(AND(IF(G61="",TRUE,G61&lt;=ROUNDUP(1.2*F61,0)),IF(K61="",TRUE,K61&lt;=ROUNDUP(1.2*F61,0)),IF(O61="",TRUE,O61&lt;=ROUNDUP(1.2*F61,0)),IF(S61="",TRUE,S61&lt;=ROUNDUP(1.2*F61,0)),IF(W61="",TRUE,W61&lt;=ROUNDUP(1.2*F61,0)),IF(AA61="",TRUE,AA61&lt;=ROUNDUP(1.2*F61,0)),IF(AE61="",TRUE,AE61&lt;=ROUNDUP(1.2*F61,0)),IF(AI61="",TRUE,AI61&lt;=ROUNDUP(1.2*F61,0)),IF(AM61="",TRUE,AM61&lt;=ROUNDUP(1.2*F61,0)),IF(AQ61="",TRUE,AQ61&lt;=ROUNDUP(1.2*F61,0)),IF(AU61="",TRUE,AU61&lt;=ROUNDUP(1.2*F61,0))),IF(F61=0,0,(IF(SUM(I61,M61,Q61,U61,Y61,AC61,AG61,AK61,AO61,AS61,AW61)=0,0,SMALL((I61,M61,Q61,U61,Y61,AC61,AG61,AK61,AO61,AS61,AW61),COUNTIF((I61:AW61),0)+1)))),IF(BE61=J61,I61,IF(BE61=N61,M61,IF(BE61=R61,Q61,IF(BE61=V61,U61,IF(BE61=Z61,Y61,IF(BE61=AD61,AC61,IF(BE61=AH61,AG61,IF(BE61=AL61,AK61,IF(BE61=AP61,AO61,IF(BE61=AT61,AS61,IF(BE61=AX61,AW61))))))))))))))</f>
        <v>12588.85</v>
      </c>
      <c r="BE61" s="714">
        <f>IF(F61="Indg",0,IF(F61="TEC Del",0,IF(AND(IF(G61="",TRUE,G61&lt;=ROUNDUP(1.2*F61,0)),IF(K61="",TRUE,K61&lt;=ROUNDUP(1.2*F61,0)),IF(O61="",TRUE,O61&lt;=ROUNDUP(1.2*F61,0)),IF(S61="",TRUE,S61&lt;=ROUNDUP(1.2*F61,0)),IF(W61="",TRUE,W61&lt;=ROUNDUP(1.2*F61,0)),IF(AA61="",TRUE,AA61&lt;=ROUNDUP(1.2*F61,0)),IF(AE61="",TRUE,AE61&lt;=ROUNDUP(1.2*F61,0)),IF(AI61="",TRUE,AI61&lt;=ROUNDUP(1.2*F61,0)),IF(AM61="",TRUE,AM61&lt;=ROUNDUP(1.2*F61,0)),IF(AQ61="",TRUE,AQ61&lt;=ROUNDUP(1.2*F61,0)),IF(AU61="",TRUE,AU61&lt;=ROUNDUP(1.2*F61,0))),ROUND(BD61*IF(BD61=I61,G61,IF(BD61=M61,K61,IF(BD61=Q61,O61,IF(BD61=U61,S61,IF(BD61=Y61,W61,IF(BD61=AC61,AA61,IF(BD61=AG61,AE61,IF(BD61=AK61,AI61,IF(BD61=AO61,AM61,IF(BD61=AS61,AQ61,IF(BD61=AW61,AU61))))))))))),2),(IF(SUM(J61,N61,R61,V61,Z61,AD61,AH61,AL61,AP61,AT61,AX61)=0,0,SMALL((J61,N61,R61,V61,Z61,AD61,AH61,AL61,AP61,AT61,AX61),COUNTIF((J61:AX61),0)+1))))))</f>
        <v>62944.25</v>
      </c>
      <c r="BF61" s="714">
        <f>IF('Annexure-I'!L58="",'Annexure-I'!F58,'Annexure-I'!L58)</f>
        <v>1468.85</v>
      </c>
      <c r="BG61" s="714" t="str">
        <f>IF('Annexure-I'!M58="",'Annexure-I'!G58,'Annexure-I'!M58)</f>
        <v>CONTRACT-A57</v>
      </c>
      <c r="BH61" s="764">
        <f>IF('Annexure-I'!N58="",'Annexure-I'!H58,'Annexure-I'!N58)</f>
        <v>41789</v>
      </c>
      <c r="BI61" s="717">
        <f>IF('Annexure-I'!P58="",'Annexure-I'!J58,'Annexure-I'!P58)</f>
        <v>2417.7800000000002</v>
      </c>
      <c r="BJ61" s="717">
        <f>IF('Annexure-I'!Q58="",'Annexure-I'!K58,'Annexure-I'!Q58)</f>
        <v>264670.19867616001</v>
      </c>
      <c r="BK61" s="714">
        <f>'Annexure-I'!F58</f>
        <v>1468.85</v>
      </c>
      <c r="BL61" s="718" t="str">
        <f>'Annexure-I'!G58</f>
        <v>CONTRACT-A57</v>
      </c>
      <c r="BM61" s="764">
        <f>IF('Annexure-I'!H58=0,"",'Annexure-I'!H58)</f>
        <v>41789</v>
      </c>
      <c r="BN61" s="717">
        <f>'Annexure-I'!J58</f>
        <v>2417.7800000000002</v>
      </c>
      <c r="BO61" s="717">
        <f>'Annexure-I'!K58</f>
        <v>264670.19867616001</v>
      </c>
      <c r="BP61" s="714">
        <f>IF(OR(AY61="EST",AY61="ADRYS"),ROUND((BC61*1.18)/(1.3224*Form!$D$10),2),BC61)</f>
        <v>575</v>
      </c>
      <c r="BQ61" s="714">
        <f>ROUND(BS61/(1.3224*Form!$D$10),2)</f>
        <v>12088.9</v>
      </c>
      <c r="BR61" s="714">
        <f t="shared" si="24"/>
        <v>62944.25</v>
      </c>
      <c r="BS61" s="714">
        <f t="shared" si="25"/>
        <v>1323350.99</v>
      </c>
      <c r="BT61" s="719">
        <f t="shared" si="26"/>
        <v>-0.95243571019658213</v>
      </c>
      <c r="BU61" s="714"/>
      <c r="BV61" s="714">
        <f t="shared" si="8"/>
        <v>0</v>
      </c>
      <c r="BW61" s="714">
        <f>IF(OR(AY61="EST",AY61="ADRYS"),ROUND(1.18*BU61,2),ROUND(BU61*1.3224*Form!$D$10,2))</f>
        <v>0</v>
      </c>
      <c r="BX61" s="714">
        <f t="shared" si="9"/>
        <v>0</v>
      </c>
      <c r="BY61" s="719">
        <f t="shared" si="10"/>
        <v>0</v>
      </c>
      <c r="BZ61" s="714">
        <f t="shared" si="11"/>
        <v>1323350.99</v>
      </c>
      <c r="CA61" s="720"/>
      <c r="CB61" s="720"/>
      <c r="CC61" s="4"/>
      <c r="CD61" s="4"/>
      <c r="CE61" s="4"/>
      <c r="CF61" s="4"/>
      <c r="CG61" s="4"/>
      <c r="CH61" s="4"/>
      <c r="CI61" s="721"/>
      <c r="CR61" s="584"/>
    </row>
    <row r="62" spans="1:96" s="579" customFormat="1" ht="45" x14ac:dyDescent="0.25">
      <c r="A62" s="712">
        <f>SUBTOTAL(2,$B$5:B62)</f>
        <v>58</v>
      </c>
      <c r="B62" s="754">
        <v>58</v>
      </c>
      <c r="C62" s="756" t="s">
        <v>726</v>
      </c>
      <c r="D62" s="755" t="s">
        <v>609</v>
      </c>
      <c r="E62" s="754">
        <v>5</v>
      </c>
      <c r="F62" s="658">
        <f>'Annexure-I'!E59</f>
        <v>5</v>
      </c>
      <c r="G62" s="784" t="str">
        <f>IF('CST-Calculation'!G62=0,"",'CST-Calculation'!G62)</f>
        <v/>
      </c>
      <c r="H62" s="784" t="str">
        <f>IF('CST-Calculation'!H62=0,"",'CST-Calculation'!H62)</f>
        <v/>
      </c>
      <c r="I62" s="714" t="str">
        <f>IF(G62="","",IF(H62="TEC Rejected","",IF(H62="","",ROUND(1.3224*Form!$D$10*H62,2))))</f>
        <v/>
      </c>
      <c r="J62" s="714" t="str">
        <f t="shared" si="0"/>
        <v/>
      </c>
      <c r="K62" s="713" t="str">
        <f>IF(L62="","",IF('CST-Calculation'!$F62="Indg","",IF('CST-Calculation'!$F62="TEC Del","",IF('CST-Calculation'!K62&gt;0,'CST-Calculation'!K62,IF('CST-Calculation'!$F62=0,"",'CST-Calculation'!$F62)))))</f>
        <v/>
      </c>
      <c r="L62" s="714" t="str">
        <f>IF('CST-Calculation'!L62=0,"",'CST-Calculation'!L62)</f>
        <v/>
      </c>
      <c r="M62" s="714" t="str">
        <f>IF(K62="","",IF(L62="TEC Rejected","",IF(L62="","",ROUND(1.3224*Form!$D$10*L62,2))))</f>
        <v/>
      </c>
      <c r="N62" s="714" t="str">
        <f t="shared" si="1"/>
        <v/>
      </c>
      <c r="O62" s="89">
        <f>IF(P62="","",IF('CST-Calculation'!$F62="Indg","",IF('CST-Calculation'!$F62="TEC Del","",IF('CST-Calculation'!O62&gt;0,'CST-Calculation'!O62,IF('CST-Calculation'!$F62=0,"",'CST-Calculation'!$F62)))))</f>
        <v>5</v>
      </c>
      <c r="P62" s="714">
        <f>IF('CST-Calculation'!P62=0,"",'CST-Calculation'!P62)</f>
        <v>810</v>
      </c>
      <c r="Q62" s="714">
        <f>IF(O62="","",IF(P62="TEC Rejected","",IF(P62="","",ROUND(1.3224*Form!$D$10*P62,2))))</f>
        <v>88669.3</v>
      </c>
      <c r="R62" s="714">
        <f t="shared" si="2"/>
        <v>443346.5</v>
      </c>
      <c r="S62" s="89" t="str">
        <f>IF(T62="","",IF('CST-Calculation'!$F62="Indg","",IF('CST-Calculation'!$F62="TEC Del","",IF('CST-Calculation'!S62&gt;0,'CST-Calculation'!S62,IF('CST-Calculation'!$F62=0,"",'CST-Calculation'!$F62)))))</f>
        <v/>
      </c>
      <c r="T62" s="714" t="str">
        <f>IF('CST-Calculation'!T62=0,"",'CST-Calculation'!T62)</f>
        <v/>
      </c>
      <c r="U62" s="714" t="str">
        <f>IF(S62="","",IF(T62="TEC Rejected","",IF(T62="","",ROUND(1.3224*Form!$D$10*T62,2))))</f>
        <v/>
      </c>
      <c r="V62" s="714" t="str">
        <f t="shared" si="3"/>
        <v/>
      </c>
      <c r="W62" s="713" t="str">
        <f>IF(X62="","",IF('CST-Calculation'!$F62="Indg","",IF('CST-Calculation'!$F62="TEC Del","",IF('CST-Calculation'!W62&gt;0,'CST-Calculation'!W62,IF('CST-Calculation'!$F62=0,"",'CST-Calculation'!$F62)))))</f>
        <v/>
      </c>
      <c r="X62" s="714" t="str">
        <f>IF('CST-Calculation'!X62=0,"",'CST-Calculation'!X62)</f>
        <v/>
      </c>
      <c r="Y62" s="714" t="str">
        <f>IF(W62="","",IF(X62="TEC Rejected","",IF(X62="","",ROUND(1.3224*Form!$D$10*X62,2))))</f>
        <v/>
      </c>
      <c r="Z62" s="714" t="str">
        <f t="shared" si="12"/>
        <v/>
      </c>
      <c r="AA62" s="713" t="str">
        <f>IF(AB62="","",IF('CST-Calculation'!$F62="Indg","",IF('CST-Calculation'!$F62="TEC Del","",IF('CST-Calculation'!AA62&gt;0,'CST-Calculation'!AA62,IF('CST-Calculation'!$F62=0,"",'CST-Calculation'!$F62)))))</f>
        <v/>
      </c>
      <c r="AB62" s="714" t="str">
        <f>IF('CST-Calculation'!AB62=0,"",'CST-Calculation'!AB62)</f>
        <v/>
      </c>
      <c r="AC62" s="714" t="str">
        <f t="shared" si="13"/>
        <v/>
      </c>
      <c r="AD62" s="714" t="str">
        <f t="shared" si="14"/>
        <v/>
      </c>
      <c r="AE62" s="713" t="str">
        <f>IF(AF62="","",IF('CST-Calculation'!$F62="Indg","",IF('CST-Calculation'!$F62="TEC Del","",IF('CST-Calculation'!AE62&gt;0,'CST-Calculation'!AE62,IF('CST-Calculation'!$F62=0,"",'CST-Calculation'!$F62)))))</f>
        <v/>
      </c>
      <c r="AF62" s="714" t="str">
        <f>IF('CST-Calculation'!AF62=0,"",'CST-Calculation'!AF62)</f>
        <v/>
      </c>
      <c r="AG62" s="714" t="str">
        <f>IF(AE62="","",IF(AF62="TEC Rejected","",IF(AF62="","",ROUND(1.3224*Form!$D$10*AF62,2))))</f>
        <v/>
      </c>
      <c r="AH62" s="714" t="str">
        <f t="shared" si="15"/>
        <v/>
      </c>
      <c r="AI62" s="713" t="str">
        <f>IF(AJ62="","",IF('CST-Calculation'!$F62="Indg","",IF('CST-Calculation'!$F62="TEC Del","",IF('CST-Calculation'!AI62&gt;0,'CST-Calculation'!AI62,IF('CST-Calculation'!$F62=0,"",'CST-Calculation'!$F62)))))</f>
        <v/>
      </c>
      <c r="AJ62" s="714" t="str">
        <f>IF('CST-Calculation'!AJ62=0,"",'CST-Calculation'!AJ62)</f>
        <v/>
      </c>
      <c r="AK62" s="714" t="str">
        <f t="shared" si="16"/>
        <v/>
      </c>
      <c r="AL62" s="714" t="str">
        <f t="shared" si="17"/>
        <v/>
      </c>
      <c r="AM62" s="713" t="str">
        <f>IF(AN62="","",IF('CST-Calculation'!$F62="Indg","",IF('CST-Calculation'!$F62="TEC Del","",IF('CST-Calculation'!AM62&gt;0,'CST-Calculation'!AM62,IF('CST-Calculation'!$F62=0,"",'CST-Calculation'!$F62)))))</f>
        <v/>
      </c>
      <c r="AN62" s="714" t="str">
        <f>IF('CST-Calculation'!AN62=0,"",'CST-Calculation'!AN62)</f>
        <v/>
      </c>
      <c r="AO62" s="714" t="str">
        <f>IF(AM62="","",IF(AN62="TEC Rejected","",IF(AN62="","",ROUND(1.3224*Form!$D$10*AN62,2))))</f>
        <v/>
      </c>
      <c r="AP62" s="714" t="str">
        <f t="shared" si="18"/>
        <v/>
      </c>
      <c r="AQ62" s="713" t="str">
        <f>IF(AR62="","",IF('CST-Calculation'!$F62="Indg","",IF('CST-Calculation'!$F62="TEC Del","",IF('CST-Calculation'!AQ62&gt;0,'CST-Calculation'!AQ62,IF('CST-Calculation'!$F62=0,"",'CST-Calculation'!$F62)))))</f>
        <v/>
      </c>
      <c r="AR62" s="714" t="str">
        <f>IF('CST-Calculation'!AR62=0,"",'CST-Calculation'!AR62)</f>
        <v/>
      </c>
      <c r="AS62" s="714" t="str">
        <f>IF(AQ62="","",IF(AR62="TEC Rejected","",IF(AR62="","",ROUND(1.3224*Form!$D$10*AR62,2))))</f>
        <v/>
      </c>
      <c r="AT62" s="714" t="str">
        <f t="shared" si="19"/>
        <v/>
      </c>
      <c r="AU62" s="713" t="str">
        <f>IF(AV62="","",IF('CST-Calculation'!$F62="Indg","",IF('CST-Calculation'!$F62="TEC Del","",IF('CST-Calculation'!AU62&gt;0,'CST-Calculation'!AU62,IF('CST-Calculation'!$F62=0,"",'CST-Calculation'!$F62)))))</f>
        <v/>
      </c>
      <c r="AV62" s="714" t="str">
        <f>IF('CST-Calculation'!AV62=0,"",'CST-Calculation'!AV62)</f>
        <v/>
      </c>
      <c r="AW62" s="714" t="str">
        <f>IF(AU62="","",IF(AV62="TEC Rejected","",IF(AV62="","",ROUND(1.3224*Form!$D$10*AV62,2))))</f>
        <v/>
      </c>
      <c r="AX62" s="714" t="str">
        <f t="shared" si="20"/>
        <v/>
      </c>
      <c r="AY62" s="715" t="str">
        <f t="shared" si="21"/>
        <v>GIS</v>
      </c>
      <c r="AZ62" s="716" t="str">
        <f t="shared" si="22"/>
        <v>SINGLE</v>
      </c>
      <c r="BA62" s="716" t="str">
        <f t="shared" si="23"/>
        <v>&lt;= 20%</v>
      </c>
      <c r="BB62" s="716">
        <f>IF(AY62="EST",ROUND(BD62/1.18,2),IF(AY62="ADRYS",ROUND(BD62/1.18,2),ROUND(BD62/(1.3224*Form!$D$10),2)))</f>
        <v>810</v>
      </c>
      <c r="BC62" s="784">
        <f>IF(OR(AY62="EST",AY62="ADRYS"),ROUND(BE62/1.18,2),ROUND(BE62/(1.3224*Form!$D$10),2))</f>
        <v>4050</v>
      </c>
      <c r="BD62" s="717">
        <f>IF(F62="Indg",0,IF(F62="TEC Del",0,IF(AND(IF(G62="",TRUE,G62&lt;=ROUNDUP(1.2*F62,0)),IF(K62="",TRUE,K62&lt;=ROUNDUP(1.2*F62,0)),IF(O62="",TRUE,O62&lt;=ROUNDUP(1.2*F62,0)),IF(S62="",TRUE,S62&lt;=ROUNDUP(1.2*F62,0)),IF(W62="",TRUE,W62&lt;=ROUNDUP(1.2*F62,0)),IF(AA62="",TRUE,AA62&lt;=ROUNDUP(1.2*F62,0)),IF(AE62="",TRUE,AE62&lt;=ROUNDUP(1.2*F62,0)),IF(AI62="",TRUE,AI62&lt;=ROUNDUP(1.2*F62,0)),IF(AM62="",TRUE,AM62&lt;=ROUNDUP(1.2*F62,0)),IF(AQ62="",TRUE,AQ62&lt;=ROUNDUP(1.2*F62,0)),IF(AU62="",TRUE,AU62&lt;=ROUNDUP(1.2*F62,0))),IF(F62=0,0,(IF(SUM(I62,M62,Q62,U62,Y62,AC62,AG62,AK62,AO62,AS62,AW62)=0,0,SMALL((I62,M62,Q62,U62,Y62,AC62,AG62,AK62,AO62,AS62,AW62),COUNTIF((I62:AW62),0)+1)))),IF(BE62=J62,I62,IF(BE62=N62,M62,IF(BE62=R62,Q62,IF(BE62=V62,U62,IF(BE62=Z62,Y62,IF(BE62=AD62,AC62,IF(BE62=AH62,AG62,IF(BE62=AL62,AK62,IF(BE62=AP62,AO62,IF(BE62=AT62,AS62,IF(BE62=AX62,AW62))))))))))))))</f>
        <v>88669.3</v>
      </c>
      <c r="BE62" s="714">
        <f>IF(F62="Indg",0,IF(F62="TEC Del",0,IF(AND(IF(G62="",TRUE,G62&lt;=ROUNDUP(1.2*F62,0)),IF(K62="",TRUE,K62&lt;=ROUNDUP(1.2*F62,0)),IF(O62="",TRUE,O62&lt;=ROUNDUP(1.2*F62,0)),IF(S62="",TRUE,S62&lt;=ROUNDUP(1.2*F62,0)),IF(W62="",TRUE,W62&lt;=ROUNDUP(1.2*F62,0)),IF(AA62="",TRUE,AA62&lt;=ROUNDUP(1.2*F62,0)),IF(AE62="",TRUE,AE62&lt;=ROUNDUP(1.2*F62,0)),IF(AI62="",TRUE,AI62&lt;=ROUNDUP(1.2*F62,0)),IF(AM62="",TRUE,AM62&lt;=ROUNDUP(1.2*F62,0)),IF(AQ62="",TRUE,AQ62&lt;=ROUNDUP(1.2*F62,0)),IF(AU62="",TRUE,AU62&lt;=ROUNDUP(1.2*F62,0))),ROUND(BD62*IF(BD62=I62,G62,IF(BD62=M62,K62,IF(BD62=Q62,O62,IF(BD62=U62,S62,IF(BD62=Y62,W62,IF(BD62=AC62,AA62,IF(BD62=AG62,AE62,IF(BD62=AK62,AI62,IF(BD62=AO62,AM62,IF(BD62=AS62,AQ62,IF(BD62=AW62,AU62))))))))))),2),(IF(SUM(J62,N62,R62,V62,Z62,AD62,AH62,AL62,AP62,AT62,AX62)=0,0,SMALL((J62,N62,R62,V62,Z62,AD62,AH62,AL62,AP62,AT62,AX62),COUNTIF((J62:AX62),0)+1))))))</f>
        <v>443346.5</v>
      </c>
      <c r="BF62" s="714">
        <f>IF('Annexure-I'!L59="",'Annexure-I'!F59,'Annexure-I'!L59)</f>
        <v>148.77000000000001</v>
      </c>
      <c r="BG62" s="714" t="str">
        <f>IF('Annexure-I'!M59="",'Annexure-I'!G59,'Annexure-I'!M59)</f>
        <v>CONTRACT-A58</v>
      </c>
      <c r="BH62" s="764">
        <f>IF('Annexure-I'!N59="",'Annexure-I'!H59,'Annexure-I'!N59)</f>
        <v>42944</v>
      </c>
      <c r="BI62" s="717">
        <f>IF('Annexure-I'!P59="",'Annexure-I'!J59,'Annexure-I'!P59)</f>
        <v>210.73</v>
      </c>
      <c r="BJ62" s="717">
        <f>IF('Annexure-I'!Q59="",'Annexure-I'!K59,'Annexure-I'!Q59)</f>
        <v>23068.248958560001</v>
      </c>
      <c r="BK62" s="714">
        <f>'Annexure-I'!F59</f>
        <v>148.77000000000001</v>
      </c>
      <c r="BL62" s="718" t="str">
        <f>'Annexure-I'!G59</f>
        <v>CONTRACT-A58</v>
      </c>
      <c r="BM62" s="764">
        <f>IF('Annexure-I'!H59=0,"",'Annexure-I'!H59)</f>
        <v>42944</v>
      </c>
      <c r="BN62" s="717">
        <f>'Annexure-I'!J59</f>
        <v>210.73</v>
      </c>
      <c r="BO62" s="717">
        <f>'Annexure-I'!K59</f>
        <v>23068.248958560001</v>
      </c>
      <c r="BP62" s="714">
        <f>IF(OR(AY62="EST",AY62="ADRYS"),ROUND((BC62*1.18)/(1.3224*Form!$D$10),2),BC62)</f>
        <v>4050</v>
      </c>
      <c r="BQ62" s="714">
        <f>ROUND(BS62/(1.3224*Form!$D$10),2)</f>
        <v>1053.6500000000001</v>
      </c>
      <c r="BR62" s="714">
        <f t="shared" si="24"/>
        <v>443346.5</v>
      </c>
      <c r="BS62" s="714">
        <f t="shared" si="25"/>
        <v>115341.24</v>
      </c>
      <c r="BT62" s="719">
        <f t="shared" si="26"/>
        <v>2.843781287594966</v>
      </c>
      <c r="BU62" s="714"/>
      <c r="BV62" s="714">
        <f t="shared" si="8"/>
        <v>0</v>
      </c>
      <c r="BW62" s="714">
        <f>IF(OR(AY62="EST",AY62="ADRYS"),ROUND(1.18*BU62,2),ROUND(BU62*1.3224*Form!$D$10,2))</f>
        <v>0</v>
      </c>
      <c r="BX62" s="714">
        <f t="shared" si="9"/>
        <v>0</v>
      </c>
      <c r="BY62" s="719">
        <f t="shared" si="10"/>
        <v>0</v>
      </c>
      <c r="BZ62" s="714">
        <f t="shared" si="11"/>
        <v>115341.24</v>
      </c>
      <c r="CA62" s="720"/>
      <c r="CB62" s="720"/>
      <c r="CC62" s="4"/>
      <c r="CD62" s="4"/>
      <c r="CE62" s="4"/>
      <c r="CF62" s="4"/>
      <c r="CG62" s="4"/>
      <c r="CH62" s="4"/>
      <c r="CI62" s="721"/>
      <c r="CJ62" s="645"/>
      <c r="CK62" s="592"/>
    </row>
    <row r="63" spans="1:96" s="579" customFormat="1" ht="45" x14ac:dyDescent="0.25">
      <c r="A63" s="712">
        <f>SUBTOTAL(2,$B$5:B63)</f>
        <v>59</v>
      </c>
      <c r="B63" s="754">
        <v>59</v>
      </c>
      <c r="C63" s="755" t="s">
        <v>727</v>
      </c>
      <c r="D63" s="755" t="s">
        <v>610</v>
      </c>
      <c r="E63" s="754">
        <v>10</v>
      </c>
      <c r="F63" s="658">
        <f>'Annexure-I'!E60</f>
        <v>10</v>
      </c>
      <c r="G63" s="784" t="str">
        <f>IF('CST-Calculation'!G63=0,"",'CST-Calculation'!G63)</f>
        <v/>
      </c>
      <c r="H63" s="784" t="str">
        <f>IF('CST-Calculation'!H63=0,"",'CST-Calculation'!H63)</f>
        <v/>
      </c>
      <c r="I63" s="714" t="str">
        <f>IF(G63="","",IF(H63="TEC Rejected","",IF(H63="","",ROUND(1.3224*Form!$D$10*H63,2))))</f>
        <v/>
      </c>
      <c r="J63" s="714" t="str">
        <f t="shared" si="0"/>
        <v/>
      </c>
      <c r="K63" s="713" t="str">
        <f>IF(L63="","",IF('CST-Calculation'!$F63="Indg","",IF('CST-Calculation'!$F63="TEC Del","",IF('CST-Calculation'!K63&gt;0,'CST-Calculation'!K63,IF('CST-Calculation'!$F63=0,"",'CST-Calculation'!$F63)))))</f>
        <v/>
      </c>
      <c r="L63" s="714" t="str">
        <f>IF('CST-Calculation'!L63=0,"",'CST-Calculation'!L63)</f>
        <v/>
      </c>
      <c r="M63" s="714" t="str">
        <f>IF(K63="","",IF(L63="TEC Rejected","",IF(L63="","",ROUND(1.3224*Form!$D$10*L63,2))))</f>
        <v/>
      </c>
      <c r="N63" s="714" t="str">
        <f t="shared" si="1"/>
        <v/>
      </c>
      <c r="O63" s="89" t="str">
        <f>IF(P63="","",IF('CST-Calculation'!$F63="Indg","",IF('CST-Calculation'!$F63="TEC Del","",IF('CST-Calculation'!O63&gt;0,'CST-Calculation'!O63,IF('CST-Calculation'!$F63=0,"",'CST-Calculation'!$F63)))))</f>
        <v/>
      </c>
      <c r="P63" s="714" t="str">
        <f>IF('CST-Calculation'!P63=0,"",'CST-Calculation'!P63)</f>
        <v/>
      </c>
      <c r="Q63" s="714" t="str">
        <f>IF(O63="","",IF(P63="TEC Rejected","",IF(P63="","",ROUND(1.3224*Form!$D$10*P63,2))))</f>
        <v/>
      </c>
      <c r="R63" s="714" t="str">
        <f t="shared" si="2"/>
        <v/>
      </c>
      <c r="S63" s="89" t="str">
        <f>IF(T63="","",IF('CST-Calculation'!$F63="Indg","",IF('CST-Calculation'!$F63="TEC Del","",IF('CST-Calculation'!S63&gt;0,'CST-Calculation'!S63,IF('CST-Calculation'!$F63=0,"",'CST-Calculation'!$F63)))))</f>
        <v/>
      </c>
      <c r="T63" s="714" t="str">
        <f>IF('CST-Calculation'!T63=0,"",'CST-Calculation'!T63)</f>
        <v/>
      </c>
      <c r="U63" s="714" t="str">
        <f>IF(S63="","",IF(T63="TEC Rejected","",IF(T63="","",ROUND(1.3224*Form!$D$10*T63,2))))</f>
        <v/>
      </c>
      <c r="V63" s="714" t="str">
        <f t="shared" si="3"/>
        <v/>
      </c>
      <c r="W63" s="713" t="str">
        <f>IF(X63="","",IF('CST-Calculation'!$F63="Indg","",IF('CST-Calculation'!$F63="TEC Del","",IF('CST-Calculation'!W63&gt;0,'CST-Calculation'!W63,IF('CST-Calculation'!$F63=0,"",'CST-Calculation'!$F63)))))</f>
        <v/>
      </c>
      <c r="X63" s="714" t="str">
        <f>IF('CST-Calculation'!X63=0,"",'CST-Calculation'!X63)</f>
        <v/>
      </c>
      <c r="Y63" s="714" t="str">
        <f>IF(W63="","",IF(X63="TEC Rejected","",IF(X63="","",ROUND(1.3224*Form!$D$10*X63,2))))</f>
        <v/>
      </c>
      <c r="Z63" s="714" t="str">
        <f t="shared" si="12"/>
        <v/>
      </c>
      <c r="AA63" s="713" t="str">
        <f>IF(AB63="","",IF('CST-Calculation'!$F63="Indg","",IF('CST-Calculation'!$F63="TEC Del","",IF('CST-Calculation'!AA63&gt;0,'CST-Calculation'!AA63,IF('CST-Calculation'!$F63=0,"",'CST-Calculation'!$F63)))))</f>
        <v/>
      </c>
      <c r="AB63" s="714" t="str">
        <f>IF('CST-Calculation'!AB63=0,"",'CST-Calculation'!AB63)</f>
        <v/>
      </c>
      <c r="AC63" s="714" t="str">
        <f t="shared" si="13"/>
        <v/>
      </c>
      <c r="AD63" s="714" t="str">
        <f t="shared" si="14"/>
        <v/>
      </c>
      <c r="AE63" s="713" t="str">
        <f>IF(AF63="","",IF('CST-Calculation'!$F63="Indg","",IF('CST-Calculation'!$F63="TEC Del","",IF('CST-Calculation'!AE63&gt;0,'CST-Calculation'!AE63,IF('CST-Calculation'!$F63=0,"",'CST-Calculation'!$F63)))))</f>
        <v/>
      </c>
      <c r="AF63" s="714" t="str">
        <f>IF('CST-Calculation'!AF63=0,"",'CST-Calculation'!AF63)</f>
        <v/>
      </c>
      <c r="AG63" s="714" t="str">
        <f>IF(AE63="","",IF(AF63="TEC Rejected","",IF(AF63="","",ROUND(1.3224*Form!$D$10*AF63,2))))</f>
        <v/>
      </c>
      <c r="AH63" s="714" t="str">
        <f t="shared" si="15"/>
        <v/>
      </c>
      <c r="AI63" s="713" t="str">
        <f>IF(AJ63="","",IF('CST-Calculation'!$F63="Indg","",IF('CST-Calculation'!$F63="TEC Del","",IF('CST-Calculation'!AI63&gt;0,'CST-Calculation'!AI63,IF('CST-Calculation'!$F63=0,"",'CST-Calculation'!$F63)))))</f>
        <v/>
      </c>
      <c r="AJ63" s="714" t="str">
        <f>IF('CST-Calculation'!AJ63=0,"",'CST-Calculation'!AJ63)</f>
        <v/>
      </c>
      <c r="AK63" s="714" t="str">
        <f t="shared" si="16"/>
        <v/>
      </c>
      <c r="AL63" s="714" t="str">
        <f t="shared" si="17"/>
        <v/>
      </c>
      <c r="AM63" s="713" t="str">
        <f>IF(AN63="","",IF('CST-Calculation'!$F63="Indg","",IF('CST-Calculation'!$F63="TEC Del","",IF('CST-Calculation'!AM63&gt;0,'CST-Calculation'!AM63,IF('CST-Calculation'!$F63=0,"",'CST-Calculation'!$F63)))))</f>
        <v/>
      </c>
      <c r="AN63" s="714" t="str">
        <f>IF('CST-Calculation'!AN63=0,"",'CST-Calculation'!AN63)</f>
        <v/>
      </c>
      <c r="AO63" s="714" t="str">
        <f>IF(AM63="","",IF(AN63="TEC Rejected","",IF(AN63="","",ROUND(1.3224*Form!$D$10*AN63,2))))</f>
        <v/>
      </c>
      <c r="AP63" s="714" t="str">
        <f t="shared" si="18"/>
        <v/>
      </c>
      <c r="AQ63" s="713" t="str">
        <f>IF(AR63="","",IF('CST-Calculation'!$F63="Indg","",IF('CST-Calculation'!$F63="TEC Del","",IF('CST-Calculation'!AQ63&gt;0,'CST-Calculation'!AQ63,IF('CST-Calculation'!$F63=0,"",'CST-Calculation'!$F63)))))</f>
        <v/>
      </c>
      <c r="AR63" s="714" t="str">
        <f>IF('CST-Calculation'!AR63=0,"",'CST-Calculation'!AR63)</f>
        <v/>
      </c>
      <c r="AS63" s="714" t="str">
        <f>IF(AQ63="","",IF(AR63="TEC Rejected","",IF(AR63="","",ROUND(1.3224*Form!$D$10*AR63,2))))</f>
        <v/>
      </c>
      <c r="AT63" s="714" t="str">
        <f t="shared" si="19"/>
        <v/>
      </c>
      <c r="AU63" s="713" t="str">
        <f>IF(AV63="","",IF('CST-Calculation'!$F63="Indg","",IF('CST-Calculation'!$F63="TEC Del","",IF('CST-Calculation'!AU63&gt;0,'CST-Calculation'!AU63,IF('CST-Calculation'!$F63=0,"",'CST-Calculation'!$F63)))))</f>
        <v/>
      </c>
      <c r="AV63" s="714" t="str">
        <f>IF('CST-Calculation'!AV63=0,"",'CST-Calculation'!AV63)</f>
        <v/>
      </c>
      <c r="AW63" s="714" t="str">
        <f>IF(AU63="","",IF(AV63="TEC Rejected","",IF(AV63="","",ROUND(1.3224*Form!$D$10*AV63,2))))</f>
        <v/>
      </c>
      <c r="AX63" s="714" t="str">
        <f t="shared" si="20"/>
        <v/>
      </c>
      <c r="AY63" s="715" t="str">
        <f t="shared" si="21"/>
        <v>NO OFFER</v>
      </c>
      <c r="AZ63" s="716" t="str">
        <f t="shared" si="22"/>
        <v>NO OFFER</v>
      </c>
      <c r="BA63" s="716" t="str">
        <f t="shared" si="23"/>
        <v>&lt;= 20%</v>
      </c>
      <c r="BB63" s="716">
        <f>IF(AY63="EST",ROUND(BD63/1.18,2),IF(AY63="ADRYS",ROUND(BD63/1.18,2),ROUND(BD63/(1.3224*Form!$D$10),2)))</f>
        <v>0</v>
      </c>
      <c r="BC63" s="784">
        <f>IF(OR(AY63="EST",AY63="ADRYS"),ROUND(BE63/1.18,2),ROUND(BE63/(1.3224*Form!$D$10),2))</f>
        <v>0</v>
      </c>
      <c r="BD63" s="717">
        <f>IF(F63="Indg",0,IF(F63="TEC Del",0,IF(AND(IF(G63="",TRUE,G63&lt;=ROUNDUP(1.2*F63,0)),IF(K63="",TRUE,K63&lt;=ROUNDUP(1.2*F63,0)),IF(O63="",TRUE,O63&lt;=ROUNDUP(1.2*F63,0)),IF(S63="",TRUE,S63&lt;=ROUNDUP(1.2*F63,0)),IF(W63="",TRUE,W63&lt;=ROUNDUP(1.2*F63,0)),IF(AA63="",TRUE,AA63&lt;=ROUNDUP(1.2*F63,0)),IF(AE63="",TRUE,AE63&lt;=ROUNDUP(1.2*F63,0)),IF(AI63="",TRUE,AI63&lt;=ROUNDUP(1.2*F63,0)),IF(AM63="",TRUE,AM63&lt;=ROUNDUP(1.2*F63,0)),IF(AQ63="",TRUE,AQ63&lt;=ROUNDUP(1.2*F63,0)),IF(AU63="",TRUE,AU63&lt;=ROUNDUP(1.2*F63,0))),IF(F63=0,0,(IF(SUM(I63,M63,Q63,U63,Y63,AC63,AG63,AK63,AO63,AS63,AW63)=0,0,SMALL((I63,M63,Q63,U63,Y63,AC63,AG63,AK63,AO63,AS63,AW63),COUNTIF((I63:AW63),0)+1)))),IF(BE63=J63,I63,IF(BE63=N63,M63,IF(BE63=R63,Q63,IF(BE63=V63,U63,IF(BE63=Z63,Y63,IF(BE63=AD63,AC63,IF(BE63=AH63,AG63,IF(BE63=AL63,AK63,IF(BE63=AP63,AO63,IF(BE63=AT63,AS63,IF(BE63=AX63,AW63))))))))))))))</f>
        <v>0</v>
      </c>
      <c r="BE63" s="714">
        <f>IF(F63="Indg",0,IF(F63="TEC Del",0,IF(AND(IF(G63="",TRUE,G63&lt;=ROUNDUP(1.2*F63,0)),IF(K63="",TRUE,K63&lt;=ROUNDUP(1.2*F63,0)),IF(O63="",TRUE,O63&lt;=ROUNDUP(1.2*F63,0)),IF(S63="",TRUE,S63&lt;=ROUNDUP(1.2*F63,0)),IF(W63="",TRUE,W63&lt;=ROUNDUP(1.2*F63,0)),IF(AA63="",TRUE,AA63&lt;=ROUNDUP(1.2*F63,0)),IF(AE63="",TRUE,AE63&lt;=ROUNDUP(1.2*F63,0)),IF(AI63="",TRUE,AI63&lt;=ROUNDUP(1.2*F63,0)),IF(AM63="",TRUE,AM63&lt;=ROUNDUP(1.2*F63,0)),IF(AQ63="",TRUE,AQ63&lt;=ROUNDUP(1.2*F63,0)),IF(AU63="",TRUE,AU63&lt;=ROUNDUP(1.2*F63,0))),ROUND(BD63*IF(BD63=I63,G63,IF(BD63=M63,K63,IF(BD63=Q63,O63,IF(BD63=U63,S63,IF(BD63=Y63,W63,IF(BD63=AC63,AA63,IF(BD63=AG63,AE63,IF(BD63=AK63,AI63,IF(BD63=AO63,AM63,IF(BD63=AS63,AQ63,IF(BD63=AW63,AU63))))))))))),2),(IF(SUM(J63,N63,R63,V63,Z63,AD63,AH63,AL63,AP63,AT63,AX63)=0,0,SMALL((J63,N63,R63,V63,Z63,AD63,AH63,AL63,AP63,AT63,AX63),COUNTIF((J63:AX63),0)+1))))))</f>
        <v>0</v>
      </c>
      <c r="BF63" s="714">
        <f>IF('Annexure-I'!L60="",'Annexure-I'!F60,'Annexure-I'!L60)</f>
        <v>1061.47</v>
      </c>
      <c r="BG63" s="714" t="str">
        <f>IF('Annexure-I'!M60="",'Annexure-I'!G60,'Annexure-I'!M60)</f>
        <v>CONTRACT-A59</v>
      </c>
      <c r="BH63" s="764">
        <f>IF('Annexure-I'!N60="",'Annexure-I'!H60,'Annexure-I'!N60)</f>
        <v>40967</v>
      </c>
      <c r="BI63" s="717">
        <f>IF('Annexure-I'!P60="",'Annexure-I'!J60,'Annexure-I'!P60)</f>
        <v>1944.7</v>
      </c>
      <c r="BJ63" s="717">
        <f>IF('Annexure-I'!Q60="",'Annexure-I'!K60,'Annexure-I'!Q60)</f>
        <v>212882.94855840001</v>
      </c>
      <c r="BK63" s="714">
        <f>'Annexure-I'!F60</f>
        <v>1061.47</v>
      </c>
      <c r="BL63" s="718" t="str">
        <f>'Annexure-I'!G60</f>
        <v>CONTRACT-A59</v>
      </c>
      <c r="BM63" s="764">
        <f>IF('Annexure-I'!H60=0,"",'Annexure-I'!H60)</f>
        <v>40967</v>
      </c>
      <c r="BN63" s="717">
        <f>'Annexure-I'!J60</f>
        <v>1944.7</v>
      </c>
      <c r="BO63" s="717">
        <f>'Annexure-I'!K60</f>
        <v>212882.94855840001</v>
      </c>
      <c r="BP63" s="714">
        <f>IF(OR(AY63="EST",AY63="ADRYS"),ROUND((BC63*1.18)/(1.3224*Form!$D$10),2),BC63)</f>
        <v>0</v>
      </c>
      <c r="BQ63" s="714">
        <f>ROUND(BS63/(1.3224*Form!$D$10),2)</f>
        <v>0</v>
      </c>
      <c r="BR63" s="714">
        <f t="shared" si="24"/>
        <v>0</v>
      </c>
      <c r="BS63" s="714">
        <f t="shared" si="25"/>
        <v>0</v>
      </c>
      <c r="BT63" s="719">
        <f t="shared" si="26"/>
        <v>0</v>
      </c>
      <c r="BU63" s="714"/>
      <c r="BV63" s="714">
        <f t="shared" si="8"/>
        <v>0</v>
      </c>
      <c r="BW63" s="714">
        <f>IF(OR(AY63="EST",AY63="ADRYS"),ROUND(1.18*BU63,2),ROUND(BU63*1.3224*Form!$D$10,2))</f>
        <v>0</v>
      </c>
      <c r="BX63" s="714">
        <f t="shared" si="9"/>
        <v>0</v>
      </c>
      <c r="BY63" s="719">
        <f t="shared" si="10"/>
        <v>0</v>
      </c>
      <c r="BZ63" s="714">
        <f t="shared" si="11"/>
        <v>2128829.4900000002</v>
      </c>
      <c r="CA63" s="720"/>
      <c r="CB63" s="720"/>
      <c r="CC63" s="4"/>
      <c r="CD63" s="4"/>
      <c r="CE63" s="4"/>
      <c r="CF63" s="4"/>
      <c r="CG63" s="4"/>
      <c r="CH63" s="4"/>
      <c r="CI63" s="721"/>
    </row>
    <row r="64" spans="1:96" s="579" customFormat="1" ht="45" x14ac:dyDescent="0.25">
      <c r="A64" s="712">
        <f>SUBTOTAL(2,$B$5:B64)</f>
        <v>60</v>
      </c>
      <c r="B64" s="754">
        <v>60</v>
      </c>
      <c r="C64" s="756" t="s">
        <v>728</v>
      </c>
      <c r="D64" s="755" t="s">
        <v>121</v>
      </c>
      <c r="E64" s="754">
        <v>7</v>
      </c>
      <c r="F64" s="658">
        <f>'Annexure-I'!E61</f>
        <v>7</v>
      </c>
      <c r="G64" s="784" t="str">
        <f>IF('CST-Calculation'!G64=0,"",'CST-Calculation'!G64)</f>
        <v/>
      </c>
      <c r="H64" s="784" t="str">
        <f>IF('CST-Calculation'!H64=0,"",'CST-Calculation'!H64)</f>
        <v/>
      </c>
      <c r="I64" s="714" t="str">
        <f>IF(G64="","",IF(H64="TEC Rejected","",IF(H64="","",ROUND(1.3224*Form!$D$10*H64,2))))</f>
        <v/>
      </c>
      <c r="J64" s="714" t="str">
        <f t="shared" si="0"/>
        <v/>
      </c>
      <c r="K64" s="713" t="str">
        <f>IF(L64="","",IF('CST-Calculation'!$F64="Indg","",IF('CST-Calculation'!$F64="TEC Del","",IF('CST-Calculation'!K64&gt;0,'CST-Calculation'!K64,IF('CST-Calculation'!$F64=0,"",'CST-Calculation'!$F64)))))</f>
        <v/>
      </c>
      <c r="L64" s="714" t="str">
        <f>IF('CST-Calculation'!L64=0,"",'CST-Calculation'!L64)</f>
        <v/>
      </c>
      <c r="M64" s="714" t="str">
        <f>IF(K64="","",IF(L64="TEC Rejected","",IF(L64="","",ROUND(1.3224*Form!$D$10*L64,2))))</f>
        <v/>
      </c>
      <c r="N64" s="714" t="str">
        <f t="shared" si="1"/>
        <v/>
      </c>
      <c r="O64" s="89" t="str">
        <f>IF(P64="","",IF('CST-Calculation'!$F64="Indg","",IF('CST-Calculation'!$F64="TEC Del","",IF('CST-Calculation'!O64&gt;0,'CST-Calculation'!O64,IF('CST-Calculation'!$F64=0,"",'CST-Calculation'!$F64)))))</f>
        <v/>
      </c>
      <c r="P64" s="714" t="str">
        <f>IF('CST-Calculation'!P64=0,"",'CST-Calculation'!P64)</f>
        <v/>
      </c>
      <c r="Q64" s="714" t="str">
        <f>IF(O64="","",IF(P64="TEC Rejected","",IF(P64="","",ROUND(1.3224*Form!$D$10*P64,2))))</f>
        <v/>
      </c>
      <c r="R64" s="714" t="str">
        <f t="shared" si="2"/>
        <v/>
      </c>
      <c r="S64" s="89" t="str">
        <f>IF(T64="","",IF('CST-Calculation'!$F64="Indg","",IF('CST-Calculation'!$F64="TEC Del","",IF('CST-Calculation'!S64&gt;0,'CST-Calculation'!S64,IF('CST-Calculation'!$F64=0,"",'CST-Calculation'!$F64)))))</f>
        <v/>
      </c>
      <c r="T64" s="714" t="str">
        <f>IF('CST-Calculation'!T64=0,"",'CST-Calculation'!T64)</f>
        <v/>
      </c>
      <c r="U64" s="714" t="str">
        <f>IF(S64="","",IF(T64="TEC Rejected","",IF(T64="","",ROUND(1.3224*Form!$D$10*T64,2))))</f>
        <v/>
      </c>
      <c r="V64" s="714" t="str">
        <f t="shared" si="3"/>
        <v/>
      </c>
      <c r="W64" s="713" t="str">
        <f>IF(X64="","",IF('CST-Calculation'!$F64="Indg","",IF('CST-Calculation'!$F64="TEC Del","",IF('CST-Calculation'!W64&gt;0,'CST-Calculation'!W64,IF('CST-Calculation'!$F64=0,"",'CST-Calculation'!$F64)))))</f>
        <v/>
      </c>
      <c r="X64" s="714" t="str">
        <f>IF('CST-Calculation'!X64=0,"",'CST-Calculation'!X64)</f>
        <v/>
      </c>
      <c r="Y64" s="714" t="str">
        <f>IF(W64="","",IF(X64="TEC Rejected","",IF(X64="","",ROUND(1.3224*Form!$D$10*X64,2))))</f>
        <v/>
      </c>
      <c r="Z64" s="714" t="str">
        <f t="shared" si="12"/>
        <v/>
      </c>
      <c r="AA64" s="713" t="str">
        <f>IF(AB64="","",IF('CST-Calculation'!$F64="Indg","",IF('CST-Calculation'!$F64="TEC Del","",IF('CST-Calculation'!AA64&gt;0,'CST-Calculation'!AA64,IF('CST-Calculation'!$F64=0,"",'CST-Calculation'!$F64)))))</f>
        <v/>
      </c>
      <c r="AB64" s="714" t="str">
        <f>IF('CST-Calculation'!AB64=0,"",'CST-Calculation'!AB64)</f>
        <v/>
      </c>
      <c r="AC64" s="714" t="str">
        <f t="shared" si="13"/>
        <v/>
      </c>
      <c r="AD64" s="714" t="str">
        <f t="shared" si="14"/>
        <v/>
      </c>
      <c r="AE64" s="713" t="str">
        <f>IF(AF64="","",IF('CST-Calculation'!$F64="Indg","",IF('CST-Calculation'!$F64="TEC Del","",IF('CST-Calculation'!AE64&gt;0,'CST-Calculation'!AE64,IF('CST-Calculation'!$F64=0,"",'CST-Calculation'!$F64)))))</f>
        <v/>
      </c>
      <c r="AF64" s="714" t="str">
        <f>IF('CST-Calculation'!AF64=0,"",'CST-Calculation'!AF64)</f>
        <v/>
      </c>
      <c r="AG64" s="714" t="str">
        <f>IF(AE64="","",IF(AF64="TEC Rejected","",IF(AF64="","",ROUND(1.3224*Form!$D$10*AF64,2))))</f>
        <v/>
      </c>
      <c r="AH64" s="714" t="str">
        <f t="shared" si="15"/>
        <v/>
      </c>
      <c r="AI64" s="713" t="str">
        <f>IF(AJ64="","",IF('CST-Calculation'!$F64="Indg","",IF('CST-Calculation'!$F64="TEC Del","",IF('CST-Calculation'!AI64&gt;0,'CST-Calculation'!AI64,IF('CST-Calculation'!$F64=0,"",'CST-Calculation'!$F64)))))</f>
        <v/>
      </c>
      <c r="AJ64" s="714" t="str">
        <f>IF('CST-Calculation'!AJ64=0,"",'CST-Calculation'!AJ64)</f>
        <v/>
      </c>
      <c r="AK64" s="714" t="str">
        <f t="shared" si="16"/>
        <v/>
      </c>
      <c r="AL64" s="714" t="str">
        <f t="shared" si="17"/>
        <v/>
      </c>
      <c r="AM64" s="713" t="str">
        <f>IF(AN64="","",IF('CST-Calculation'!$F64="Indg","",IF('CST-Calculation'!$F64="TEC Del","",IF('CST-Calculation'!AM64&gt;0,'CST-Calculation'!AM64,IF('CST-Calculation'!$F64=0,"",'CST-Calculation'!$F64)))))</f>
        <v/>
      </c>
      <c r="AN64" s="714" t="str">
        <f>IF('CST-Calculation'!AN64=0,"",'CST-Calculation'!AN64)</f>
        <v/>
      </c>
      <c r="AO64" s="714" t="str">
        <f>IF(AM64="","",IF(AN64="TEC Rejected","",IF(AN64="","",ROUND(1.3224*Form!$D$10*AN64,2))))</f>
        <v/>
      </c>
      <c r="AP64" s="714" t="str">
        <f t="shared" si="18"/>
        <v/>
      </c>
      <c r="AQ64" s="713" t="str">
        <f>IF(AR64="","",IF('CST-Calculation'!$F64="Indg","",IF('CST-Calculation'!$F64="TEC Del","",IF('CST-Calculation'!AQ64&gt;0,'CST-Calculation'!AQ64,IF('CST-Calculation'!$F64=0,"",'CST-Calculation'!$F64)))))</f>
        <v/>
      </c>
      <c r="AR64" s="714" t="str">
        <f>IF('CST-Calculation'!AR64=0,"",'CST-Calculation'!AR64)</f>
        <v/>
      </c>
      <c r="AS64" s="714" t="str">
        <f>IF(AQ64="","",IF(AR64="TEC Rejected","",IF(AR64="","",ROUND(1.3224*Form!$D$10*AR64,2))))</f>
        <v/>
      </c>
      <c r="AT64" s="714" t="str">
        <f t="shared" si="19"/>
        <v/>
      </c>
      <c r="AU64" s="713" t="str">
        <f>IF(AV64="","",IF('CST-Calculation'!$F64="Indg","",IF('CST-Calculation'!$F64="TEC Del","",IF('CST-Calculation'!AU64&gt;0,'CST-Calculation'!AU64,IF('CST-Calculation'!$F64=0,"",'CST-Calculation'!$F64)))))</f>
        <v/>
      </c>
      <c r="AV64" s="714" t="str">
        <f>IF('CST-Calculation'!AV64=0,"",'CST-Calculation'!AV64)</f>
        <v/>
      </c>
      <c r="AW64" s="714" t="str">
        <f>IF(AU64="","",IF(AV64="TEC Rejected","",IF(AV64="","",ROUND(1.3224*Form!$D$10*AV64,2))))</f>
        <v/>
      </c>
      <c r="AX64" s="714" t="str">
        <f t="shared" si="20"/>
        <v/>
      </c>
      <c r="AY64" s="715" t="str">
        <f t="shared" si="21"/>
        <v>NO OFFER</v>
      </c>
      <c r="AZ64" s="716" t="str">
        <f t="shared" si="22"/>
        <v>NO OFFER</v>
      </c>
      <c r="BA64" s="716" t="str">
        <f t="shared" si="23"/>
        <v>&lt;= 20%</v>
      </c>
      <c r="BB64" s="716">
        <f>IF(AY64="EST",ROUND(BD64/1.18,2),IF(AY64="ADRYS",ROUND(BD64/1.18,2),ROUND(BD64/(1.3224*Form!$D$10),2)))</f>
        <v>0</v>
      </c>
      <c r="BC64" s="784">
        <f>IF(OR(AY64="EST",AY64="ADRYS"),ROUND(BE64/1.18,2),ROUND(BE64/(1.3224*Form!$D$10),2))</f>
        <v>0</v>
      </c>
      <c r="BD64" s="717">
        <f>IF(F64="Indg",0,IF(F64="TEC Del",0,IF(AND(IF(G64="",TRUE,G64&lt;=ROUNDUP(1.2*F64,0)),IF(K64="",TRUE,K64&lt;=ROUNDUP(1.2*F64,0)),IF(O64="",TRUE,O64&lt;=ROUNDUP(1.2*F64,0)),IF(S64="",TRUE,S64&lt;=ROUNDUP(1.2*F64,0)),IF(W64="",TRUE,W64&lt;=ROUNDUP(1.2*F64,0)),IF(AA64="",TRUE,AA64&lt;=ROUNDUP(1.2*F64,0)),IF(AE64="",TRUE,AE64&lt;=ROUNDUP(1.2*F64,0)),IF(AI64="",TRUE,AI64&lt;=ROUNDUP(1.2*F64,0)),IF(AM64="",TRUE,AM64&lt;=ROUNDUP(1.2*F64,0)),IF(AQ64="",TRUE,AQ64&lt;=ROUNDUP(1.2*F64,0)),IF(AU64="",TRUE,AU64&lt;=ROUNDUP(1.2*F64,0))),IF(F64=0,0,(IF(SUM(I64,M64,Q64,U64,Y64,AC64,AG64,AK64,AO64,AS64,AW64)=0,0,SMALL((I64,M64,Q64,U64,Y64,AC64,AG64,AK64,AO64,AS64,AW64),COUNTIF((I64:AW64),0)+1)))),IF(BE64=J64,I64,IF(BE64=N64,M64,IF(BE64=R64,Q64,IF(BE64=V64,U64,IF(BE64=Z64,Y64,IF(BE64=AD64,AC64,IF(BE64=AH64,AG64,IF(BE64=AL64,AK64,IF(BE64=AP64,AO64,IF(BE64=AT64,AS64,IF(BE64=AX64,AW64))))))))))))))</f>
        <v>0</v>
      </c>
      <c r="BE64" s="714">
        <f>IF(F64="Indg",0,IF(F64="TEC Del",0,IF(AND(IF(G64="",TRUE,G64&lt;=ROUNDUP(1.2*F64,0)),IF(K64="",TRUE,K64&lt;=ROUNDUP(1.2*F64,0)),IF(O64="",TRUE,O64&lt;=ROUNDUP(1.2*F64,0)),IF(S64="",TRUE,S64&lt;=ROUNDUP(1.2*F64,0)),IF(W64="",TRUE,W64&lt;=ROUNDUP(1.2*F64,0)),IF(AA64="",TRUE,AA64&lt;=ROUNDUP(1.2*F64,0)),IF(AE64="",TRUE,AE64&lt;=ROUNDUP(1.2*F64,0)),IF(AI64="",TRUE,AI64&lt;=ROUNDUP(1.2*F64,0)),IF(AM64="",TRUE,AM64&lt;=ROUNDUP(1.2*F64,0)),IF(AQ64="",TRUE,AQ64&lt;=ROUNDUP(1.2*F64,0)),IF(AU64="",TRUE,AU64&lt;=ROUNDUP(1.2*F64,0))),ROUND(BD64*IF(BD64=I64,G64,IF(BD64=M64,K64,IF(BD64=Q64,O64,IF(BD64=U64,S64,IF(BD64=Y64,W64,IF(BD64=AC64,AA64,IF(BD64=AG64,AE64,IF(BD64=AK64,AI64,IF(BD64=AO64,AM64,IF(BD64=AS64,AQ64,IF(BD64=AW64,AU64))))))))))),2),(IF(SUM(J64,N64,R64,V64,Z64,AD64,AH64,AL64,AP64,AT64,AX64)=0,0,SMALL((J64,N64,R64,V64,Z64,AD64,AH64,AL64,AP64,AT64,AX64),COUNTIF((J64:AX64),0)+1))))))</f>
        <v>0</v>
      </c>
      <c r="BF64" s="714">
        <f>IF('Annexure-I'!L61="",'Annexure-I'!F61,'Annexure-I'!L61)</f>
        <v>174.15</v>
      </c>
      <c r="BG64" s="714" t="str">
        <f>IF('Annexure-I'!M61="",'Annexure-I'!G61,'Annexure-I'!M61)</f>
        <v>CONTRACT-A60</v>
      </c>
      <c r="BH64" s="764">
        <f>IF('Annexure-I'!N61="",'Annexure-I'!H61,'Annexure-I'!N61)</f>
        <v>40967</v>
      </c>
      <c r="BI64" s="717">
        <f>IF('Annexure-I'!P61="",'Annexure-I'!J61,'Annexure-I'!P61)</f>
        <v>319.06</v>
      </c>
      <c r="BJ64" s="717">
        <f>IF('Annexure-I'!Q61="",'Annexure-I'!K61,'Annexure-I'!Q61)</f>
        <v>34926.946864320002</v>
      </c>
      <c r="BK64" s="714">
        <f>'Annexure-I'!F61</f>
        <v>174.15</v>
      </c>
      <c r="BL64" s="718" t="str">
        <f>'Annexure-I'!G61</f>
        <v>CONTRACT-A60</v>
      </c>
      <c r="BM64" s="764">
        <f>IF('Annexure-I'!H61=0,"",'Annexure-I'!H61)</f>
        <v>40967</v>
      </c>
      <c r="BN64" s="717">
        <f>'Annexure-I'!J61</f>
        <v>319.06</v>
      </c>
      <c r="BO64" s="717">
        <f>'Annexure-I'!K61</f>
        <v>34926.946864320002</v>
      </c>
      <c r="BP64" s="714">
        <f>IF(OR(AY64="EST",AY64="ADRYS"),ROUND((BC64*1.18)/(1.3224*Form!$D$10),2),BC64)</f>
        <v>0</v>
      </c>
      <c r="BQ64" s="714">
        <f>ROUND(BS64/(1.3224*Form!$D$10),2)</f>
        <v>0</v>
      </c>
      <c r="BR64" s="714">
        <f t="shared" si="24"/>
        <v>0</v>
      </c>
      <c r="BS64" s="714">
        <f t="shared" si="25"/>
        <v>0</v>
      </c>
      <c r="BT64" s="719">
        <f t="shared" si="26"/>
        <v>0</v>
      </c>
      <c r="BU64" s="714"/>
      <c r="BV64" s="714">
        <f t="shared" si="8"/>
        <v>0</v>
      </c>
      <c r="BW64" s="714">
        <f>IF(OR(AY64="EST",AY64="ADRYS"),ROUND(1.18*BU64,2),ROUND(BU64*1.3224*Form!$D$10,2))</f>
        <v>0</v>
      </c>
      <c r="BX64" s="714">
        <f t="shared" si="9"/>
        <v>0</v>
      </c>
      <c r="BY64" s="719">
        <f t="shared" si="10"/>
        <v>0</v>
      </c>
      <c r="BZ64" s="714">
        <f t="shared" si="11"/>
        <v>244488.63</v>
      </c>
      <c r="CA64" s="720"/>
      <c r="CB64" s="720"/>
      <c r="CC64" s="4"/>
      <c r="CD64" s="4"/>
      <c r="CE64" s="4"/>
      <c r="CF64" s="4"/>
      <c r="CG64" s="4"/>
      <c r="CH64" s="4"/>
      <c r="CI64" s="721"/>
    </row>
    <row r="65" spans="1:96" s="579" customFormat="1" ht="45" x14ac:dyDescent="0.25">
      <c r="A65" s="712">
        <f>SUBTOTAL(2,$B$5:B65)</f>
        <v>61</v>
      </c>
      <c r="B65" s="754">
        <v>61</v>
      </c>
      <c r="C65" s="755" t="s">
        <v>729</v>
      </c>
      <c r="D65" s="755" t="s">
        <v>611</v>
      </c>
      <c r="E65" s="754">
        <v>11</v>
      </c>
      <c r="F65" s="658">
        <f>'Annexure-I'!E62</f>
        <v>11</v>
      </c>
      <c r="G65" s="784" t="str">
        <f>IF('CST-Calculation'!G65=0,"",'CST-Calculation'!G65)</f>
        <v/>
      </c>
      <c r="H65" s="784" t="str">
        <f>IF('CST-Calculation'!H65=0,"",'CST-Calculation'!H65)</f>
        <v/>
      </c>
      <c r="I65" s="714" t="str">
        <f>IF(G65="","",IF(H65="TEC Rejected","",IF(H65="","",ROUND(1.3224*Form!$D$10*H65,2))))</f>
        <v/>
      </c>
      <c r="J65" s="714" t="str">
        <f t="shared" si="0"/>
        <v/>
      </c>
      <c r="K65" s="713" t="str">
        <f>IF(L65="","",IF('CST-Calculation'!$F65="Indg","",IF('CST-Calculation'!$F65="TEC Del","",IF('CST-Calculation'!K65&gt;0,'CST-Calculation'!K65,IF('CST-Calculation'!$F65=0,"",'CST-Calculation'!$F65)))))</f>
        <v/>
      </c>
      <c r="L65" s="714" t="str">
        <f>IF('CST-Calculation'!L65=0,"",'CST-Calculation'!L65)</f>
        <v/>
      </c>
      <c r="M65" s="714" t="str">
        <f>IF(K65="","",IF(L65="TEC Rejected","",IF(L65="","",ROUND(1.3224*Form!$D$10*L65,2))))</f>
        <v/>
      </c>
      <c r="N65" s="714" t="str">
        <f t="shared" si="1"/>
        <v/>
      </c>
      <c r="O65" s="89" t="str">
        <f>IF(P65="","",IF('CST-Calculation'!$F65="Indg","",IF('CST-Calculation'!$F65="TEC Del","",IF('CST-Calculation'!O65&gt;0,'CST-Calculation'!O65,IF('CST-Calculation'!$F65=0,"",'CST-Calculation'!$F65)))))</f>
        <v/>
      </c>
      <c r="P65" s="714" t="str">
        <f>IF('CST-Calculation'!P65=0,"",'CST-Calculation'!P65)</f>
        <v/>
      </c>
      <c r="Q65" s="714" t="str">
        <f>IF(O65="","",IF(P65="TEC Rejected","",IF(P65="","",ROUND(1.3224*Form!$D$10*P65,2))))</f>
        <v/>
      </c>
      <c r="R65" s="714" t="str">
        <f t="shared" si="2"/>
        <v/>
      </c>
      <c r="S65" s="89" t="str">
        <f>IF(T65="","",IF('CST-Calculation'!$F65="Indg","",IF('CST-Calculation'!$F65="TEC Del","",IF('CST-Calculation'!S65&gt;0,'CST-Calculation'!S65,IF('CST-Calculation'!$F65=0,"",'CST-Calculation'!$F65)))))</f>
        <v/>
      </c>
      <c r="T65" s="714" t="str">
        <f>IF('CST-Calculation'!T65=0,"",'CST-Calculation'!T65)</f>
        <v/>
      </c>
      <c r="U65" s="714" t="str">
        <f>IF(S65="","",IF(T65="TEC Rejected","",IF(T65="","",ROUND(1.3224*Form!$D$10*T65,2))))</f>
        <v/>
      </c>
      <c r="V65" s="714" t="str">
        <f t="shared" si="3"/>
        <v/>
      </c>
      <c r="W65" s="713" t="str">
        <f>IF(X65="","",IF('CST-Calculation'!$F65="Indg","",IF('CST-Calculation'!$F65="TEC Del","",IF('CST-Calculation'!W65&gt;0,'CST-Calculation'!W65,IF('CST-Calculation'!$F65=0,"",'CST-Calculation'!$F65)))))</f>
        <v/>
      </c>
      <c r="X65" s="714" t="str">
        <f>IF('CST-Calculation'!X65=0,"",'CST-Calculation'!X65)</f>
        <v/>
      </c>
      <c r="Y65" s="714" t="str">
        <f>IF(W65="","",IF(X65="TEC Rejected","",IF(X65="","",ROUND(1.3224*Form!$D$10*X65,2))))</f>
        <v/>
      </c>
      <c r="Z65" s="714" t="str">
        <f t="shared" si="12"/>
        <v/>
      </c>
      <c r="AA65" s="713" t="str">
        <f>IF(AB65="","",IF('CST-Calculation'!$F65="Indg","",IF('CST-Calculation'!$F65="TEC Del","",IF('CST-Calculation'!AA65&gt;0,'CST-Calculation'!AA65,IF('CST-Calculation'!$F65=0,"",'CST-Calculation'!$F65)))))</f>
        <v/>
      </c>
      <c r="AB65" s="714" t="str">
        <f>IF('CST-Calculation'!AB65=0,"",'CST-Calculation'!AB65)</f>
        <v/>
      </c>
      <c r="AC65" s="714" t="str">
        <f t="shared" si="13"/>
        <v/>
      </c>
      <c r="AD65" s="714" t="str">
        <f t="shared" si="14"/>
        <v/>
      </c>
      <c r="AE65" s="713" t="str">
        <f>IF(AF65="","",IF('CST-Calculation'!$F65="Indg","",IF('CST-Calculation'!$F65="TEC Del","",IF('CST-Calculation'!AE65&gt;0,'CST-Calculation'!AE65,IF('CST-Calculation'!$F65=0,"",'CST-Calculation'!$F65)))))</f>
        <v/>
      </c>
      <c r="AF65" s="714" t="str">
        <f>IF('CST-Calculation'!AF65=0,"",'CST-Calculation'!AF65)</f>
        <v/>
      </c>
      <c r="AG65" s="714" t="str">
        <f>IF(AE65="","",IF(AF65="TEC Rejected","",IF(AF65="","",ROUND(1.3224*Form!$D$10*AF65,2))))</f>
        <v/>
      </c>
      <c r="AH65" s="714" t="str">
        <f t="shared" si="15"/>
        <v/>
      </c>
      <c r="AI65" s="713" t="str">
        <f>IF(AJ65="","",IF('CST-Calculation'!$F65="Indg","",IF('CST-Calculation'!$F65="TEC Del","",IF('CST-Calculation'!AI65&gt;0,'CST-Calculation'!AI65,IF('CST-Calculation'!$F65=0,"",'CST-Calculation'!$F65)))))</f>
        <v/>
      </c>
      <c r="AJ65" s="714" t="str">
        <f>IF('CST-Calculation'!AJ65=0,"",'CST-Calculation'!AJ65)</f>
        <v/>
      </c>
      <c r="AK65" s="714" t="str">
        <f t="shared" si="16"/>
        <v/>
      </c>
      <c r="AL65" s="714" t="str">
        <f t="shared" si="17"/>
        <v/>
      </c>
      <c r="AM65" s="713" t="str">
        <f>IF(AN65="","",IF('CST-Calculation'!$F65="Indg","",IF('CST-Calculation'!$F65="TEC Del","",IF('CST-Calculation'!AM65&gt;0,'CST-Calculation'!AM65,IF('CST-Calculation'!$F65=0,"",'CST-Calculation'!$F65)))))</f>
        <v/>
      </c>
      <c r="AN65" s="714" t="str">
        <f>IF('CST-Calculation'!AN65=0,"",'CST-Calculation'!AN65)</f>
        <v/>
      </c>
      <c r="AO65" s="714" t="str">
        <f>IF(AM65="","",IF(AN65="TEC Rejected","",IF(AN65="","",ROUND(1.3224*Form!$D$10*AN65,2))))</f>
        <v/>
      </c>
      <c r="AP65" s="714" t="str">
        <f t="shared" si="18"/>
        <v/>
      </c>
      <c r="AQ65" s="713" t="str">
        <f>IF(AR65="","",IF('CST-Calculation'!$F65="Indg","",IF('CST-Calculation'!$F65="TEC Del","",IF('CST-Calculation'!AQ65&gt;0,'CST-Calculation'!AQ65,IF('CST-Calculation'!$F65=0,"",'CST-Calculation'!$F65)))))</f>
        <v/>
      </c>
      <c r="AR65" s="714" t="str">
        <f>IF('CST-Calculation'!AR65=0,"",'CST-Calculation'!AR65)</f>
        <v/>
      </c>
      <c r="AS65" s="714" t="str">
        <f>IF(AQ65="","",IF(AR65="TEC Rejected","",IF(AR65="","",ROUND(1.3224*Form!$D$10*AR65,2))))</f>
        <v/>
      </c>
      <c r="AT65" s="714" t="str">
        <f t="shared" si="19"/>
        <v/>
      </c>
      <c r="AU65" s="713" t="str">
        <f>IF(AV65="","",IF('CST-Calculation'!$F65="Indg","",IF('CST-Calculation'!$F65="TEC Del","",IF('CST-Calculation'!AU65&gt;0,'CST-Calculation'!AU65,IF('CST-Calculation'!$F65=0,"",'CST-Calculation'!$F65)))))</f>
        <v/>
      </c>
      <c r="AV65" s="714" t="str">
        <f>IF('CST-Calculation'!AV65=0,"",'CST-Calculation'!AV65)</f>
        <v/>
      </c>
      <c r="AW65" s="714" t="str">
        <f>IF(AU65="","",IF(AV65="TEC Rejected","",IF(AV65="","",ROUND(1.3224*Form!$D$10*AV65,2))))</f>
        <v/>
      </c>
      <c r="AX65" s="714" t="str">
        <f t="shared" si="20"/>
        <v/>
      </c>
      <c r="AY65" s="715" t="str">
        <f t="shared" si="21"/>
        <v>NO OFFER</v>
      </c>
      <c r="AZ65" s="716" t="str">
        <f t="shared" si="22"/>
        <v>NO OFFER</v>
      </c>
      <c r="BA65" s="716" t="str">
        <f t="shared" si="23"/>
        <v>&lt;= 20%</v>
      </c>
      <c r="BB65" s="716">
        <f>IF(AY65="EST",ROUND(BD65/1.18,2),IF(AY65="ADRYS",ROUND(BD65/1.18,2),ROUND(BD65/(1.3224*Form!$D$10),2)))</f>
        <v>0</v>
      </c>
      <c r="BC65" s="784">
        <f>IF(OR(AY65="EST",AY65="ADRYS"),ROUND(BE65/1.18,2),ROUND(BE65/(1.3224*Form!$D$10),2))</f>
        <v>0</v>
      </c>
      <c r="BD65" s="717">
        <f>IF(F65="Indg",0,IF(F65="TEC Del",0,IF(AND(IF(G65="",TRUE,G65&lt;=ROUNDUP(1.2*F65,0)),IF(K65="",TRUE,K65&lt;=ROUNDUP(1.2*F65,0)),IF(O65="",TRUE,O65&lt;=ROUNDUP(1.2*F65,0)),IF(S65="",TRUE,S65&lt;=ROUNDUP(1.2*F65,0)),IF(W65="",TRUE,W65&lt;=ROUNDUP(1.2*F65,0)),IF(AA65="",TRUE,AA65&lt;=ROUNDUP(1.2*F65,0)),IF(AE65="",TRUE,AE65&lt;=ROUNDUP(1.2*F65,0)),IF(AI65="",TRUE,AI65&lt;=ROUNDUP(1.2*F65,0)),IF(AM65="",TRUE,AM65&lt;=ROUNDUP(1.2*F65,0)),IF(AQ65="",TRUE,AQ65&lt;=ROUNDUP(1.2*F65,0)),IF(AU65="",TRUE,AU65&lt;=ROUNDUP(1.2*F65,0))),IF(F65=0,0,(IF(SUM(I65,M65,Q65,U65,Y65,AC65,AG65,AK65,AO65,AS65,AW65)=0,0,SMALL((I65,M65,Q65,U65,Y65,AC65,AG65,AK65,AO65,AS65,AW65),COUNTIF((I65:AW65),0)+1)))),IF(BE65=J65,I65,IF(BE65=N65,M65,IF(BE65=R65,Q65,IF(BE65=V65,U65,IF(BE65=Z65,Y65,IF(BE65=AD65,AC65,IF(BE65=AH65,AG65,IF(BE65=AL65,AK65,IF(BE65=AP65,AO65,IF(BE65=AT65,AS65,IF(BE65=AX65,AW65))))))))))))))</f>
        <v>0</v>
      </c>
      <c r="BE65" s="714">
        <f>IF(F65="Indg",0,IF(F65="TEC Del",0,IF(AND(IF(G65="",TRUE,G65&lt;=ROUNDUP(1.2*F65,0)),IF(K65="",TRUE,K65&lt;=ROUNDUP(1.2*F65,0)),IF(O65="",TRUE,O65&lt;=ROUNDUP(1.2*F65,0)),IF(S65="",TRUE,S65&lt;=ROUNDUP(1.2*F65,0)),IF(W65="",TRUE,W65&lt;=ROUNDUP(1.2*F65,0)),IF(AA65="",TRUE,AA65&lt;=ROUNDUP(1.2*F65,0)),IF(AE65="",TRUE,AE65&lt;=ROUNDUP(1.2*F65,0)),IF(AI65="",TRUE,AI65&lt;=ROUNDUP(1.2*F65,0)),IF(AM65="",TRUE,AM65&lt;=ROUNDUP(1.2*F65,0)),IF(AQ65="",TRUE,AQ65&lt;=ROUNDUP(1.2*F65,0)),IF(AU65="",TRUE,AU65&lt;=ROUNDUP(1.2*F65,0))),ROUND(BD65*IF(BD65=I65,G65,IF(BD65=M65,K65,IF(BD65=Q65,O65,IF(BD65=U65,S65,IF(BD65=Y65,W65,IF(BD65=AC65,AA65,IF(BD65=AG65,AE65,IF(BD65=AK65,AI65,IF(BD65=AO65,AM65,IF(BD65=AS65,AQ65,IF(BD65=AW65,AU65))))))))))),2),(IF(SUM(J65,N65,R65,V65,Z65,AD65,AH65,AL65,AP65,AT65,AX65)=0,0,SMALL((J65,N65,R65,V65,Z65,AD65,AH65,AL65,AP65,AT65,AX65),COUNTIF((J65:AX65),0)+1))))))</f>
        <v>0</v>
      </c>
      <c r="BF65" s="714">
        <f>IF('Annexure-I'!L62="",'Annexure-I'!F62,'Annexure-I'!L62)</f>
        <v>47224.06</v>
      </c>
      <c r="BG65" s="714" t="str">
        <f>IF('Annexure-I'!M62="",'Annexure-I'!G62,'Annexure-I'!M62)</f>
        <v>CONTRACT-A61</v>
      </c>
      <c r="BH65" s="764">
        <f>IF('Annexure-I'!N62="",'Annexure-I'!H62,'Annexure-I'!N62)</f>
        <v>41789</v>
      </c>
      <c r="BI65" s="717">
        <f>IF('Annexure-I'!P62="",'Annexure-I'!J62,'Annexure-I'!P62)</f>
        <v>77732.66</v>
      </c>
      <c r="BJ65" s="717">
        <f>IF('Annexure-I'!Q62="",'Annexure-I'!K62,'Annexure-I'!Q62)</f>
        <v>8509259.9681635201</v>
      </c>
      <c r="BK65" s="714">
        <f>'Annexure-I'!F62</f>
        <v>47224.06</v>
      </c>
      <c r="BL65" s="718" t="str">
        <f>'Annexure-I'!G62</f>
        <v>CONTRACT-A61</v>
      </c>
      <c r="BM65" s="764">
        <f>IF('Annexure-I'!H62=0,"",'Annexure-I'!H62)</f>
        <v>41789</v>
      </c>
      <c r="BN65" s="717">
        <f>'Annexure-I'!J62</f>
        <v>77732.66</v>
      </c>
      <c r="BO65" s="717">
        <f>'Annexure-I'!K62</f>
        <v>8509259.9681635201</v>
      </c>
      <c r="BP65" s="714">
        <f>IF(OR(AY65="EST",AY65="ADRYS"),ROUND((BC65*1.18)/(1.3224*Form!$D$10),2),BC65)</f>
        <v>0</v>
      </c>
      <c r="BQ65" s="714">
        <f>ROUND(BS65/(1.3224*Form!$D$10),2)</f>
        <v>0</v>
      </c>
      <c r="BR65" s="714">
        <f t="shared" si="24"/>
        <v>0</v>
      </c>
      <c r="BS65" s="714">
        <f t="shared" si="25"/>
        <v>0</v>
      </c>
      <c r="BT65" s="719">
        <f t="shared" si="26"/>
        <v>0</v>
      </c>
      <c r="BU65" s="714"/>
      <c r="BV65" s="714">
        <f t="shared" si="8"/>
        <v>0</v>
      </c>
      <c r="BW65" s="714">
        <f>IF(OR(AY65="EST",AY65="ADRYS"),ROUND(1.18*BU65,2),ROUND(BU65*1.3224*Form!$D$10,2))</f>
        <v>0</v>
      </c>
      <c r="BX65" s="714">
        <f t="shared" si="9"/>
        <v>0</v>
      </c>
      <c r="BY65" s="719">
        <f t="shared" si="10"/>
        <v>0</v>
      </c>
      <c r="BZ65" s="714">
        <f t="shared" si="11"/>
        <v>93601859.650000006</v>
      </c>
      <c r="CA65" s="720"/>
      <c r="CB65" s="720"/>
      <c r="CC65" s="4"/>
      <c r="CD65" s="4"/>
      <c r="CE65" s="4"/>
      <c r="CF65" s="4"/>
      <c r="CG65" s="4"/>
      <c r="CH65" s="4"/>
      <c r="CI65" s="721"/>
    </row>
    <row r="66" spans="1:96" s="579" customFormat="1" ht="45" x14ac:dyDescent="0.25">
      <c r="A66" s="712">
        <f>SUBTOTAL(2,$B$5:B66)</f>
        <v>62</v>
      </c>
      <c r="B66" s="754">
        <v>62</v>
      </c>
      <c r="C66" s="756" t="s">
        <v>730</v>
      </c>
      <c r="D66" s="755" t="s">
        <v>612</v>
      </c>
      <c r="E66" s="754">
        <v>5</v>
      </c>
      <c r="F66" s="658">
        <f>'Annexure-I'!E63</f>
        <v>5</v>
      </c>
      <c r="G66" s="784" t="str">
        <f>IF('CST-Calculation'!G66=0,"",'CST-Calculation'!G66)</f>
        <v/>
      </c>
      <c r="H66" s="784" t="str">
        <f>IF('CST-Calculation'!H66=0,"",'CST-Calculation'!H66)</f>
        <v/>
      </c>
      <c r="I66" s="714" t="str">
        <f>IF(G66="","",IF(H66="TEC Rejected","",IF(H66="","",ROUND(1.3224*Form!$D$10*H66,2))))</f>
        <v/>
      </c>
      <c r="J66" s="714" t="str">
        <f t="shared" si="0"/>
        <v/>
      </c>
      <c r="K66" s="713" t="str">
        <f>IF(L66="","",IF('CST-Calculation'!$F66="Indg","",IF('CST-Calculation'!$F66="TEC Del","",IF('CST-Calculation'!K66&gt;0,'CST-Calculation'!K66,IF('CST-Calculation'!$F66=0,"",'CST-Calculation'!$F66)))))</f>
        <v/>
      </c>
      <c r="L66" s="714" t="str">
        <f>IF('CST-Calculation'!L66=0,"",'CST-Calculation'!L66)</f>
        <v/>
      </c>
      <c r="M66" s="714" t="str">
        <f>IF(K66="","",IF(L66="TEC Rejected","",IF(L66="","",ROUND(1.3224*Form!$D$10*L66,2))))</f>
        <v/>
      </c>
      <c r="N66" s="714" t="str">
        <f t="shared" si="1"/>
        <v/>
      </c>
      <c r="O66" s="89">
        <f>IF(P66="","",IF('CST-Calculation'!$F66="Indg","",IF('CST-Calculation'!$F66="TEC Del","",IF('CST-Calculation'!O66&gt;0,'CST-Calculation'!O66,IF('CST-Calculation'!$F66=0,"",'CST-Calculation'!$F66)))))</f>
        <v>5</v>
      </c>
      <c r="P66" s="714">
        <f>IF('CST-Calculation'!P66=0,"",'CST-Calculation'!P66)</f>
        <v>26750</v>
      </c>
      <c r="Q66" s="714">
        <f>IF(O66="","",IF(P66="TEC Rejected","",IF(P66="","",ROUND(1.3224*Form!$D$10*P66,2))))</f>
        <v>2928276.28</v>
      </c>
      <c r="R66" s="714">
        <f t="shared" si="2"/>
        <v>14641381.4</v>
      </c>
      <c r="S66" s="89">
        <f>IF(T66="","",IF('CST-Calculation'!$F66="Indg","",IF('CST-Calculation'!$F66="TEC Del","",IF('CST-Calculation'!S66&gt;0,'CST-Calculation'!S66,IF('CST-Calculation'!$F66=0,"",'CST-Calculation'!$F66)))))</f>
        <v>5</v>
      </c>
      <c r="T66" s="714">
        <f>IF('CST-Calculation'!T66=0,"",'CST-Calculation'!T66)</f>
        <v>21000</v>
      </c>
      <c r="U66" s="714">
        <f>IF(S66="","",IF(T66="TEC Rejected","",IF(T66="","",ROUND(1.3224*Form!$D$10*T66,2))))</f>
        <v>2298833.71</v>
      </c>
      <c r="V66" s="714">
        <f t="shared" si="3"/>
        <v>11494168.550000001</v>
      </c>
      <c r="W66" s="713" t="str">
        <f>IF(X66="","",IF('CST-Calculation'!$F66="Indg","",IF('CST-Calculation'!$F66="TEC Del","",IF('CST-Calculation'!W66&gt;0,'CST-Calculation'!W66,IF('CST-Calculation'!$F66=0,"",'CST-Calculation'!$F66)))))</f>
        <v/>
      </c>
      <c r="X66" s="714" t="str">
        <f>IF('CST-Calculation'!X66=0,"",'CST-Calculation'!X66)</f>
        <v/>
      </c>
      <c r="Y66" s="714" t="str">
        <f>IF(W66="","",IF(X66="TEC Rejected","",IF(X66="","",ROUND(1.3224*Form!$D$10*X66,2))))</f>
        <v/>
      </c>
      <c r="Z66" s="714" t="str">
        <f t="shared" si="12"/>
        <v/>
      </c>
      <c r="AA66" s="713" t="str">
        <f>IF(AB66="","",IF('CST-Calculation'!$F66="Indg","",IF('CST-Calculation'!$F66="TEC Del","",IF('CST-Calculation'!AA66&gt;0,'CST-Calculation'!AA66,IF('CST-Calculation'!$F66=0,"",'CST-Calculation'!$F66)))))</f>
        <v/>
      </c>
      <c r="AB66" s="714" t="str">
        <f>IF('CST-Calculation'!AB66=0,"",'CST-Calculation'!AB66)</f>
        <v/>
      </c>
      <c r="AC66" s="714" t="str">
        <f t="shared" si="13"/>
        <v/>
      </c>
      <c r="AD66" s="714" t="str">
        <f t="shared" si="14"/>
        <v/>
      </c>
      <c r="AE66" s="713" t="str">
        <f>IF(AF66="","",IF('CST-Calculation'!$F66="Indg","",IF('CST-Calculation'!$F66="TEC Del","",IF('CST-Calculation'!AE66&gt;0,'CST-Calculation'!AE66,IF('CST-Calculation'!$F66=0,"",'CST-Calculation'!$F66)))))</f>
        <v/>
      </c>
      <c r="AF66" s="714" t="str">
        <f>IF('CST-Calculation'!AF66=0,"",'CST-Calculation'!AF66)</f>
        <v/>
      </c>
      <c r="AG66" s="714" t="str">
        <f>IF(AE66="","",IF(AF66="TEC Rejected","",IF(AF66="","",ROUND(1.3224*Form!$D$10*AF66,2))))</f>
        <v/>
      </c>
      <c r="AH66" s="714" t="str">
        <f t="shared" si="15"/>
        <v/>
      </c>
      <c r="AI66" s="713" t="str">
        <f>IF(AJ66="","",IF('CST-Calculation'!$F66="Indg","",IF('CST-Calculation'!$F66="TEC Del","",IF('CST-Calculation'!AI66&gt;0,'CST-Calculation'!AI66,IF('CST-Calculation'!$F66=0,"",'CST-Calculation'!$F66)))))</f>
        <v/>
      </c>
      <c r="AJ66" s="714" t="str">
        <f>IF('CST-Calculation'!AJ66=0,"",'CST-Calculation'!AJ66)</f>
        <v/>
      </c>
      <c r="AK66" s="714" t="str">
        <f t="shared" si="16"/>
        <v/>
      </c>
      <c r="AL66" s="714" t="str">
        <f t="shared" si="17"/>
        <v/>
      </c>
      <c r="AM66" s="713" t="str">
        <f>IF(AN66="","",IF('CST-Calculation'!$F66="Indg","",IF('CST-Calculation'!$F66="TEC Del","",IF('CST-Calculation'!AM66&gt;0,'CST-Calculation'!AM66,IF('CST-Calculation'!$F66=0,"",'CST-Calculation'!$F66)))))</f>
        <v/>
      </c>
      <c r="AN66" s="714" t="str">
        <f>IF('CST-Calculation'!AN66=0,"",'CST-Calculation'!AN66)</f>
        <v/>
      </c>
      <c r="AO66" s="714" t="str">
        <f>IF(AM66="","",IF(AN66="TEC Rejected","",IF(AN66="","",ROUND(1.3224*Form!$D$10*AN66,2))))</f>
        <v/>
      </c>
      <c r="AP66" s="714" t="str">
        <f t="shared" si="18"/>
        <v/>
      </c>
      <c r="AQ66" s="713" t="str">
        <f>IF(AR66="","",IF('CST-Calculation'!$F66="Indg","",IF('CST-Calculation'!$F66="TEC Del","",IF('CST-Calculation'!AQ66&gt;0,'CST-Calculation'!AQ66,IF('CST-Calculation'!$F66=0,"",'CST-Calculation'!$F66)))))</f>
        <v/>
      </c>
      <c r="AR66" s="714" t="str">
        <f>IF('CST-Calculation'!AR66=0,"",'CST-Calculation'!AR66)</f>
        <v/>
      </c>
      <c r="AS66" s="714" t="str">
        <f>IF(AQ66="","",IF(AR66="TEC Rejected","",IF(AR66="","",ROUND(1.3224*Form!$D$10*AR66,2))))</f>
        <v/>
      </c>
      <c r="AT66" s="714" t="str">
        <f t="shared" si="19"/>
        <v/>
      </c>
      <c r="AU66" s="713" t="str">
        <f>IF(AV66="","",IF('CST-Calculation'!$F66="Indg","",IF('CST-Calculation'!$F66="TEC Del","",IF('CST-Calculation'!AU66&gt;0,'CST-Calculation'!AU66,IF('CST-Calculation'!$F66=0,"",'CST-Calculation'!$F66)))))</f>
        <v/>
      </c>
      <c r="AV66" s="714" t="str">
        <f>IF('CST-Calculation'!AV66=0,"",'CST-Calculation'!AV66)</f>
        <v/>
      </c>
      <c r="AW66" s="714" t="str">
        <f>IF(AU66="","",IF(AV66="TEC Rejected","",IF(AV66="","",ROUND(1.3224*Form!$D$10*AV66,2))))</f>
        <v/>
      </c>
      <c r="AX66" s="714" t="str">
        <f t="shared" si="20"/>
        <v/>
      </c>
      <c r="AY66" s="715" t="str">
        <f t="shared" si="21"/>
        <v>IASL</v>
      </c>
      <c r="AZ66" s="716" t="str">
        <f t="shared" si="22"/>
        <v>MULTIPLE</v>
      </c>
      <c r="BA66" s="716" t="str">
        <f t="shared" si="23"/>
        <v>&lt;= 20%</v>
      </c>
      <c r="BB66" s="716">
        <f>IF(AY66="EST",ROUND(BD66/1.18,2),IF(AY66="ADRYS",ROUND(BD66/1.18,2),ROUND(BD66/(1.3224*Form!$D$10),2)))</f>
        <v>21000</v>
      </c>
      <c r="BC66" s="784">
        <f>IF(OR(AY66="EST",AY66="ADRYS"),ROUND(BE66/1.18,2),ROUND(BE66/(1.3224*Form!$D$10),2))</f>
        <v>105000</v>
      </c>
      <c r="BD66" s="717">
        <f>IF(F66="Indg",0,IF(F66="TEC Del",0,IF(AND(IF(G66="",TRUE,G66&lt;=ROUNDUP(1.2*F66,0)),IF(K66="",TRUE,K66&lt;=ROUNDUP(1.2*F66,0)),IF(O66="",TRUE,O66&lt;=ROUNDUP(1.2*F66,0)),IF(S66="",TRUE,S66&lt;=ROUNDUP(1.2*F66,0)),IF(W66="",TRUE,W66&lt;=ROUNDUP(1.2*F66,0)),IF(AA66="",TRUE,AA66&lt;=ROUNDUP(1.2*F66,0)),IF(AE66="",TRUE,AE66&lt;=ROUNDUP(1.2*F66,0)),IF(AI66="",TRUE,AI66&lt;=ROUNDUP(1.2*F66,0)),IF(AM66="",TRUE,AM66&lt;=ROUNDUP(1.2*F66,0)),IF(AQ66="",TRUE,AQ66&lt;=ROUNDUP(1.2*F66,0)),IF(AU66="",TRUE,AU66&lt;=ROUNDUP(1.2*F66,0))),IF(F66=0,0,(IF(SUM(I66,M66,Q66,U66,Y66,AC66,AG66,AK66,AO66,AS66,AW66)=0,0,SMALL((I66,M66,Q66,U66,Y66,AC66,AG66,AK66,AO66,AS66,AW66),COUNTIF((I66:AW66),0)+1)))),IF(BE66=J66,I66,IF(BE66=N66,M66,IF(BE66=R66,Q66,IF(BE66=V66,U66,IF(BE66=Z66,Y66,IF(BE66=AD66,AC66,IF(BE66=AH66,AG66,IF(BE66=AL66,AK66,IF(BE66=AP66,AO66,IF(BE66=AT66,AS66,IF(BE66=AX66,AW66))))))))))))))</f>
        <v>2298833.71</v>
      </c>
      <c r="BE66" s="714">
        <f>IF(F66="Indg",0,IF(F66="TEC Del",0,IF(AND(IF(G66="",TRUE,G66&lt;=ROUNDUP(1.2*F66,0)),IF(K66="",TRUE,K66&lt;=ROUNDUP(1.2*F66,0)),IF(O66="",TRUE,O66&lt;=ROUNDUP(1.2*F66,0)),IF(S66="",TRUE,S66&lt;=ROUNDUP(1.2*F66,0)),IF(W66="",TRUE,W66&lt;=ROUNDUP(1.2*F66,0)),IF(AA66="",TRUE,AA66&lt;=ROUNDUP(1.2*F66,0)),IF(AE66="",TRUE,AE66&lt;=ROUNDUP(1.2*F66,0)),IF(AI66="",TRUE,AI66&lt;=ROUNDUP(1.2*F66,0)),IF(AM66="",TRUE,AM66&lt;=ROUNDUP(1.2*F66,0)),IF(AQ66="",TRUE,AQ66&lt;=ROUNDUP(1.2*F66,0)),IF(AU66="",TRUE,AU66&lt;=ROUNDUP(1.2*F66,0))),ROUND(BD66*IF(BD66=I66,G66,IF(BD66=M66,K66,IF(BD66=Q66,O66,IF(BD66=U66,S66,IF(BD66=Y66,W66,IF(BD66=AC66,AA66,IF(BD66=AG66,AE66,IF(BD66=AK66,AI66,IF(BD66=AO66,AM66,IF(BD66=AS66,AQ66,IF(BD66=AW66,AU66))))))))))),2),(IF(SUM(J66,N66,R66,V66,Z66,AD66,AH66,AL66,AP66,AT66,AX66)=0,0,SMALL((J66,N66,R66,V66,Z66,AD66,AH66,AL66,AP66,AT66,AX66),COUNTIF((J66:AX66),0)+1))))))</f>
        <v>11494168.550000001</v>
      </c>
      <c r="BF66" s="714">
        <f>IF('Annexure-I'!L63="",'Annexure-I'!F63,'Annexure-I'!L63)</f>
        <v>8835.44</v>
      </c>
      <c r="BG66" s="714" t="str">
        <f>IF('Annexure-I'!M63="",'Annexure-I'!G63,'Annexure-I'!M63)</f>
        <v>CONTRACT-A62</v>
      </c>
      <c r="BH66" s="764">
        <f>IF('Annexure-I'!N63="",'Annexure-I'!H63,'Annexure-I'!N63)</f>
        <v>40967</v>
      </c>
      <c r="BI66" s="717">
        <f>IF('Annexure-I'!P63="",'Annexure-I'!J63,'Annexure-I'!P63)</f>
        <v>16187.24</v>
      </c>
      <c r="BJ66" s="717">
        <f>IF('Annexure-I'!Q63="",'Annexure-I'!K63,'Annexure-I'!Q63)</f>
        <v>1771989.19124928</v>
      </c>
      <c r="BK66" s="714">
        <f>'Annexure-I'!F63</f>
        <v>8835.44</v>
      </c>
      <c r="BL66" s="718" t="str">
        <f>'Annexure-I'!G63</f>
        <v>CONTRACT-A62</v>
      </c>
      <c r="BM66" s="764">
        <f>IF('Annexure-I'!H63=0,"",'Annexure-I'!H63)</f>
        <v>40967</v>
      </c>
      <c r="BN66" s="717">
        <f>'Annexure-I'!J63</f>
        <v>16187.24</v>
      </c>
      <c r="BO66" s="717">
        <f>'Annexure-I'!K63</f>
        <v>1771989.19124928</v>
      </c>
      <c r="BP66" s="714">
        <f>IF(OR(AY66="EST",AY66="ADRYS"),ROUND((BC66*1.18)/(1.3224*Form!$D$10),2),BC66)</f>
        <v>105000</v>
      </c>
      <c r="BQ66" s="714">
        <f>ROUND(BS66/(1.3224*Form!$D$10),2)</f>
        <v>80936.2</v>
      </c>
      <c r="BR66" s="714">
        <f t="shared" si="24"/>
        <v>11494168.550000001</v>
      </c>
      <c r="BS66" s="714">
        <f t="shared" si="25"/>
        <v>8859945.9600000009</v>
      </c>
      <c r="BT66" s="719">
        <f t="shared" si="26"/>
        <v>0.29731813285235881</v>
      </c>
      <c r="BU66" s="714"/>
      <c r="BV66" s="714">
        <f t="shared" si="8"/>
        <v>0</v>
      </c>
      <c r="BW66" s="714">
        <f>IF(OR(AY66="EST",AY66="ADRYS"),ROUND(1.18*BU66,2),ROUND(BU66*1.3224*Form!$D$10,2))</f>
        <v>0</v>
      </c>
      <c r="BX66" s="714">
        <f t="shared" si="9"/>
        <v>0</v>
      </c>
      <c r="BY66" s="719">
        <f t="shared" si="10"/>
        <v>0</v>
      </c>
      <c r="BZ66" s="714">
        <f t="shared" si="11"/>
        <v>8859945.9600000009</v>
      </c>
      <c r="CA66" s="720"/>
      <c r="CB66" s="720"/>
      <c r="CC66" s="4"/>
      <c r="CD66" s="4"/>
      <c r="CE66" s="4"/>
      <c r="CF66" s="4"/>
      <c r="CG66" s="4"/>
      <c r="CH66" s="4"/>
      <c r="CI66" s="721"/>
    </row>
    <row r="67" spans="1:96" s="579" customFormat="1" ht="45" x14ac:dyDescent="0.25">
      <c r="A67" s="712">
        <f>SUBTOTAL(2,$B$5:B67)</f>
        <v>63</v>
      </c>
      <c r="B67" s="754">
        <v>63</v>
      </c>
      <c r="C67" s="755" t="s">
        <v>731</v>
      </c>
      <c r="D67" s="755" t="s">
        <v>130</v>
      </c>
      <c r="E67" s="754">
        <v>4</v>
      </c>
      <c r="F67" s="658">
        <f>'Annexure-I'!E64</f>
        <v>4</v>
      </c>
      <c r="G67" s="784" t="str">
        <f>IF('CST-Calculation'!G67=0,"",'CST-Calculation'!G67)</f>
        <v/>
      </c>
      <c r="H67" s="784" t="str">
        <f>IF('CST-Calculation'!H67=0,"",'CST-Calculation'!H67)</f>
        <v/>
      </c>
      <c r="I67" s="714" t="str">
        <f>IF(G67="","",IF(H67="TEC Rejected","",IF(H67="","",ROUND(1.3224*Form!$D$10*H67,2))))</f>
        <v/>
      </c>
      <c r="J67" s="714" t="str">
        <f t="shared" si="0"/>
        <v/>
      </c>
      <c r="K67" s="713" t="str">
        <f>IF(L67="","",IF('CST-Calculation'!$F67="Indg","",IF('CST-Calculation'!$F67="TEC Del","",IF('CST-Calculation'!K67&gt;0,'CST-Calculation'!K67,IF('CST-Calculation'!$F67=0,"",'CST-Calculation'!$F67)))))</f>
        <v/>
      </c>
      <c r="L67" s="714" t="str">
        <f>IF('CST-Calculation'!L67=0,"",'CST-Calculation'!L67)</f>
        <v/>
      </c>
      <c r="M67" s="714" t="str">
        <f>IF(K67="","",IF(L67="TEC Rejected","",IF(L67="","",ROUND(1.3224*Form!$D$10*L67,2))))</f>
        <v/>
      </c>
      <c r="N67" s="714" t="str">
        <f t="shared" si="1"/>
        <v/>
      </c>
      <c r="O67" s="89" t="str">
        <f>IF(P67="","",IF('CST-Calculation'!$F67="Indg","",IF('CST-Calculation'!$F67="TEC Del","",IF('CST-Calculation'!O67&gt;0,'CST-Calculation'!O67,IF('CST-Calculation'!$F67=0,"",'CST-Calculation'!$F67)))))</f>
        <v/>
      </c>
      <c r="P67" s="714" t="str">
        <f>IF('CST-Calculation'!P67=0,"",'CST-Calculation'!P67)</f>
        <v/>
      </c>
      <c r="Q67" s="714" t="str">
        <f>IF(O67="","",IF(P67="TEC Rejected","",IF(P67="","",ROUND(1.3224*Form!$D$10*P67,2))))</f>
        <v/>
      </c>
      <c r="R67" s="714" t="str">
        <f t="shared" si="2"/>
        <v/>
      </c>
      <c r="S67" s="89" t="str">
        <f>IF(T67="","",IF('CST-Calculation'!$F67="Indg","",IF('CST-Calculation'!$F67="TEC Del","",IF('CST-Calculation'!S67&gt;0,'CST-Calculation'!S67,IF('CST-Calculation'!$F67=0,"",'CST-Calculation'!$F67)))))</f>
        <v/>
      </c>
      <c r="T67" s="714" t="str">
        <f>IF('CST-Calculation'!T67=0,"",'CST-Calculation'!T67)</f>
        <v/>
      </c>
      <c r="U67" s="714" t="str">
        <f>IF(S67="","",IF(T67="TEC Rejected","",IF(T67="","",ROUND(1.3224*Form!$D$10*T67,2))))</f>
        <v/>
      </c>
      <c r="V67" s="714" t="str">
        <f t="shared" si="3"/>
        <v/>
      </c>
      <c r="W67" s="713" t="str">
        <f>IF(X67="","",IF('CST-Calculation'!$F67="Indg","",IF('CST-Calculation'!$F67="TEC Del","",IF('CST-Calculation'!W67&gt;0,'CST-Calculation'!W67,IF('CST-Calculation'!$F67=0,"",'CST-Calculation'!$F67)))))</f>
        <v/>
      </c>
      <c r="X67" s="714" t="str">
        <f>IF('CST-Calculation'!X67=0,"",'CST-Calculation'!X67)</f>
        <v/>
      </c>
      <c r="Y67" s="714" t="str">
        <f>IF(W67="","",IF(X67="TEC Rejected","",IF(X67="","",ROUND(1.3224*Form!$D$10*X67,2))))</f>
        <v/>
      </c>
      <c r="Z67" s="714" t="str">
        <f t="shared" si="12"/>
        <v/>
      </c>
      <c r="AA67" s="713" t="str">
        <f>IF(AB67="","",IF('CST-Calculation'!$F67="Indg","",IF('CST-Calculation'!$F67="TEC Del","",IF('CST-Calculation'!AA67&gt;0,'CST-Calculation'!AA67,IF('CST-Calculation'!$F67=0,"",'CST-Calculation'!$F67)))))</f>
        <v/>
      </c>
      <c r="AB67" s="714" t="str">
        <f>IF('CST-Calculation'!AB67=0,"",'CST-Calculation'!AB67)</f>
        <v/>
      </c>
      <c r="AC67" s="714" t="str">
        <f t="shared" si="13"/>
        <v/>
      </c>
      <c r="AD67" s="714" t="str">
        <f t="shared" si="14"/>
        <v/>
      </c>
      <c r="AE67" s="713" t="str">
        <f>IF(AF67="","",IF('CST-Calculation'!$F67="Indg","",IF('CST-Calculation'!$F67="TEC Del","",IF('CST-Calculation'!AE67&gt;0,'CST-Calculation'!AE67,IF('CST-Calculation'!$F67=0,"",'CST-Calculation'!$F67)))))</f>
        <v/>
      </c>
      <c r="AF67" s="714" t="str">
        <f>IF('CST-Calculation'!AF67=0,"",'CST-Calculation'!AF67)</f>
        <v/>
      </c>
      <c r="AG67" s="714" t="str">
        <f>IF(AE67="","",IF(AF67="TEC Rejected","",IF(AF67="","",ROUND(1.3224*Form!$D$10*AF67,2))))</f>
        <v/>
      </c>
      <c r="AH67" s="714" t="str">
        <f t="shared" si="15"/>
        <v/>
      </c>
      <c r="AI67" s="713" t="str">
        <f>IF(AJ67="","",IF('CST-Calculation'!$F67="Indg","",IF('CST-Calculation'!$F67="TEC Del","",IF('CST-Calculation'!AI67&gt;0,'CST-Calculation'!AI67,IF('CST-Calculation'!$F67=0,"",'CST-Calculation'!$F67)))))</f>
        <v/>
      </c>
      <c r="AJ67" s="714" t="str">
        <f>IF('CST-Calculation'!AJ67=0,"",'CST-Calculation'!AJ67)</f>
        <v/>
      </c>
      <c r="AK67" s="714" t="str">
        <f t="shared" si="16"/>
        <v/>
      </c>
      <c r="AL67" s="714" t="str">
        <f t="shared" si="17"/>
        <v/>
      </c>
      <c r="AM67" s="713" t="str">
        <f>IF(AN67="","",IF('CST-Calculation'!$F67="Indg","",IF('CST-Calculation'!$F67="TEC Del","",IF('CST-Calculation'!AM67&gt;0,'CST-Calculation'!AM67,IF('CST-Calculation'!$F67=0,"",'CST-Calculation'!$F67)))))</f>
        <v/>
      </c>
      <c r="AN67" s="714" t="str">
        <f>IF('CST-Calculation'!AN67=0,"",'CST-Calculation'!AN67)</f>
        <v/>
      </c>
      <c r="AO67" s="714" t="str">
        <f>IF(AM67="","",IF(AN67="TEC Rejected","",IF(AN67="","",ROUND(1.3224*Form!$D$10*AN67,2))))</f>
        <v/>
      </c>
      <c r="AP67" s="714" t="str">
        <f t="shared" si="18"/>
        <v/>
      </c>
      <c r="AQ67" s="713" t="str">
        <f>IF(AR67="","",IF('CST-Calculation'!$F67="Indg","",IF('CST-Calculation'!$F67="TEC Del","",IF('CST-Calculation'!AQ67&gt;0,'CST-Calculation'!AQ67,IF('CST-Calculation'!$F67=0,"",'CST-Calculation'!$F67)))))</f>
        <v/>
      </c>
      <c r="AR67" s="714" t="str">
        <f>IF('CST-Calculation'!AR67=0,"",'CST-Calculation'!AR67)</f>
        <v/>
      </c>
      <c r="AS67" s="714" t="str">
        <f>IF(AQ67="","",IF(AR67="TEC Rejected","",IF(AR67="","",ROUND(1.3224*Form!$D$10*AR67,2))))</f>
        <v/>
      </c>
      <c r="AT67" s="714" t="str">
        <f t="shared" si="19"/>
        <v/>
      </c>
      <c r="AU67" s="713" t="str">
        <f>IF(AV67="","",IF('CST-Calculation'!$F67="Indg","",IF('CST-Calculation'!$F67="TEC Del","",IF('CST-Calculation'!AU67&gt;0,'CST-Calculation'!AU67,IF('CST-Calculation'!$F67=0,"",'CST-Calculation'!$F67)))))</f>
        <v/>
      </c>
      <c r="AV67" s="714" t="str">
        <f>IF('CST-Calculation'!AV67=0,"",'CST-Calculation'!AV67)</f>
        <v/>
      </c>
      <c r="AW67" s="714" t="str">
        <f>IF(AU67="","",IF(AV67="TEC Rejected","",IF(AV67="","",ROUND(1.3224*Form!$D$10*AV67,2))))</f>
        <v/>
      </c>
      <c r="AX67" s="714" t="str">
        <f t="shared" si="20"/>
        <v/>
      </c>
      <c r="AY67" s="715" t="str">
        <f t="shared" si="21"/>
        <v>NO OFFER</v>
      </c>
      <c r="AZ67" s="716" t="str">
        <f t="shared" si="22"/>
        <v>NO OFFER</v>
      </c>
      <c r="BA67" s="716" t="str">
        <f t="shared" si="23"/>
        <v>&lt;= 20%</v>
      </c>
      <c r="BB67" s="716">
        <f>IF(AY67="EST",ROUND(BD67/1.18,2),IF(AY67="ADRYS",ROUND(BD67/1.18,2),ROUND(BD67/(1.3224*Form!$D$10),2)))</f>
        <v>0</v>
      </c>
      <c r="BC67" s="784">
        <f>IF(OR(AY67="EST",AY67="ADRYS"),ROUND(BE67/1.18,2),ROUND(BE67/(1.3224*Form!$D$10),2))</f>
        <v>0</v>
      </c>
      <c r="BD67" s="717">
        <f>IF(F67="Indg",0,IF(F67="TEC Del",0,IF(AND(IF(G67="",TRUE,G67&lt;=ROUNDUP(1.2*F67,0)),IF(K67="",TRUE,K67&lt;=ROUNDUP(1.2*F67,0)),IF(O67="",TRUE,O67&lt;=ROUNDUP(1.2*F67,0)),IF(S67="",TRUE,S67&lt;=ROUNDUP(1.2*F67,0)),IF(W67="",TRUE,W67&lt;=ROUNDUP(1.2*F67,0)),IF(AA67="",TRUE,AA67&lt;=ROUNDUP(1.2*F67,0)),IF(AE67="",TRUE,AE67&lt;=ROUNDUP(1.2*F67,0)),IF(AI67="",TRUE,AI67&lt;=ROUNDUP(1.2*F67,0)),IF(AM67="",TRUE,AM67&lt;=ROUNDUP(1.2*F67,0)),IF(AQ67="",TRUE,AQ67&lt;=ROUNDUP(1.2*F67,0)),IF(AU67="",TRUE,AU67&lt;=ROUNDUP(1.2*F67,0))),IF(F67=0,0,(IF(SUM(I67,M67,Q67,U67,Y67,AC67,AG67,AK67,AO67,AS67,AW67)=0,0,SMALL((I67,M67,Q67,U67,Y67,AC67,AG67,AK67,AO67,AS67,AW67),COUNTIF((I67:AW67),0)+1)))),IF(BE67=J67,I67,IF(BE67=N67,M67,IF(BE67=R67,Q67,IF(BE67=V67,U67,IF(BE67=Z67,Y67,IF(BE67=AD67,AC67,IF(BE67=AH67,AG67,IF(BE67=AL67,AK67,IF(BE67=AP67,AO67,IF(BE67=AT67,AS67,IF(BE67=AX67,AW67))))))))))))))</f>
        <v>0</v>
      </c>
      <c r="BE67" s="714">
        <f>IF(F67="Indg",0,IF(F67="TEC Del",0,IF(AND(IF(G67="",TRUE,G67&lt;=ROUNDUP(1.2*F67,0)),IF(K67="",TRUE,K67&lt;=ROUNDUP(1.2*F67,0)),IF(O67="",TRUE,O67&lt;=ROUNDUP(1.2*F67,0)),IF(S67="",TRUE,S67&lt;=ROUNDUP(1.2*F67,0)),IF(W67="",TRUE,W67&lt;=ROUNDUP(1.2*F67,0)),IF(AA67="",TRUE,AA67&lt;=ROUNDUP(1.2*F67,0)),IF(AE67="",TRUE,AE67&lt;=ROUNDUP(1.2*F67,0)),IF(AI67="",TRUE,AI67&lt;=ROUNDUP(1.2*F67,0)),IF(AM67="",TRUE,AM67&lt;=ROUNDUP(1.2*F67,0)),IF(AQ67="",TRUE,AQ67&lt;=ROUNDUP(1.2*F67,0)),IF(AU67="",TRUE,AU67&lt;=ROUNDUP(1.2*F67,0))),ROUND(BD67*IF(BD67=I67,G67,IF(BD67=M67,K67,IF(BD67=Q67,O67,IF(BD67=U67,S67,IF(BD67=Y67,W67,IF(BD67=AC67,AA67,IF(BD67=AG67,AE67,IF(BD67=AK67,AI67,IF(BD67=AO67,AM67,IF(BD67=AS67,AQ67,IF(BD67=AW67,AU67))))))))))),2),(IF(SUM(J67,N67,R67,V67,Z67,AD67,AH67,AL67,AP67,AT67,AX67)=0,0,SMALL((J67,N67,R67,V67,Z67,AD67,AH67,AL67,AP67,AT67,AX67),COUNTIF((J67:AX67),0)+1))))))</f>
        <v>0</v>
      </c>
      <c r="BF67" s="714">
        <f>IF('Annexure-I'!L64="",'Annexure-I'!F64,'Annexure-I'!L64)</f>
        <v>16917.419999999998</v>
      </c>
      <c r="BG67" s="714" t="str">
        <f>IF('Annexure-I'!M64="",'Annexure-I'!G64,'Annexure-I'!M64)</f>
        <v>CONTRACT-A63</v>
      </c>
      <c r="BH67" s="764">
        <f>IF('Annexure-I'!N64="",'Annexure-I'!H64,'Annexure-I'!N64)</f>
        <v>41789</v>
      </c>
      <c r="BI67" s="717">
        <f>IF('Annexure-I'!P64="",'Annexure-I'!J64,'Annexure-I'!P64)</f>
        <v>27846.74</v>
      </c>
      <c r="BJ67" s="717">
        <f>IF('Annexure-I'!Q64="",'Annexure-I'!K64,'Annexure-I'!Q64)</f>
        <v>3048334.5086332802</v>
      </c>
      <c r="BK67" s="714">
        <f>'Annexure-I'!F64</f>
        <v>16917.419999999998</v>
      </c>
      <c r="BL67" s="718" t="str">
        <f>'Annexure-I'!G64</f>
        <v>CONTRACT-A63</v>
      </c>
      <c r="BM67" s="764">
        <f>IF('Annexure-I'!H64=0,"",'Annexure-I'!H64)</f>
        <v>41789</v>
      </c>
      <c r="BN67" s="717">
        <f>'Annexure-I'!J64</f>
        <v>27846.74</v>
      </c>
      <c r="BO67" s="717">
        <f>'Annexure-I'!K64</f>
        <v>3048334.5086332802</v>
      </c>
      <c r="BP67" s="714">
        <f>IF(OR(AY67="EST",AY67="ADRYS"),ROUND((BC67*1.18)/(1.3224*Form!$D$10),2),BC67)</f>
        <v>0</v>
      </c>
      <c r="BQ67" s="714">
        <f>ROUND(BS67/(1.3224*Form!$D$10),2)</f>
        <v>0</v>
      </c>
      <c r="BR67" s="714">
        <f t="shared" si="24"/>
        <v>0</v>
      </c>
      <c r="BS67" s="714">
        <f t="shared" si="25"/>
        <v>0</v>
      </c>
      <c r="BT67" s="719">
        <f t="shared" si="26"/>
        <v>0</v>
      </c>
      <c r="BU67" s="714"/>
      <c r="BV67" s="714">
        <f t="shared" si="8"/>
        <v>0</v>
      </c>
      <c r="BW67" s="714">
        <f>IF(OR(AY67="EST",AY67="ADRYS"),ROUND(1.18*BU67,2),ROUND(BU67*1.3224*Form!$D$10,2))</f>
        <v>0</v>
      </c>
      <c r="BX67" s="714">
        <f t="shared" si="9"/>
        <v>0</v>
      </c>
      <c r="BY67" s="719">
        <f t="shared" si="10"/>
        <v>0</v>
      </c>
      <c r="BZ67" s="714">
        <f t="shared" si="11"/>
        <v>12193338.029999999</v>
      </c>
      <c r="CA67" s="720"/>
      <c r="CB67" s="720"/>
      <c r="CC67" s="4"/>
      <c r="CD67" s="4"/>
      <c r="CE67" s="4"/>
      <c r="CF67" s="4"/>
      <c r="CG67" s="4"/>
      <c r="CH67" s="4"/>
      <c r="CI67" s="721"/>
      <c r="CJ67" s="645"/>
      <c r="CK67" s="592"/>
    </row>
    <row r="68" spans="1:96" s="579" customFormat="1" ht="45" x14ac:dyDescent="0.25">
      <c r="A68" s="712">
        <f>SUBTOTAL(2,$B$5:B68)</f>
        <v>64</v>
      </c>
      <c r="B68" s="754">
        <v>64</v>
      </c>
      <c r="C68" s="756" t="s">
        <v>732</v>
      </c>
      <c r="D68" s="755" t="s">
        <v>613</v>
      </c>
      <c r="E68" s="754">
        <v>4</v>
      </c>
      <c r="F68" s="658">
        <f>'Annexure-I'!E65</f>
        <v>4</v>
      </c>
      <c r="G68" s="784" t="str">
        <f>IF('CST-Calculation'!G68=0,"",'CST-Calculation'!G68)</f>
        <v/>
      </c>
      <c r="H68" s="784" t="str">
        <f>IF('CST-Calculation'!H68=0,"",'CST-Calculation'!H68)</f>
        <v/>
      </c>
      <c r="I68" s="714" t="str">
        <f>IF(G68="","",IF(H68="TEC Rejected","",IF(H68="","",ROUND(1.3224*Form!$D$10*H68,2))))</f>
        <v/>
      </c>
      <c r="J68" s="714" t="str">
        <f t="shared" si="0"/>
        <v/>
      </c>
      <c r="K68" s="713" t="str">
        <f>IF(L68="","",IF('CST-Calculation'!$F68="Indg","",IF('CST-Calculation'!$F68="TEC Del","",IF('CST-Calculation'!K68&gt;0,'CST-Calculation'!K68,IF('CST-Calculation'!$F68=0,"",'CST-Calculation'!$F68)))))</f>
        <v/>
      </c>
      <c r="L68" s="714" t="str">
        <f>IF('CST-Calculation'!L68=0,"",'CST-Calculation'!L68)</f>
        <v/>
      </c>
      <c r="M68" s="714" t="str">
        <f>IF(K68="","",IF(L68="TEC Rejected","",IF(L68="","",ROUND(1.3224*Form!$D$10*L68,2))))</f>
        <v/>
      </c>
      <c r="N68" s="714" t="str">
        <f t="shared" si="1"/>
        <v/>
      </c>
      <c r="O68" s="89" t="str">
        <f>IF(P68="","",IF('CST-Calculation'!$F68="Indg","",IF('CST-Calculation'!$F68="TEC Del","",IF('CST-Calculation'!O68&gt;0,'CST-Calculation'!O68,IF('CST-Calculation'!$F68=0,"",'CST-Calculation'!$F68)))))</f>
        <v/>
      </c>
      <c r="P68" s="714" t="str">
        <f>IF('CST-Calculation'!P68=0,"",'CST-Calculation'!P68)</f>
        <v/>
      </c>
      <c r="Q68" s="714" t="str">
        <f>IF(O68="","",IF(P68="TEC Rejected","",IF(P68="","",ROUND(1.3224*Form!$D$10*P68,2))))</f>
        <v/>
      </c>
      <c r="R68" s="714" t="str">
        <f t="shared" si="2"/>
        <v/>
      </c>
      <c r="S68" s="89" t="str">
        <f>IF(T68="","",IF('CST-Calculation'!$F68="Indg","",IF('CST-Calculation'!$F68="TEC Del","",IF('CST-Calculation'!S68&gt;0,'CST-Calculation'!S68,IF('CST-Calculation'!$F68=0,"",'CST-Calculation'!$F68)))))</f>
        <v/>
      </c>
      <c r="T68" s="714" t="str">
        <f>IF('CST-Calculation'!T68=0,"",'CST-Calculation'!T68)</f>
        <v/>
      </c>
      <c r="U68" s="714" t="str">
        <f>IF(S68="","",IF(T68="TEC Rejected","",IF(T68="","",ROUND(1.3224*Form!$D$10*T68,2))))</f>
        <v/>
      </c>
      <c r="V68" s="714" t="str">
        <f t="shared" si="3"/>
        <v/>
      </c>
      <c r="W68" s="713" t="str">
        <f>IF(X68="","",IF('CST-Calculation'!$F68="Indg","",IF('CST-Calculation'!$F68="TEC Del","",IF('CST-Calculation'!W68&gt;0,'CST-Calculation'!W68,IF('CST-Calculation'!$F68=0,"",'CST-Calculation'!$F68)))))</f>
        <v/>
      </c>
      <c r="X68" s="714" t="str">
        <f>IF('CST-Calculation'!X68=0,"",'CST-Calculation'!X68)</f>
        <v/>
      </c>
      <c r="Y68" s="714" t="str">
        <f>IF(W68="","",IF(X68="TEC Rejected","",IF(X68="","",ROUND(1.3224*Form!$D$10*X68,2))))</f>
        <v/>
      </c>
      <c r="Z68" s="714" t="str">
        <f t="shared" si="12"/>
        <v/>
      </c>
      <c r="AA68" s="713" t="str">
        <f>IF(AB68="","",IF('CST-Calculation'!$F68="Indg","",IF('CST-Calculation'!$F68="TEC Del","",IF('CST-Calculation'!AA68&gt;0,'CST-Calculation'!AA68,IF('CST-Calculation'!$F68=0,"",'CST-Calculation'!$F68)))))</f>
        <v/>
      </c>
      <c r="AB68" s="714" t="str">
        <f>IF('CST-Calculation'!AB68=0,"",'CST-Calculation'!AB68)</f>
        <v/>
      </c>
      <c r="AC68" s="714" t="str">
        <f t="shared" si="13"/>
        <v/>
      </c>
      <c r="AD68" s="714" t="str">
        <f t="shared" si="14"/>
        <v/>
      </c>
      <c r="AE68" s="713" t="str">
        <f>IF(AF68="","",IF('CST-Calculation'!$F68="Indg","",IF('CST-Calculation'!$F68="TEC Del","",IF('CST-Calculation'!AE68&gt;0,'CST-Calculation'!AE68,IF('CST-Calculation'!$F68=0,"",'CST-Calculation'!$F68)))))</f>
        <v/>
      </c>
      <c r="AF68" s="714" t="str">
        <f>IF('CST-Calculation'!AF68=0,"",'CST-Calculation'!AF68)</f>
        <v/>
      </c>
      <c r="AG68" s="714" t="str">
        <f>IF(AE68="","",IF(AF68="TEC Rejected","",IF(AF68="","",ROUND(1.3224*Form!$D$10*AF68,2))))</f>
        <v/>
      </c>
      <c r="AH68" s="714" t="str">
        <f t="shared" si="15"/>
        <v/>
      </c>
      <c r="AI68" s="713" t="str">
        <f>IF(AJ68="","",IF('CST-Calculation'!$F68="Indg","",IF('CST-Calculation'!$F68="TEC Del","",IF('CST-Calculation'!AI68&gt;0,'CST-Calculation'!AI68,IF('CST-Calculation'!$F68=0,"",'CST-Calculation'!$F68)))))</f>
        <v/>
      </c>
      <c r="AJ68" s="714" t="str">
        <f>IF('CST-Calculation'!AJ68=0,"",'CST-Calculation'!AJ68)</f>
        <v/>
      </c>
      <c r="AK68" s="714" t="str">
        <f t="shared" si="16"/>
        <v/>
      </c>
      <c r="AL68" s="714" t="str">
        <f t="shared" si="17"/>
        <v/>
      </c>
      <c r="AM68" s="713" t="str">
        <f>IF(AN68="","",IF('CST-Calculation'!$F68="Indg","",IF('CST-Calculation'!$F68="TEC Del","",IF('CST-Calculation'!AM68&gt;0,'CST-Calculation'!AM68,IF('CST-Calculation'!$F68=0,"",'CST-Calculation'!$F68)))))</f>
        <v/>
      </c>
      <c r="AN68" s="714" t="str">
        <f>IF('CST-Calculation'!AN68=0,"",'CST-Calculation'!AN68)</f>
        <v/>
      </c>
      <c r="AO68" s="714" t="str">
        <f>IF(AM68="","",IF(AN68="TEC Rejected","",IF(AN68="","",ROUND(1.3224*Form!$D$10*AN68,2))))</f>
        <v/>
      </c>
      <c r="AP68" s="714" t="str">
        <f t="shared" si="18"/>
        <v/>
      </c>
      <c r="AQ68" s="713" t="str">
        <f>IF(AR68="","",IF('CST-Calculation'!$F68="Indg","",IF('CST-Calculation'!$F68="TEC Del","",IF('CST-Calculation'!AQ68&gt;0,'CST-Calculation'!AQ68,IF('CST-Calculation'!$F68=0,"",'CST-Calculation'!$F68)))))</f>
        <v/>
      </c>
      <c r="AR68" s="714" t="str">
        <f>IF('CST-Calculation'!AR68=0,"",'CST-Calculation'!AR68)</f>
        <v/>
      </c>
      <c r="AS68" s="714" t="str">
        <f>IF(AQ68="","",IF(AR68="TEC Rejected","",IF(AR68="","",ROUND(1.3224*Form!$D$10*AR68,2))))</f>
        <v/>
      </c>
      <c r="AT68" s="714" t="str">
        <f t="shared" si="19"/>
        <v/>
      </c>
      <c r="AU68" s="713" t="str">
        <f>IF(AV68="","",IF('CST-Calculation'!$F68="Indg","",IF('CST-Calculation'!$F68="TEC Del","",IF('CST-Calculation'!AU68&gt;0,'CST-Calculation'!AU68,IF('CST-Calculation'!$F68=0,"",'CST-Calculation'!$F68)))))</f>
        <v/>
      </c>
      <c r="AV68" s="714" t="str">
        <f>IF('CST-Calculation'!AV68=0,"",'CST-Calculation'!AV68)</f>
        <v/>
      </c>
      <c r="AW68" s="714" t="str">
        <f>IF(AU68="","",IF(AV68="TEC Rejected","",IF(AV68="","",ROUND(1.3224*Form!$D$10*AV68,2))))</f>
        <v/>
      </c>
      <c r="AX68" s="714" t="str">
        <f t="shared" si="20"/>
        <v/>
      </c>
      <c r="AY68" s="715" t="str">
        <f t="shared" si="21"/>
        <v>NO OFFER</v>
      </c>
      <c r="AZ68" s="716" t="str">
        <f t="shared" si="22"/>
        <v>NO OFFER</v>
      </c>
      <c r="BA68" s="716" t="str">
        <f t="shared" si="23"/>
        <v>&lt;= 20%</v>
      </c>
      <c r="BB68" s="716">
        <f>IF(AY68="EST",ROUND(BD68/1.18,2),IF(AY68="ADRYS",ROUND(BD68/1.18,2),ROUND(BD68/(1.3224*Form!$D$10),2)))</f>
        <v>0</v>
      </c>
      <c r="BC68" s="784">
        <f>IF(OR(AY68="EST",AY68="ADRYS"),ROUND(BE68/1.18,2),ROUND(BE68/(1.3224*Form!$D$10),2))</f>
        <v>0</v>
      </c>
      <c r="BD68" s="717">
        <f>IF(F68="Indg",0,IF(F68="TEC Del",0,IF(AND(IF(G68="",TRUE,G68&lt;=ROUNDUP(1.2*F68,0)),IF(K68="",TRUE,K68&lt;=ROUNDUP(1.2*F68,0)),IF(O68="",TRUE,O68&lt;=ROUNDUP(1.2*F68,0)),IF(S68="",TRUE,S68&lt;=ROUNDUP(1.2*F68,0)),IF(W68="",TRUE,W68&lt;=ROUNDUP(1.2*F68,0)),IF(AA68="",TRUE,AA68&lt;=ROUNDUP(1.2*F68,0)),IF(AE68="",TRUE,AE68&lt;=ROUNDUP(1.2*F68,0)),IF(AI68="",TRUE,AI68&lt;=ROUNDUP(1.2*F68,0)),IF(AM68="",TRUE,AM68&lt;=ROUNDUP(1.2*F68,0)),IF(AQ68="",TRUE,AQ68&lt;=ROUNDUP(1.2*F68,0)),IF(AU68="",TRUE,AU68&lt;=ROUNDUP(1.2*F68,0))),IF(F68=0,0,(IF(SUM(I68,M68,Q68,U68,Y68,AC68,AG68,AK68,AO68,AS68,AW68)=0,0,SMALL((I68,M68,Q68,U68,Y68,AC68,AG68,AK68,AO68,AS68,AW68),COUNTIF((I68:AW68),0)+1)))),IF(BE68=J68,I68,IF(BE68=N68,M68,IF(BE68=R68,Q68,IF(BE68=V68,U68,IF(BE68=Z68,Y68,IF(BE68=AD68,AC68,IF(BE68=AH68,AG68,IF(BE68=AL68,AK68,IF(BE68=AP68,AO68,IF(BE68=AT68,AS68,IF(BE68=AX68,AW68))))))))))))))</f>
        <v>0</v>
      </c>
      <c r="BE68" s="714">
        <f>IF(F68="Indg",0,IF(F68="TEC Del",0,IF(AND(IF(G68="",TRUE,G68&lt;=ROUNDUP(1.2*F68,0)),IF(K68="",TRUE,K68&lt;=ROUNDUP(1.2*F68,0)),IF(O68="",TRUE,O68&lt;=ROUNDUP(1.2*F68,0)),IF(S68="",TRUE,S68&lt;=ROUNDUP(1.2*F68,0)),IF(W68="",TRUE,W68&lt;=ROUNDUP(1.2*F68,0)),IF(AA68="",TRUE,AA68&lt;=ROUNDUP(1.2*F68,0)),IF(AE68="",TRUE,AE68&lt;=ROUNDUP(1.2*F68,0)),IF(AI68="",TRUE,AI68&lt;=ROUNDUP(1.2*F68,0)),IF(AM68="",TRUE,AM68&lt;=ROUNDUP(1.2*F68,0)),IF(AQ68="",TRUE,AQ68&lt;=ROUNDUP(1.2*F68,0)),IF(AU68="",TRUE,AU68&lt;=ROUNDUP(1.2*F68,0))),ROUND(BD68*IF(BD68=I68,G68,IF(BD68=M68,K68,IF(BD68=Q68,O68,IF(BD68=U68,S68,IF(BD68=Y68,W68,IF(BD68=AC68,AA68,IF(BD68=AG68,AE68,IF(BD68=AK68,AI68,IF(BD68=AO68,AM68,IF(BD68=AS68,AQ68,IF(BD68=AW68,AU68))))))))))),2),(IF(SUM(J68,N68,R68,V68,Z68,AD68,AH68,AL68,AP68,AT68,AX68)=0,0,SMALL((J68,N68,R68,V68,Z68,AD68,AH68,AL68,AP68,AT68,AX68),COUNTIF((J68:AX68),0)+1))))))</f>
        <v>0</v>
      </c>
      <c r="BF68" s="714">
        <f>IF('Annexure-I'!L65="",'Annexure-I'!F65,'Annexure-I'!L65)</f>
        <v>16957.400000000001</v>
      </c>
      <c r="BG68" s="714" t="str">
        <f>IF('Annexure-I'!M65="",'Annexure-I'!G65,'Annexure-I'!M65)</f>
        <v>CONTRACT-A64</v>
      </c>
      <c r="BH68" s="764">
        <f>IF('Annexure-I'!N65="",'Annexure-I'!H65,'Annexure-I'!N65)</f>
        <v>41789</v>
      </c>
      <c r="BI68" s="717">
        <f>IF('Annexure-I'!P65="",'Annexure-I'!J65,'Annexure-I'!P65)</f>
        <v>27912.55</v>
      </c>
      <c r="BJ68" s="717">
        <f>IF('Annexure-I'!Q65="",'Annexure-I'!K65,'Annexure-I'!Q65)</f>
        <v>3055538.6156136002</v>
      </c>
      <c r="BK68" s="714">
        <f>'Annexure-I'!F65</f>
        <v>16957.400000000001</v>
      </c>
      <c r="BL68" s="718" t="str">
        <f>'Annexure-I'!G65</f>
        <v>CONTRACT-A64</v>
      </c>
      <c r="BM68" s="764">
        <f>IF('Annexure-I'!H65=0,"",'Annexure-I'!H65)</f>
        <v>41789</v>
      </c>
      <c r="BN68" s="717">
        <f>'Annexure-I'!J65</f>
        <v>27912.55</v>
      </c>
      <c r="BO68" s="717">
        <f>'Annexure-I'!K65</f>
        <v>3055538.6156136002</v>
      </c>
      <c r="BP68" s="714">
        <f>IF(OR(AY68="EST",AY68="ADRYS"),ROUND((BC68*1.18)/(1.3224*Form!$D$10),2),BC68)</f>
        <v>0</v>
      </c>
      <c r="BQ68" s="714">
        <f>ROUND(BS68/(1.3224*Form!$D$10),2)</f>
        <v>0</v>
      </c>
      <c r="BR68" s="714">
        <f t="shared" si="24"/>
        <v>0</v>
      </c>
      <c r="BS68" s="714">
        <f t="shared" si="25"/>
        <v>0</v>
      </c>
      <c r="BT68" s="719">
        <f t="shared" si="26"/>
        <v>0</v>
      </c>
      <c r="BU68" s="714"/>
      <c r="BV68" s="714">
        <f t="shared" si="8"/>
        <v>0</v>
      </c>
      <c r="BW68" s="714">
        <f>IF(OR(AY68="EST",AY68="ADRYS"),ROUND(1.18*BU68,2),ROUND(BU68*1.3224*Form!$D$10,2))</f>
        <v>0</v>
      </c>
      <c r="BX68" s="714">
        <f t="shared" si="9"/>
        <v>0</v>
      </c>
      <c r="BY68" s="719">
        <f t="shared" si="10"/>
        <v>0</v>
      </c>
      <c r="BZ68" s="714">
        <f t="shared" si="11"/>
        <v>12222154.460000001</v>
      </c>
      <c r="CA68" s="720"/>
      <c r="CB68" s="720"/>
      <c r="CC68" s="4"/>
      <c r="CD68" s="4"/>
      <c r="CE68" s="4"/>
      <c r="CF68" s="4"/>
      <c r="CG68" s="4"/>
      <c r="CH68" s="4"/>
      <c r="CI68" s="721"/>
    </row>
    <row r="69" spans="1:96" s="579" customFormat="1" ht="45" x14ac:dyDescent="0.25">
      <c r="A69" s="712">
        <f>SUBTOTAL(2,$B$5:B69)</f>
        <v>65</v>
      </c>
      <c r="B69" s="754">
        <v>65</v>
      </c>
      <c r="C69" s="755" t="s">
        <v>733</v>
      </c>
      <c r="D69" s="755" t="s">
        <v>614</v>
      </c>
      <c r="E69" s="754">
        <v>4</v>
      </c>
      <c r="F69" s="658">
        <f>'Annexure-I'!E66</f>
        <v>4</v>
      </c>
      <c r="G69" s="784" t="str">
        <f>IF('CST-Calculation'!G69=0,"",'CST-Calculation'!G69)</f>
        <v/>
      </c>
      <c r="H69" s="784" t="str">
        <f>IF('CST-Calculation'!H69=0,"",'CST-Calculation'!H69)</f>
        <v/>
      </c>
      <c r="I69" s="714" t="str">
        <f>IF(G69="","",IF(H69="TEC Rejected","",IF(H69="","",ROUND(1.3224*Form!$D$10*H69,2))))</f>
        <v/>
      </c>
      <c r="J69" s="714" t="str">
        <f t="shared" ref="J69:J89" si="29">IF(G69="","",IF(H69="TEC Rejected","",IF(H69="","",ROUND(G69*I69,2))))</f>
        <v/>
      </c>
      <c r="K69" s="713" t="str">
        <f>IF(L69="","",IF('CST-Calculation'!$F69="Indg","",IF('CST-Calculation'!$F69="TEC Del","",IF('CST-Calculation'!K69&gt;0,'CST-Calculation'!K69,IF('CST-Calculation'!$F69=0,"",'CST-Calculation'!$F69)))))</f>
        <v/>
      </c>
      <c r="L69" s="714" t="str">
        <f>IF('CST-Calculation'!L69=0,"",'CST-Calculation'!L69)</f>
        <v/>
      </c>
      <c r="M69" s="714" t="str">
        <f>IF(K69="","",IF(L69="TEC Rejected","",IF(L69="","",ROUND(1.3224*Form!$D$10*L69,2))))</f>
        <v/>
      </c>
      <c r="N69" s="714" t="str">
        <f t="shared" ref="N69:N89" si="30">IF(K69="","",IF(L69="TEC Rejected","",IF(L69="","",ROUND(K69*M69,2))))</f>
        <v/>
      </c>
      <c r="O69" s="89" t="str">
        <f>IF(P69="","",IF('CST-Calculation'!$F69="Indg","",IF('CST-Calculation'!$F69="TEC Del","",IF('CST-Calculation'!O69&gt;0,'CST-Calculation'!O69,IF('CST-Calculation'!$F69=0,"",'CST-Calculation'!$F69)))))</f>
        <v/>
      </c>
      <c r="P69" s="714" t="str">
        <f>IF('CST-Calculation'!P69=0,"",'CST-Calculation'!P69)</f>
        <v/>
      </c>
      <c r="Q69" s="714" t="str">
        <f>IF(O69="","",IF(P69="TEC Rejected","",IF(P69="","",ROUND(1.3224*Form!$D$10*P69,2))))</f>
        <v/>
      </c>
      <c r="R69" s="714" t="str">
        <f t="shared" ref="R69:R89" si="31">IF(O69="","",IF(P69="TEC Rejected","",IF(P69="","",ROUND(O69*Q69,2))))</f>
        <v/>
      </c>
      <c r="S69" s="89" t="str">
        <f>IF(T69="","",IF('CST-Calculation'!$F69="Indg","",IF('CST-Calculation'!$F69="TEC Del","",IF('CST-Calculation'!S69&gt;0,'CST-Calculation'!S69,IF('CST-Calculation'!$F69=0,"",'CST-Calculation'!$F69)))))</f>
        <v/>
      </c>
      <c r="T69" s="714" t="str">
        <f>IF('CST-Calculation'!T69=0,"",'CST-Calculation'!T69)</f>
        <v/>
      </c>
      <c r="U69" s="714" t="str">
        <f>IF(S69="","",IF(T69="TEC Rejected","",IF(T69="","",ROUND(1.3224*Form!$D$10*T69,2))))</f>
        <v/>
      </c>
      <c r="V69" s="714" t="str">
        <f t="shared" ref="V69:V89" si="32">IF(S69="","",IF(T69="TEC Rejected","",IF(T69="","",ROUND(S69*U69,2))))</f>
        <v/>
      </c>
      <c r="W69" s="713" t="str">
        <f>IF(X69="","",IF('CST-Calculation'!$F69="Indg","",IF('CST-Calculation'!$F69="TEC Del","",IF('CST-Calculation'!W69&gt;0,'CST-Calculation'!W69,IF('CST-Calculation'!$F69=0,"",'CST-Calculation'!$F69)))))</f>
        <v/>
      </c>
      <c r="X69" s="714" t="str">
        <f>IF('CST-Calculation'!X69=0,"",'CST-Calculation'!X69)</f>
        <v/>
      </c>
      <c r="Y69" s="714" t="str">
        <f>IF(W69="","",IF(X69="TEC Rejected","",IF(X69="","",ROUND(1.3224*Form!$D$10*X69,2))))</f>
        <v/>
      </c>
      <c r="Z69" s="714" t="str">
        <f t="shared" si="12"/>
        <v/>
      </c>
      <c r="AA69" s="713" t="str">
        <f>IF(AB69="","",IF('CST-Calculation'!$F69="Indg","",IF('CST-Calculation'!$F69="TEC Del","",IF('CST-Calculation'!AA69&gt;0,'CST-Calculation'!AA69,IF('CST-Calculation'!$F69=0,"",'CST-Calculation'!$F69)))))</f>
        <v/>
      </c>
      <c r="AB69" s="714" t="str">
        <f>IF('CST-Calculation'!AB69=0,"",'CST-Calculation'!AB69)</f>
        <v/>
      </c>
      <c r="AC69" s="714" t="str">
        <f t="shared" si="13"/>
        <v/>
      </c>
      <c r="AD69" s="714" t="str">
        <f t="shared" si="14"/>
        <v/>
      </c>
      <c r="AE69" s="713" t="str">
        <f>IF(AF69="","",IF('CST-Calculation'!$F69="Indg","",IF('CST-Calculation'!$F69="TEC Del","",IF('CST-Calculation'!AE69&gt;0,'CST-Calculation'!AE69,IF('CST-Calculation'!$F69=0,"",'CST-Calculation'!$F69)))))</f>
        <v/>
      </c>
      <c r="AF69" s="714" t="str">
        <f>IF('CST-Calculation'!AF69=0,"",'CST-Calculation'!AF69)</f>
        <v/>
      </c>
      <c r="AG69" s="714" t="str">
        <f>IF(AE69="","",IF(AF69="TEC Rejected","",IF(AF69="","",ROUND(1.3224*Form!$D$10*AF69,2))))</f>
        <v/>
      </c>
      <c r="AH69" s="714" t="str">
        <f t="shared" si="15"/>
        <v/>
      </c>
      <c r="AI69" s="713" t="str">
        <f>IF(AJ69="","",IF('CST-Calculation'!$F69="Indg","",IF('CST-Calculation'!$F69="TEC Del","",IF('CST-Calculation'!AI69&gt;0,'CST-Calculation'!AI69,IF('CST-Calculation'!$F69=0,"",'CST-Calculation'!$F69)))))</f>
        <v/>
      </c>
      <c r="AJ69" s="714" t="str">
        <f>IF('CST-Calculation'!AJ69=0,"",'CST-Calculation'!AJ69)</f>
        <v/>
      </c>
      <c r="AK69" s="714" t="str">
        <f t="shared" si="16"/>
        <v/>
      </c>
      <c r="AL69" s="714" t="str">
        <f t="shared" si="17"/>
        <v/>
      </c>
      <c r="AM69" s="713" t="str">
        <f>IF(AN69="","",IF('CST-Calculation'!$F69="Indg","",IF('CST-Calculation'!$F69="TEC Del","",IF('CST-Calculation'!AM69&gt;0,'CST-Calculation'!AM69,IF('CST-Calculation'!$F69=0,"",'CST-Calculation'!$F69)))))</f>
        <v/>
      </c>
      <c r="AN69" s="714" t="str">
        <f>IF('CST-Calculation'!AN69=0,"",'CST-Calculation'!AN69)</f>
        <v/>
      </c>
      <c r="AO69" s="714" t="str">
        <f>IF(AM69="","",IF(AN69="TEC Rejected","",IF(AN69="","",ROUND(1.3224*Form!$D$10*AN69,2))))</f>
        <v/>
      </c>
      <c r="AP69" s="714" t="str">
        <f t="shared" si="18"/>
        <v/>
      </c>
      <c r="AQ69" s="713" t="str">
        <f>IF(AR69="","",IF('CST-Calculation'!$F69="Indg","",IF('CST-Calculation'!$F69="TEC Del","",IF('CST-Calculation'!AQ69&gt;0,'CST-Calculation'!AQ69,IF('CST-Calculation'!$F69=0,"",'CST-Calculation'!$F69)))))</f>
        <v/>
      </c>
      <c r="AR69" s="714" t="str">
        <f>IF('CST-Calculation'!AR69=0,"",'CST-Calculation'!AR69)</f>
        <v/>
      </c>
      <c r="AS69" s="714" t="str">
        <f>IF(AQ69="","",IF(AR69="TEC Rejected","",IF(AR69="","",ROUND(1.3224*Form!$D$10*AR69,2))))</f>
        <v/>
      </c>
      <c r="AT69" s="714" t="str">
        <f t="shared" si="19"/>
        <v/>
      </c>
      <c r="AU69" s="713" t="str">
        <f>IF(AV69="","",IF('CST-Calculation'!$F69="Indg","",IF('CST-Calculation'!$F69="TEC Del","",IF('CST-Calculation'!AU69&gt;0,'CST-Calculation'!AU69,IF('CST-Calculation'!$F69=0,"",'CST-Calculation'!$F69)))))</f>
        <v/>
      </c>
      <c r="AV69" s="714" t="str">
        <f>IF('CST-Calculation'!AV69=0,"",'CST-Calculation'!AV69)</f>
        <v/>
      </c>
      <c r="AW69" s="714" t="str">
        <f>IF(AU69="","",IF(AV69="TEC Rejected","",IF(AV69="","",ROUND(1.3224*Form!$D$10*AV69,2))))</f>
        <v/>
      </c>
      <c r="AX69" s="714" t="str">
        <f t="shared" si="20"/>
        <v/>
      </c>
      <c r="AY69" s="715" t="str">
        <f t="shared" si="21"/>
        <v>NO OFFER</v>
      </c>
      <c r="AZ69" s="716" t="str">
        <f t="shared" si="22"/>
        <v>NO OFFER</v>
      </c>
      <c r="BA69" s="716" t="str">
        <f t="shared" si="23"/>
        <v>&lt;= 20%</v>
      </c>
      <c r="BB69" s="716">
        <f>IF(AY69="EST",ROUND(BD69/1.18,2),IF(AY69="ADRYS",ROUND(BD69/1.18,2),ROUND(BD69/(1.3224*Form!$D$10),2)))</f>
        <v>0</v>
      </c>
      <c r="BC69" s="784">
        <f>IF(OR(AY69="EST",AY69="ADRYS"),ROUND(BE69/1.18,2),ROUND(BE69/(1.3224*Form!$D$10),2))</f>
        <v>0</v>
      </c>
      <c r="BD69" s="717">
        <f>IF(F69="Indg",0,IF(F69="TEC Del",0,IF(AND(IF(G69="",TRUE,G69&lt;=ROUNDUP(1.2*F69,0)),IF(K69="",TRUE,K69&lt;=ROUNDUP(1.2*F69,0)),IF(O69="",TRUE,O69&lt;=ROUNDUP(1.2*F69,0)),IF(S69="",TRUE,S69&lt;=ROUNDUP(1.2*F69,0)),IF(W69="",TRUE,W69&lt;=ROUNDUP(1.2*F69,0)),IF(AA69="",TRUE,AA69&lt;=ROUNDUP(1.2*F69,0)),IF(AE69="",TRUE,AE69&lt;=ROUNDUP(1.2*F69,0)),IF(AI69="",TRUE,AI69&lt;=ROUNDUP(1.2*F69,0)),IF(AM69="",TRUE,AM69&lt;=ROUNDUP(1.2*F69,0)),IF(AQ69="",TRUE,AQ69&lt;=ROUNDUP(1.2*F69,0)),IF(AU69="",TRUE,AU69&lt;=ROUNDUP(1.2*F69,0))),IF(F69=0,0,(IF(SUM(I69,M69,Q69,U69,Y69,AC69,AG69,AK69,AO69,AS69,AW69)=0,0,SMALL((I69,M69,Q69,U69,Y69,AC69,AG69,AK69,AO69,AS69,AW69),COUNTIF((I69:AW69),0)+1)))),IF(BE69=J69,I69,IF(BE69=N69,M69,IF(BE69=R69,Q69,IF(BE69=V69,U69,IF(BE69=Z69,Y69,IF(BE69=AD69,AC69,IF(BE69=AH69,AG69,IF(BE69=AL69,AK69,IF(BE69=AP69,AO69,IF(BE69=AT69,AS69,IF(BE69=AX69,AW69))))))))))))))</f>
        <v>0</v>
      </c>
      <c r="BE69" s="714">
        <f>IF(F69="Indg",0,IF(F69="TEC Del",0,IF(AND(IF(G69="",TRUE,G69&lt;=ROUNDUP(1.2*F69,0)),IF(K69="",TRUE,K69&lt;=ROUNDUP(1.2*F69,0)),IF(O69="",TRUE,O69&lt;=ROUNDUP(1.2*F69,0)),IF(S69="",TRUE,S69&lt;=ROUNDUP(1.2*F69,0)),IF(W69="",TRUE,W69&lt;=ROUNDUP(1.2*F69,0)),IF(AA69="",TRUE,AA69&lt;=ROUNDUP(1.2*F69,0)),IF(AE69="",TRUE,AE69&lt;=ROUNDUP(1.2*F69,0)),IF(AI69="",TRUE,AI69&lt;=ROUNDUP(1.2*F69,0)),IF(AM69="",TRUE,AM69&lt;=ROUNDUP(1.2*F69,0)),IF(AQ69="",TRUE,AQ69&lt;=ROUNDUP(1.2*F69,0)),IF(AU69="",TRUE,AU69&lt;=ROUNDUP(1.2*F69,0))),ROUND(BD69*IF(BD69=I69,G69,IF(BD69=M69,K69,IF(BD69=Q69,O69,IF(BD69=U69,S69,IF(BD69=Y69,W69,IF(BD69=AC69,AA69,IF(BD69=AG69,AE69,IF(BD69=AK69,AI69,IF(BD69=AO69,AM69,IF(BD69=AS69,AQ69,IF(BD69=AW69,AU69))))))))))),2),(IF(SUM(J69,N69,R69,V69,Z69,AD69,AH69,AL69,AP69,AT69,AX69)=0,0,SMALL((J69,N69,R69,V69,Z69,AD69,AH69,AL69,AP69,AT69,AX69),COUNTIF((J69:AX69),0)+1))))))</f>
        <v>0</v>
      </c>
      <c r="BF69" s="714">
        <f>IF('Annexure-I'!L66="",'Annexure-I'!F66,'Annexure-I'!L66)</f>
        <v>16858.41</v>
      </c>
      <c r="BG69" s="714" t="str">
        <f>IF('Annexure-I'!M66="",'Annexure-I'!G66,'Annexure-I'!M66)</f>
        <v>CONTRACT-A65</v>
      </c>
      <c r="BH69" s="764">
        <f>IF('Annexure-I'!N66="",'Annexure-I'!H66,'Annexure-I'!N66)</f>
        <v>41789</v>
      </c>
      <c r="BI69" s="717">
        <f>IF('Annexure-I'!P66="",'Annexure-I'!J66,'Annexure-I'!P66)</f>
        <v>27749.599999999999</v>
      </c>
      <c r="BJ69" s="717">
        <f>IF('Annexure-I'!Q66="",'Annexure-I'!K66,'Annexure-I'!Q66)</f>
        <v>3037700.7606911995</v>
      </c>
      <c r="BK69" s="714">
        <f>'Annexure-I'!F66</f>
        <v>16858.41</v>
      </c>
      <c r="BL69" s="718" t="str">
        <f>'Annexure-I'!G66</f>
        <v>CONTRACT-A65</v>
      </c>
      <c r="BM69" s="764">
        <f>IF('Annexure-I'!H66=0,"",'Annexure-I'!H66)</f>
        <v>41789</v>
      </c>
      <c r="BN69" s="717">
        <f>'Annexure-I'!J66</f>
        <v>27749.599999999999</v>
      </c>
      <c r="BO69" s="717">
        <f>'Annexure-I'!K66</f>
        <v>3037700.7606911995</v>
      </c>
      <c r="BP69" s="714">
        <f>IF(OR(AY69="EST",AY69="ADRYS"),ROUND((BC69*1.18)/(1.3224*Form!$D$10),2),BC69)</f>
        <v>0</v>
      </c>
      <c r="BQ69" s="714">
        <f>ROUND(BS69/(1.3224*Form!$D$10),2)</f>
        <v>0</v>
      </c>
      <c r="BR69" s="714">
        <f t="shared" si="24"/>
        <v>0</v>
      </c>
      <c r="BS69" s="714">
        <f t="shared" si="25"/>
        <v>0</v>
      </c>
      <c r="BT69" s="719">
        <f t="shared" si="26"/>
        <v>0</v>
      </c>
      <c r="BU69" s="714"/>
      <c r="BV69" s="714">
        <f t="shared" ref="BV69:BV89" si="33">IF(F69="Indg",0,IF(F69="TEC Del",0,IF(CA69="Deleted",0,ROUND(F69*BU69,2))))</f>
        <v>0</v>
      </c>
      <c r="BW69" s="714">
        <f>IF(OR(AY69="EST",AY69="ADRYS"),ROUND(1.18*BU69,2),ROUND(BU69*1.3224*Form!$D$10,2))</f>
        <v>0</v>
      </c>
      <c r="BX69" s="714">
        <f t="shared" ref="BX69:BX89" si="34">IF(F69="Indg",0,IF(F69="TEC Del",0,IF(CA69="Deleted",0,ROUND(BW69*F69,2))))</f>
        <v>0</v>
      </c>
      <c r="BY69" s="719">
        <f>IF((BX69)=0,0,(BX69-BS69)/BS69)</f>
        <v>0</v>
      </c>
      <c r="BZ69" s="714">
        <f t="shared" ref="BZ69:BZ89" si="35">IF(CA69="Deleted",0,ROUND(BO69*F69,2))</f>
        <v>12150803.039999999</v>
      </c>
      <c r="CA69" s="720"/>
      <c r="CB69" s="726"/>
      <c r="CC69" s="4"/>
      <c r="CD69" s="4"/>
      <c r="CE69" s="4"/>
      <c r="CF69" s="4"/>
      <c r="CG69" s="4"/>
      <c r="CH69" s="4"/>
      <c r="CI69" s="721"/>
    </row>
    <row r="70" spans="1:96" s="579" customFormat="1" ht="45" x14ac:dyDescent="0.25">
      <c r="A70" s="712">
        <f>SUBTOTAL(2,$B$5:B70)</f>
        <v>66</v>
      </c>
      <c r="B70" s="754">
        <v>66</v>
      </c>
      <c r="C70" s="756" t="s">
        <v>734</v>
      </c>
      <c r="D70" s="755" t="s">
        <v>615</v>
      </c>
      <c r="E70" s="754">
        <v>5</v>
      </c>
      <c r="F70" s="658">
        <f>'Annexure-I'!E67</f>
        <v>5</v>
      </c>
      <c r="G70" s="784" t="str">
        <f>IF('CST-Calculation'!G70=0,"",'CST-Calculation'!G70)</f>
        <v/>
      </c>
      <c r="H70" s="784" t="str">
        <f>IF('CST-Calculation'!H70=0,"",'CST-Calculation'!H70)</f>
        <v/>
      </c>
      <c r="I70" s="714" t="str">
        <f>IF(G70="","",IF(H70="TEC Rejected","",IF(H70="","",ROUND(1.3224*Form!$D$10*H70,2))))</f>
        <v/>
      </c>
      <c r="J70" s="714" t="str">
        <f t="shared" si="29"/>
        <v/>
      </c>
      <c r="K70" s="713" t="str">
        <f>IF(L70="","",IF('CST-Calculation'!$F70="Indg","",IF('CST-Calculation'!$F70="TEC Del","",IF('CST-Calculation'!K70&gt;0,'CST-Calculation'!K70,IF('CST-Calculation'!$F70=0,"",'CST-Calculation'!$F70)))))</f>
        <v/>
      </c>
      <c r="L70" s="714" t="str">
        <f>IF('CST-Calculation'!L70=0,"",'CST-Calculation'!L70)</f>
        <v/>
      </c>
      <c r="M70" s="714" t="str">
        <f>IF(K70="","",IF(L70="TEC Rejected","",IF(L70="","",ROUND(1.3224*Form!$D$10*L70,2))))</f>
        <v/>
      </c>
      <c r="N70" s="714" t="str">
        <f t="shared" si="30"/>
        <v/>
      </c>
      <c r="O70" s="89" t="str">
        <f>IF(P70="","",IF('CST-Calculation'!$F70="Indg","",IF('CST-Calculation'!$F70="TEC Del","",IF('CST-Calculation'!O70&gt;0,'CST-Calculation'!O70,IF('CST-Calculation'!$F70=0,"",'CST-Calculation'!$F70)))))</f>
        <v/>
      </c>
      <c r="P70" s="714" t="str">
        <f>IF('CST-Calculation'!P70=0,"",'CST-Calculation'!P70)</f>
        <v/>
      </c>
      <c r="Q70" s="714" t="str">
        <f>IF(O70="","",IF(P70="TEC Rejected","",IF(P70="","",ROUND(1.3224*Form!$D$10*P70,2))))</f>
        <v/>
      </c>
      <c r="R70" s="714" t="str">
        <f t="shared" si="31"/>
        <v/>
      </c>
      <c r="S70" s="89" t="str">
        <f>IF(T70="","",IF('CST-Calculation'!$F70="Indg","",IF('CST-Calculation'!$F70="TEC Del","",IF('CST-Calculation'!S70&gt;0,'CST-Calculation'!S70,IF('CST-Calculation'!$F70=0,"",'CST-Calculation'!$F70)))))</f>
        <v/>
      </c>
      <c r="T70" s="714" t="str">
        <f>IF('CST-Calculation'!T70=0,"",'CST-Calculation'!T70)</f>
        <v/>
      </c>
      <c r="U70" s="714" t="str">
        <f>IF(S70="","",IF(T70="TEC Rejected","",IF(T70="","",ROUND(1.3224*Form!$D$10*T70,2))))</f>
        <v/>
      </c>
      <c r="V70" s="714" t="str">
        <f t="shared" si="32"/>
        <v/>
      </c>
      <c r="W70" s="713" t="str">
        <f>IF(X70="","",IF('CST-Calculation'!$F70="Indg","",IF('CST-Calculation'!$F70="TEC Del","",IF('CST-Calculation'!W70&gt;0,'CST-Calculation'!W70,IF('CST-Calculation'!$F70=0,"",'CST-Calculation'!$F70)))))</f>
        <v/>
      </c>
      <c r="X70" s="714" t="str">
        <f>IF('CST-Calculation'!X70=0,"",'CST-Calculation'!X70)</f>
        <v/>
      </c>
      <c r="Y70" s="714" t="str">
        <f>IF(W70="","",IF(X70="TEC Rejected","",IF(X70="","",ROUND(1.3224*Form!$D$10*X70,2))))</f>
        <v/>
      </c>
      <c r="Z70" s="714" t="str">
        <f t="shared" ref="Z70:Z89" si="36">IF(W70="","",IF(X70="TEC Rejected","",IF(X70="","",ROUND(W70*Y70,2))))</f>
        <v/>
      </c>
      <c r="AA70" s="713" t="str">
        <f>IF(AB70="","",IF('CST-Calculation'!$F70="Indg","",IF('CST-Calculation'!$F70="TEC Del","",IF('CST-Calculation'!AA70&gt;0,'CST-Calculation'!AA70,IF('CST-Calculation'!$F70=0,"",'CST-Calculation'!$F70)))))</f>
        <v/>
      </c>
      <c r="AB70" s="714" t="str">
        <f>IF('CST-Calculation'!AB70=0,"",'CST-Calculation'!AB70)</f>
        <v/>
      </c>
      <c r="AC70" s="714" t="str">
        <f t="shared" ref="AC70:AC89" si="37">IF(AA70="","",IF(AB70="TEC Rejected","",IF(AB70="","",ROUND(1.18*AB70,2))))</f>
        <v/>
      </c>
      <c r="AD70" s="714" t="str">
        <f t="shared" ref="AD70:AD89" si="38">IF(AA70="","",IF(AB70="TEC Rejected","",IF(AB70="","",ROUND(AA70*AC70,2))))</f>
        <v/>
      </c>
      <c r="AE70" s="713" t="str">
        <f>IF(AF70="","",IF('CST-Calculation'!$F70="Indg","",IF('CST-Calculation'!$F70="TEC Del","",IF('CST-Calculation'!AE70&gt;0,'CST-Calculation'!AE70,IF('CST-Calculation'!$F70=0,"",'CST-Calculation'!$F70)))))</f>
        <v/>
      </c>
      <c r="AF70" s="714" t="str">
        <f>IF('CST-Calculation'!AF70=0,"",'CST-Calculation'!AF70)</f>
        <v/>
      </c>
      <c r="AG70" s="714" t="str">
        <f>IF(AE70="","",IF(AF70="TEC Rejected","",IF(AF70="","",ROUND(1.3224*Form!$D$10*AF70,2))))</f>
        <v/>
      </c>
      <c r="AH70" s="714" t="str">
        <f t="shared" ref="AH70:AH89" si="39">IF(AE70="","",IF(AF70="TEC Rejected","",IF(AF70="","",ROUND(AE70*AG70,2))))</f>
        <v/>
      </c>
      <c r="AI70" s="713" t="str">
        <f>IF(AJ70="","",IF('CST-Calculation'!$F70="Indg","",IF('CST-Calculation'!$F70="TEC Del","",IF('CST-Calculation'!AI70&gt;0,'CST-Calculation'!AI70,IF('CST-Calculation'!$F70=0,"",'CST-Calculation'!$F70)))))</f>
        <v/>
      </c>
      <c r="AJ70" s="714" t="str">
        <f>IF('CST-Calculation'!AJ70=0,"",'CST-Calculation'!AJ70)</f>
        <v/>
      </c>
      <c r="AK70" s="714" t="str">
        <f t="shared" ref="AK70:AK89" si="40">IF(AI70="","",IF(AJ70="TEC Rejected","",IF(AJ70="","",ROUND(1.18*AJ70,2))))</f>
        <v/>
      </c>
      <c r="AL70" s="714" t="str">
        <f t="shared" ref="AL70:AL89" si="41">IF(AI70="","",IF(AJ70="TEC Rejected","",IF(AJ70="","",ROUND(AI70*AK70,2))))</f>
        <v/>
      </c>
      <c r="AM70" s="713" t="str">
        <f>IF(AN70="","",IF('CST-Calculation'!$F70="Indg","",IF('CST-Calculation'!$F70="TEC Del","",IF('CST-Calculation'!AM70&gt;0,'CST-Calculation'!AM70,IF('CST-Calculation'!$F70=0,"",'CST-Calculation'!$F70)))))</f>
        <v/>
      </c>
      <c r="AN70" s="714" t="str">
        <f>IF('CST-Calculation'!AN70=0,"",'CST-Calculation'!AN70)</f>
        <v/>
      </c>
      <c r="AO70" s="714" t="str">
        <f>IF(AM70="","",IF(AN70="TEC Rejected","",IF(AN70="","",ROUND(1.3224*Form!$D$10*AN70,2))))</f>
        <v/>
      </c>
      <c r="AP70" s="714" t="str">
        <f t="shared" ref="AP70:AP89" si="42">IF(AM70="","",IF(AN70="TEC Rejected","",IF(AN70="","",ROUND(AM70*AO70,2))))</f>
        <v/>
      </c>
      <c r="AQ70" s="713" t="str">
        <f>IF(AR70="","",IF('CST-Calculation'!$F70="Indg","",IF('CST-Calculation'!$F70="TEC Del","",IF('CST-Calculation'!AQ70&gt;0,'CST-Calculation'!AQ70,IF('CST-Calculation'!$F70=0,"",'CST-Calculation'!$F70)))))</f>
        <v/>
      </c>
      <c r="AR70" s="714" t="str">
        <f>IF('CST-Calculation'!AR70=0,"",'CST-Calculation'!AR70)</f>
        <v/>
      </c>
      <c r="AS70" s="714" t="str">
        <f>IF(AQ70="","",IF(AR70="TEC Rejected","",IF(AR70="","",ROUND(1.3224*Form!$D$10*AR70,2))))</f>
        <v/>
      </c>
      <c r="AT70" s="714" t="str">
        <f t="shared" ref="AT70:AT89" si="43">IF(AQ70="","",IF(AR70="TEC Rejected","",IF(AR70="","",ROUND(AQ70*AS70,2))))</f>
        <v/>
      </c>
      <c r="AU70" s="713" t="str">
        <f>IF(AV70="","",IF('CST-Calculation'!$F70="Indg","",IF('CST-Calculation'!$F70="TEC Del","",IF('CST-Calculation'!AU70&gt;0,'CST-Calculation'!AU70,IF('CST-Calculation'!$F70=0,"",'CST-Calculation'!$F70)))))</f>
        <v/>
      </c>
      <c r="AV70" s="714" t="str">
        <f>IF('CST-Calculation'!AV70=0,"",'CST-Calculation'!AV70)</f>
        <v/>
      </c>
      <c r="AW70" s="714" t="str">
        <f>IF(AU70="","",IF(AV70="TEC Rejected","",IF(AV70="","",ROUND(1.3224*Form!$D$10*AV70,2))))</f>
        <v/>
      </c>
      <c r="AX70" s="714" t="str">
        <f t="shared" ref="AX70:AX89" si="44">IF(AU70="","",IF(AV70="TEC Rejected","",IF(AV70="","",ROUND(AU70*AW70,2))))</f>
        <v/>
      </c>
      <c r="AY70" s="715" t="str">
        <f t="shared" ref="AY70:AY89" si="45">IF(F70="Indg","INDG",IF(F70="TEC Del","DELETED",IF(F70=0,"DELETED",IF(BD70=0,"NO OFFER",IF(BD70=I70,$H$3,IF(BD70=M70,$L$3,IF(BD70=Q70,$P$3,IF(BD70=U70,$T$3,IF(BD70=Y70,$X$3,IF(BD70=AC70,$AB$3,IF(BD70=AG70,$AF$3,IF(BD70=AK70,$AJ$3,IF(BD70=AO70,$AN$3,IF(BD70=AS70,$AR$3,IF(BD70=AW70,$AV$3)))))))))))))))</f>
        <v>NO OFFER</v>
      </c>
      <c r="AZ70" s="716" t="str">
        <f t="shared" ref="AZ70:AZ89" si="46">IF(F70=0,"DELETED",IF(COUNT(H70,L70,P70,T70,X70,AB70,AF70,AJ70,AN70,AR70,AV70)=0,"NO OFFER",IF(COUNT(H70,L70,P70,T70,X70,AB70,AF70,AJ70,AN70,AR70,AV70)=1,"SINGLE","MULTIPLE")))</f>
        <v>NO OFFER</v>
      </c>
      <c r="BA70" s="716" t="str">
        <f t="shared" ref="BA70:BA89" si="47">IF(AND(IF(G70="",TRUE,G70&lt;=ROUNDUP(1.2*F70,0)),IF(K70="",TRUE,K70&lt;=ROUNDUP(1.2*F70,0)),IF(O70="",TRUE,O70&lt;=ROUNDUP(1.2*F70,0)),IF(S70="",TRUE,S70&lt;=ROUNDUP(1.2*F70,0)),IF(W70="",TRUE,W70&lt;=ROUNDUP(1.2*F70,0)),IF(AA70="",TRUE,AA70&lt;=ROUNDUP(1.2*F70,0)),IF(AE70="",TRUE,AE70&lt;=ROUNDUP(1.2*F70,0)),IF(AI70="",TRUE,AI70&lt;=ROUNDUP(1.2*F70,0)),IF(AM70="",TRUE,AM70&lt;=ROUNDUP(1.2*F70,0)),IF(AQ70="",TRUE,AQ70&lt;=ROUNDUP(1.2*F70,0)),IF(AU70="",TRUE,AU70&lt;=ROUNDUP(1.2*F70,0))),"&lt;= 20%","&gt; 20%")</f>
        <v>&lt;= 20%</v>
      </c>
      <c r="BB70" s="716">
        <f>IF(AY70="EST",ROUND(BD70/1.18,2),IF(AY70="ADRYS",ROUND(BD70/1.18,2),ROUND(BD70/(1.3224*Form!$D$10),2)))</f>
        <v>0</v>
      </c>
      <c r="BC70" s="784">
        <f>IF(OR(AY70="EST",AY70="ADRYS"),ROUND(BE70/1.18,2),ROUND(BE70/(1.3224*Form!$D$10),2))</f>
        <v>0</v>
      </c>
      <c r="BD70" s="717">
        <f>IF(F70="Indg",0,IF(F70="TEC Del",0,IF(AND(IF(G70="",TRUE,G70&lt;=ROUNDUP(1.2*F70,0)),IF(K70="",TRUE,K70&lt;=ROUNDUP(1.2*F70,0)),IF(O70="",TRUE,O70&lt;=ROUNDUP(1.2*F70,0)),IF(S70="",TRUE,S70&lt;=ROUNDUP(1.2*F70,0)),IF(W70="",TRUE,W70&lt;=ROUNDUP(1.2*F70,0)),IF(AA70="",TRUE,AA70&lt;=ROUNDUP(1.2*F70,0)),IF(AE70="",TRUE,AE70&lt;=ROUNDUP(1.2*F70,0)),IF(AI70="",TRUE,AI70&lt;=ROUNDUP(1.2*F70,0)),IF(AM70="",TRUE,AM70&lt;=ROUNDUP(1.2*F70,0)),IF(AQ70="",TRUE,AQ70&lt;=ROUNDUP(1.2*F70,0)),IF(AU70="",TRUE,AU70&lt;=ROUNDUP(1.2*F70,0))),IF(F70=0,0,(IF(SUM(I70,M70,Q70,U70,Y70,AC70,AG70,AK70,AO70,AS70,AW70)=0,0,SMALL((I70,M70,Q70,U70,Y70,AC70,AG70,AK70,AO70,AS70,AW70),COUNTIF((I70:AW70),0)+1)))),IF(BE70=J70,I70,IF(BE70=N70,M70,IF(BE70=R70,Q70,IF(BE70=V70,U70,IF(BE70=Z70,Y70,IF(BE70=AD70,AC70,IF(BE70=AH70,AG70,IF(BE70=AL70,AK70,IF(BE70=AP70,AO70,IF(BE70=AT70,AS70,IF(BE70=AX70,AW70))))))))))))))</f>
        <v>0</v>
      </c>
      <c r="BE70" s="714">
        <f>IF(F70="Indg",0,IF(F70="TEC Del",0,IF(AND(IF(G70="",TRUE,G70&lt;=ROUNDUP(1.2*F70,0)),IF(K70="",TRUE,K70&lt;=ROUNDUP(1.2*F70,0)),IF(O70="",TRUE,O70&lt;=ROUNDUP(1.2*F70,0)),IF(S70="",TRUE,S70&lt;=ROUNDUP(1.2*F70,0)),IF(W70="",TRUE,W70&lt;=ROUNDUP(1.2*F70,0)),IF(AA70="",TRUE,AA70&lt;=ROUNDUP(1.2*F70,0)),IF(AE70="",TRUE,AE70&lt;=ROUNDUP(1.2*F70,0)),IF(AI70="",TRUE,AI70&lt;=ROUNDUP(1.2*F70,0)),IF(AM70="",TRUE,AM70&lt;=ROUNDUP(1.2*F70,0)),IF(AQ70="",TRUE,AQ70&lt;=ROUNDUP(1.2*F70,0)),IF(AU70="",TRUE,AU70&lt;=ROUNDUP(1.2*F70,0))),ROUND(BD70*IF(BD70=I70,G70,IF(BD70=M70,K70,IF(BD70=Q70,O70,IF(BD70=U70,S70,IF(BD70=Y70,W70,IF(BD70=AC70,AA70,IF(BD70=AG70,AE70,IF(BD70=AK70,AI70,IF(BD70=AO70,AM70,IF(BD70=AS70,AQ70,IF(BD70=AW70,AU70))))))))))),2),(IF(SUM(J70,N70,R70,V70,Z70,AD70,AH70,AL70,AP70,AT70,AX70)=0,0,SMALL((J70,N70,R70,V70,Z70,AD70,AH70,AL70,AP70,AT70,AX70),COUNTIF((J70:AX70),0)+1))))))</f>
        <v>0</v>
      </c>
      <c r="BF70" s="714">
        <f>IF('Annexure-I'!L67="",'Annexure-I'!F67,'Annexure-I'!L67)</f>
        <v>16782.25</v>
      </c>
      <c r="BG70" s="714" t="str">
        <f>IF('Annexure-I'!M67="",'Annexure-I'!G67,'Annexure-I'!M67)</f>
        <v>CONTRACT-A66</v>
      </c>
      <c r="BH70" s="764">
        <f>IF('Annexure-I'!N67="",'Annexure-I'!H67,'Annexure-I'!N67)</f>
        <v>41789</v>
      </c>
      <c r="BI70" s="717">
        <f>IF('Annexure-I'!P67="",'Annexure-I'!J67,'Annexure-I'!P67)</f>
        <v>27624.240000000002</v>
      </c>
      <c r="BJ70" s="717">
        <f>IF('Annexure-I'!Q67="",'Annexure-I'!K67,'Annexure-I'!Q67)</f>
        <v>3023977.8181132805</v>
      </c>
      <c r="BK70" s="714">
        <f>'Annexure-I'!F67</f>
        <v>16782.25</v>
      </c>
      <c r="BL70" s="718" t="str">
        <f>'Annexure-I'!G67</f>
        <v>CONTRACT-A66</v>
      </c>
      <c r="BM70" s="764">
        <f>IF('Annexure-I'!H67=0,"",'Annexure-I'!H67)</f>
        <v>41789</v>
      </c>
      <c r="BN70" s="717">
        <f>'Annexure-I'!J67</f>
        <v>27624.240000000002</v>
      </c>
      <c r="BO70" s="717">
        <f>'Annexure-I'!K67</f>
        <v>3023977.8181132805</v>
      </c>
      <c r="BP70" s="714">
        <f>IF(OR(AY70="EST",AY70="ADRYS"),ROUND((BC70*1.18)/(1.3224*Form!$D$10),2),BC70)</f>
        <v>0</v>
      </c>
      <c r="BQ70" s="714">
        <f>ROUND(BS70/(1.3224*Form!$D$10),2)</f>
        <v>0</v>
      </c>
      <c r="BR70" s="714">
        <f t="shared" ref="BR70:BR89" si="48">IF(AY70="DELETED",0,BE70)</f>
        <v>0</v>
      </c>
      <c r="BS70" s="714">
        <f t="shared" ref="BS70:BS89" si="49">IF(BR70=0,0,ROUND(IF($BQ$1="LPP",ROUND(BJ70*F70,2),ROUND(BO70*F70,2)),2))</f>
        <v>0</v>
      </c>
      <c r="BT70" s="719">
        <f t="shared" ref="BT70:BT89" si="50">IF(SUM(BR70:BS70)=0,0,(BR70-BS70)/BS70)</f>
        <v>0</v>
      </c>
      <c r="BU70" s="714"/>
      <c r="BV70" s="714">
        <f t="shared" si="33"/>
        <v>0</v>
      </c>
      <c r="BW70" s="714">
        <f>IF(OR(AY70="EST",AY70="ADRYS"),ROUND(1.18*BU70,2),ROUND(BU70*1.3224*Form!$D$10,2))</f>
        <v>0</v>
      </c>
      <c r="BX70" s="714">
        <f t="shared" si="34"/>
        <v>0</v>
      </c>
      <c r="BY70" s="719">
        <f t="shared" ref="BY70:BY89" si="51">IF((BX70)=0,0,(BX70-BS70)/BS70)</f>
        <v>0</v>
      </c>
      <c r="BZ70" s="714">
        <f t="shared" si="35"/>
        <v>15119889.09</v>
      </c>
      <c r="CA70" s="720"/>
      <c r="CB70" s="720"/>
      <c r="CC70" s="4"/>
      <c r="CD70" s="4"/>
      <c r="CE70" s="4"/>
      <c r="CF70" s="4"/>
      <c r="CG70" s="4"/>
      <c r="CH70" s="4"/>
      <c r="CI70" s="721"/>
      <c r="CR70" s="584"/>
    </row>
    <row r="71" spans="1:96" s="579" customFormat="1" ht="45" x14ac:dyDescent="0.25">
      <c r="A71" s="712">
        <f>SUBTOTAL(2,$B$5:B71)</f>
        <v>67</v>
      </c>
      <c r="B71" s="754">
        <v>67</v>
      </c>
      <c r="C71" s="755" t="s">
        <v>735</v>
      </c>
      <c r="D71" s="755" t="s">
        <v>616</v>
      </c>
      <c r="E71" s="754">
        <v>4</v>
      </c>
      <c r="F71" s="658">
        <f>'Annexure-I'!E68</f>
        <v>4</v>
      </c>
      <c r="G71" s="784" t="str">
        <f>IF('CST-Calculation'!G71=0,"",'CST-Calculation'!G71)</f>
        <v/>
      </c>
      <c r="H71" s="784" t="str">
        <f>IF('CST-Calculation'!H71=0,"",'CST-Calculation'!H71)</f>
        <v/>
      </c>
      <c r="I71" s="714" t="str">
        <f>IF(G71="","",IF(H71="TEC Rejected","",IF(H71="","",ROUND(1.3224*Form!$D$10*H71,2))))</f>
        <v/>
      </c>
      <c r="J71" s="714" t="str">
        <f t="shared" si="29"/>
        <v/>
      </c>
      <c r="K71" s="713" t="str">
        <f>IF(L71="","",IF('CST-Calculation'!$F71="Indg","",IF('CST-Calculation'!$F71="TEC Del","",IF('CST-Calculation'!K71&gt;0,'CST-Calculation'!K71,IF('CST-Calculation'!$F71=0,"",'CST-Calculation'!$F71)))))</f>
        <v/>
      </c>
      <c r="L71" s="714" t="str">
        <f>IF('CST-Calculation'!L71=0,"",'CST-Calculation'!L71)</f>
        <v/>
      </c>
      <c r="M71" s="714" t="str">
        <f>IF(K71="","",IF(L71="TEC Rejected","",IF(L71="","",ROUND(1.3224*Form!$D$10*L71,2))))</f>
        <v/>
      </c>
      <c r="N71" s="714" t="str">
        <f t="shared" si="30"/>
        <v/>
      </c>
      <c r="O71" s="89" t="str">
        <f>IF(P71="","",IF('CST-Calculation'!$F71="Indg","",IF('CST-Calculation'!$F71="TEC Del","",IF('CST-Calculation'!O71&gt;0,'CST-Calculation'!O71,IF('CST-Calculation'!$F71=0,"",'CST-Calculation'!$F71)))))</f>
        <v/>
      </c>
      <c r="P71" s="714" t="str">
        <f>IF('CST-Calculation'!P71=0,"",'CST-Calculation'!P71)</f>
        <v/>
      </c>
      <c r="Q71" s="714" t="str">
        <f>IF(O71="","",IF(P71="TEC Rejected","",IF(P71="","",ROUND(1.3224*Form!$D$10*P71,2))))</f>
        <v/>
      </c>
      <c r="R71" s="714" t="str">
        <f t="shared" si="31"/>
        <v/>
      </c>
      <c r="S71" s="89" t="str">
        <f>IF(T71="","",IF('CST-Calculation'!$F71="Indg","",IF('CST-Calculation'!$F71="TEC Del","",IF('CST-Calculation'!S71&gt;0,'CST-Calculation'!S71,IF('CST-Calculation'!$F71=0,"",'CST-Calculation'!$F71)))))</f>
        <v/>
      </c>
      <c r="T71" s="714" t="str">
        <f>IF('CST-Calculation'!T71=0,"",'CST-Calculation'!T71)</f>
        <v/>
      </c>
      <c r="U71" s="714" t="str">
        <f>IF(S71="","",IF(T71="TEC Rejected","",IF(T71="","",ROUND(1.3224*Form!$D$10*T71,2))))</f>
        <v/>
      </c>
      <c r="V71" s="714" t="str">
        <f t="shared" si="32"/>
        <v/>
      </c>
      <c r="W71" s="713" t="str">
        <f>IF(X71="","",IF('CST-Calculation'!$F71="Indg","",IF('CST-Calculation'!$F71="TEC Del","",IF('CST-Calculation'!W71&gt;0,'CST-Calculation'!W71,IF('CST-Calculation'!$F71=0,"",'CST-Calculation'!$F71)))))</f>
        <v/>
      </c>
      <c r="X71" s="714" t="str">
        <f>IF('CST-Calculation'!X71=0,"",'CST-Calculation'!X71)</f>
        <v/>
      </c>
      <c r="Y71" s="714" t="str">
        <f>IF(W71="","",IF(X71="TEC Rejected","",IF(X71="","",ROUND(1.3224*Form!$D$10*X71,2))))</f>
        <v/>
      </c>
      <c r="Z71" s="714" t="str">
        <f t="shared" si="36"/>
        <v/>
      </c>
      <c r="AA71" s="713" t="str">
        <f>IF(AB71="","",IF('CST-Calculation'!$F71="Indg","",IF('CST-Calculation'!$F71="TEC Del","",IF('CST-Calculation'!AA71&gt;0,'CST-Calculation'!AA71,IF('CST-Calculation'!$F71=0,"",'CST-Calculation'!$F71)))))</f>
        <v/>
      </c>
      <c r="AB71" s="714" t="str">
        <f>IF('CST-Calculation'!AB71=0,"",'CST-Calculation'!AB71)</f>
        <v/>
      </c>
      <c r="AC71" s="714" t="str">
        <f t="shared" si="37"/>
        <v/>
      </c>
      <c r="AD71" s="714" t="str">
        <f t="shared" si="38"/>
        <v/>
      </c>
      <c r="AE71" s="713" t="str">
        <f>IF(AF71="","",IF('CST-Calculation'!$F71="Indg","",IF('CST-Calculation'!$F71="TEC Del","",IF('CST-Calculation'!AE71&gt;0,'CST-Calculation'!AE71,IF('CST-Calculation'!$F71=0,"",'CST-Calculation'!$F71)))))</f>
        <v/>
      </c>
      <c r="AF71" s="714" t="str">
        <f>IF('CST-Calculation'!AF71=0,"",'CST-Calculation'!AF71)</f>
        <v/>
      </c>
      <c r="AG71" s="714" t="str">
        <f>IF(AE71="","",IF(AF71="TEC Rejected","",IF(AF71="","",ROUND(1.3224*Form!$D$10*AF71,2))))</f>
        <v/>
      </c>
      <c r="AH71" s="714" t="str">
        <f t="shared" si="39"/>
        <v/>
      </c>
      <c r="AI71" s="713" t="str">
        <f>IF(AJ71="","",IF('CST-Calculation'!$F71="Indg","",IF('CST-Calculation'!$F71="TEC Del","",IF('CST-Calculation'!AI71&gt;0,'CST-Calculation'!AI71,IF('CST-Calculation'!$F71=0,"",'CST-Calculation'!$F71)))))</f>
        <v/>
      </c>
      <c r="AJ71" s="714" t="str">
        <f>IF('CST-Calculation'!AJ71=0,"",'CST-Calculation'!AJ71)</f>
        <v/>
      </c>
      <c r="AK71" s="714" t="str">
        <f t="shared" si="40"/>
        <v/>
      </c>
      <c r="AL71" s="714" t="str">
        <f t="shared" si="41"/>
        <v/>
      </c>
      <c r="AM71" s="713" t="str">
        <f>IF(AN71="","",IF('CST-Calculation'!$F71="Indg","",IF('CST-Calculation'!$F71="TEC Del","",IF('CST-Calculation'!AM71&gt;0,'CST-Calculation'!AM71,IF('CST-Calculation'!$F71=0,"",'CST-Calculation'!$F71)))))</f>
        <v/>
      </c>
      <c r="AN71" s="714" t="str">
        <f>IF('CST-Calculation'!AN71=0,"",'CST-Calculation'!AN71)</f>
        <v/>
      </c>
      <c r="AO71" s="714" t="str">
        <f>IF(AM71="","",IF(AN71="TEC Rejected","",IF(AN71="","",ROUND(1.3224*Form!$D$10*AN71,2))))</f>
        <v/>
      </c>
      <c r="AP71" s="714" t="str">
        <f t="shared" si="42"/>
        <v/>
      </c>
      <c r="AQ71" s="727" t="str">
        <f>IF(AR71="","",IF('CST-Calculation'!$F71="Indg","",IF('CST-Calculation'!$F71="TEC Del","",IF('CST-Calculation'!AQ71&gt;0,'CST-Calculation'!AQ71,IF('CST-Calculation'!$F71=0,"",'CST-Calculation'!$F71)))))</f>
        <v/>
      </c>
      <c r="AR71" s="714" t="str">
        <f>IF('CST-Calculation'!AR71=0,"",'CST-Calculation'!AR71)</f>
        <v/>
      </c>
      <c r="AS71" s="714" t="str">
        <f>IF(AQ71="","",IF(AR71="TEC Rejected","",IF(AR71="","",ROUND(1.3224*Form!$D$10*AR71,2))))</f>
        <v/>
      </c>
      <c r="AT71" s="714" t="str">
        <f t="shared" si="43"/>
        <v/>
      </c>
      <c r="AU71" s="713" t="str">
        <f>IF(AV71="","",IF('CST-Calculation'!$F71="Indg","",IF('CST-Calculation'!$F71="TEC Del","",IF('CST-Calculation'!AU71&gt;0,'CST-Calculation'!AU71,IF('CST-Calculation'!$F71=0,"",'CST-Calculation'!$F71)))))</f>
        <v/>
      </c>
      <c r="AV71" s="714" t="str">
        <f>IF('CST-Calculation'!AV71=0,"",'CST-Calculation'!AV71)</f>
        <v/>
      </c>
      <c r="AW71" s="714" t="str">
        <f>IF(AU71="","",IF(AV71="TEC Rejected","",IF(AV71="","",ROUND(1.3224*Form!$D$10*AV71,2))))</f>
        <v/>
      </c>
      <c r="AX71" s="714" t="str">
        <f t="shared" si="44"/>
        <v/>
      </c>
      <c r="AY71" s="715" t="str">
        <f t="shared" si="45"/>
        <v>NO OFFER</v>
      </c>
      <c r="AZ71" s="716" t="str">
        <f t="shared" si="46"/>
        <v>NO OFFER</v>
      </c>
      <c r="BA71" s="716" t="str">
        <f t="shared" si="47"/>
        <v>&lt;= 20%</v>
      </c>
      <c r="BB71" s="716">
        <f>IF(AY71="EST",ROUND(BD71/1.18,2),IF(AY71="ADRYS",ROUND(BD71/1.18,2),ROUND(BD71/(1.3224*Form!$D$10),2)))</f>
        <v>0</v>
      </c>
      <c r="BC71" s="784">
        <f>IF(OR(AY71="EST",AY71="ADRYS"),ROUND(BE71/1.18,2),ROUND(BE71/(1.3224*Form!$D$10),2))</f>
        <v>0</v>
      </c>
      <c r="BD71" s="717">
        <f>IF(F71="Indg",0,IF(F71="TEC Del",0,IF(AND(IF(G71="",TRUE,G71&lt;=ROUNDUP(1.2*F71,0)),IF(K71="",TRUE,K71&lt;=ROUNDUP(1.2*F71,0)),IF(O71="",TRUE,O71&lt;=ROUNDUP(1.2*F71,0)),IF(S71="",TRUE,S71&lt;=ROUNDUP(1.2*F71,0)),IF(W71="",TRUE,W71&lt;=ROUNDUP(1.2*F71,0)),IF(AA71="",TRUE,AA71&lt;=ROUNDUP(1.2*F71,0)),IF(AE71="",TRUE,AE71&lt;=ROUNDUP(1.2*F71,0)),IF(AI71="",TRUE,AI71&lt;=ROUNDUP(1.2*F71,0)),IF(AM71="",TRUE,AM71&lt;=ROUNDUP(1.2*F71,0)),IF(AQ71="",TRUE,AQ71&lt;=ROUNDUP(1.2*F71,0)),IF(AU71="",TRUE,AU71&lt;=ROUNDUP(1.2*F71,0))),IF(F71=0,0,(IF(SUM(I71,M71,Q71,U71,Y71,AC71,AG71,AK71,AO71,AS71,AW71)=0,0,SMALL((I71,M71,Q71,U71,Y71,AC71,AG71,AK71,AO71,AS71,AW71),COUNTIF((I71:AW71),0)+1)))),IF(BE71=J71,I71,IF(BE71=N71,M71,IF(BE71=R71,Q71,IF(BE71=V71,U71,IF(BE71=Z71,Y71,IF(BE71=AD71,AC71,IF(BE71=AH71,AG71,IF(BE71=AL71,AK71,IF(BE71=AP71,AO71,IF(BE71=AT71,AS71,IF(BE71=AX71,AW71))))))))))))))</f>
        <v>0</v>
      </c>
      <c r="BE71" s="714">
        <f>IF(F71="Indg",0,IF(F71="TEC Del",0,IF(AND(IF(G71="",TRUE,G71&lt;=ROUNDUP(1.2*F71,0)),IF(K71="",TRUE,K71&lt;=ROUNDUP(1.2*F71,0)),IF(O71="",TRUE,O71&lt;=ROUNDUP(1.2*F71,0)),IF(S71="",TRUE,S71&lt;=ROUNDUP(1.2*F71,0)),IF(W71="",TRUE,W71&lt;=ROUNDUP(1.2*F71,0)),IF(AA71="",TRUE,AA71&lt;=ROUNDUP(1.2*F71,0)),IF(AE71="",TRUE,AE71&lt;=ROUNDUP(1.2*F71,0)),IF(AI71="",TRUE,AI71&lt;=ROUNDUP(1.2*F71,0)),IF(AM71="",TRUE,AM71&lt;=ROUNDUP(1.2*F71,0)),IF(AQ71="",TRUE,AQ71&lt;=ROUNDUP(1.2*F71,0)),IF(AU71="",TRUE,AU71&lt;=ROUNDUP(1.2*F71,0))),ROUND(BD71*IF(BD71=I71,G71,IF(BD71=M71,K71,IF(BD71=Q71,O71,IF(BD71=U71,S71,IF(BD71=Y71,W71,IF(BD71=AC71,AA71,IF(BD71=AG71,AE71,IF(BD71=AK71,AI71,IF(BD71=AO71,AM71,IF(BD71=AS71,AQ71,IF(BD71=AW71,AU71))))))))))),2),(IF(SUM(J71,N71,R71,V71,Z71,AD71,AH71,AL71,AP71,AT71,AX71)=0,0,SMALL((J71,N71,R71,V71,Z71,AD71,AH71,AL71,AP71,AT71,AX71),COUNTIF((J71:AX71),0)+1))))))</f>
        <v>0</v>
      </c>
      <c r="BF71" s="714">
        <f>IF('Annexure-I'!L68="",'Annexure-I'!F68,'Annexure-I'!L68)</f>
        <v>15175.56</v>
      </c>
      <c r="BG71" s="714" t="str">
        <f>IF('Annexure-I'!M68="",'Annexure-I'!G68,'Annexure-I'!M68)</f>
        <v>CONTRACT-A67</v>
      </c>
      <c r="BH71" s="764">
        <f>IF('Annexure-I'!N68="",'Annexure-I'!H68,'Annexure-I'!N68)</f>
        <v>40967</v>
      </c>
      <c r="BI71" s="717">
        <f>IF('Annexure-I'!P68="",'Annexure-I'!J68,'Annexure-I'!P68)</f>
        <v>27802.86</v>
      </c>
      <c r="BJ71" s="717">
        <f>IF('Annexure-I'!Q68="",'Annexure-I'!K68,'Annexure-I'!Q68)</f>
        <v>3043531.04085792</v>
      </c>
      <c r="BK71" s="714">
        <f>'Annexure-I'!F68</f>
        <v>15175.56</v>
      </c>
      <c r="BL71" s="718" t="str">
        <f>'Annexure-I'!G68</f>
        <v>CONTRACT-A67</v>
      </c>
      <c r="BM71" s="764">
        <f>IF('Annexure-I'!H68=0,"",'Annexure-I'!H68)</f>
        <v>40967</v>
      </c>
      <c r="BN71" s="717">
        <f>'Annexure-I'!J68</f>
        <v>27802.86</v>
      </c>
      <c r="BO71" s="717">
        <f>'Annexure-I'!K68</f>
        <v>3043531.04085792</v>
      </c>
      <c r="BP71" s="714">
        <f>IF(OR(AY71="EST",AY71="ADRYS"),ROUND((BC71*1.18)/(1.3224*Form!$D$10),2),BC71)</f>
        <v>0</v>
      </c>
      <c r="BQ71" s="714">
        <f>ROUND(BS71/(1.3224*Form!$D$10),2)</f>
        <v>0</v>
      </c>
      <c r="BR71" s="714">
        <f t="shared" si="48"/>
        <v>0</v>
      </c>
      <c r="BS71" s="714">
        <f t="shared" si="49"/>
        <v>0</v>
      </c>
      <c r="BT71" s="719">
        <f t="shared" si="50"/>
        <v>0</v>
      </c>
      <c r="BU71" s="714"/>
      <c r="BV71" s="714">
        <f t="shared" si="33"/>
        <v>0</v>
      </c>
      <c r="BW71" s="714">
        <f>IF(OR(AY71="EST",AY71="ADRYS"),ROUND(1.18*BU71,2),ROUND(BU71*1.3224*Form!$D$10,2))</f>
        <v>0</v>
      </c>
      <c r="BX71" s="714">
        <f t="shared" si="34"/>
        <v>0</v>
      </c>
      <c r="BY71" s="719">
        <f t="shared" si="51"/>
        <v>0</v>
      </c>
      <c r="BZ71" s="714">
        <f t="shared" si="35"/>
        <v>12174124.16</v>
      </c>
      <c r="CA71" s="720"/>
      <c r="CB71" s="726"/>
      <c r="CC71" s="4"/>
      <c r="CD71" s="4"/>
      <c r="CE71" s="4"/>
      <c r="CF71" s="4"/>
      <c r="CG71" s="4"/>
      <c r="CH71" s="4"/>
      <c r="CI71" s="721"/>
      <c r="CR71" s="643"/>
    </row>
    <row r="72" spans="1:96" s="579" customFormat="1" ht="45" x14ac:dyDescent="0.25">
      <c r="A72" s="712">
        <f>SUBTOTAL(2,$B$5:B72)</f>
        <v>68</v>
      </c>
      <c r="B72" s="754">
        <v>68</v>
      </c>
      <c r="C72" s="756" t="s">
        <v>736</v>
      </c>
      <c r="D72" s="755" t="s">
        <v>617</v>
      </c>
      <c r="E72" s="754">
        <v>5</v>
      </c>
      <c r="F72" s="658">
        <f>'Annexure-I'!E69</f>
        <v>5</v>
      </c>
      <c r="G72" s="784" t="str">
        <f>IF('CST-Calculation'!G72=0,"",'CST-Calculation'!G72)</f>
        <v/>
      </c>
      <c r="H72" s="784" t="str">
        <f>IF('CST-Calculation'!H72=0,"",'CST-Calculation'!H72)</f>
        <v/>
      </c>
      <c r="I72" s="714" t="str">
        <f>IF(G72="","",IF(H72="TEC Rejected","",IF(H72="","",ROUND(1.3224*Form!$D$10*H72,2))))</f>
        <v/>
      </c>
      <c r="J72" s="714" t="str">
        <f t="shared" si="29"/>
        <v/>
      </c>
      <c r="K72" s="713" t="str">
        <f>IF(L72="","",IF('CST-Calculation'!$F72="Indg","",IF('CST-Calculation'!$F72="TEC Del","",IF('CST-Calculation'!K72&gt;0,'CST-Calculation'!K72,IF('CST-Calculation'!$F72=0,"",'CST-Calculation'!$F72)))))</f>
        <v/>
      </c>
      <c r="L72" s="714" t="str">
        <f>IF('CST-Calculation'!L72=0,"",'CST-Calculation'!L72)</f>
        <v/>
      </c>
      <c r="M72" s="714" t="str">
        <f>IF(K72="","",IF(L72="TEC Rejected","",IF(L72="","",ROUND(1.3224*Form!$D$10*L72,2))))</f>
        <v/>
      </c>
      <c r="N72" s="714" t="str">
        <f t="shared" si="30"/>
        <v/>
      </c>
      <c r="O72" s="89" t="str">
        <f>IF(P72="","",IF('CST-Calculation'!$F72="Indg","",IF('CST-Calculation'!$F72="TEC Del","",IF('CST-Calculation'!O72&gt;0,'CST-Calculation'!O72,IF('CST-Calculation'!$F72=0,"",'CST-Calculation'!$F72)))))</f>
        <v/>
      </c>
      <c r="P72" s="714" t="str">
        <f>IF('CST-Calculation'!P72=0,"",'CST-Calculation'!P72)</f>
        <v/>
      </c>
      <c r="Q72" s="714" t="str">
        <f>IF(O72="","",IF(P72="TEC Rejected","",IF(P72="","",ROUND(1.3224*Form!$D$10*P72,2))))</f>
        <v/>
      </c>
      <c r="R72" s="714" t="str">
        <f t="shared" si="31"/>
        <v/>
      </c>
      <c r="S72" s="89" t="str">
        <f>IF(T72="","",IF('CST-Calculation'!$F72="Indg","",IF('CST-Calculation'!$F72="TEC Del","",IF('CST-Calculation'!S72&gt;0,'CST-Calculation'!S72,IF('CST-Calculation'!$F72=0,"",'CST-Calculation'!$F72)))))</f>
        <v/>
      </c>
      <c r="T72" s="714" t="str">
        <f>IF('CST-Calculation'!T72=0,"",'CST-Calculation'!T72)</f>
        <v/>
      </c>
      <c r="U72" s="714" t="str">
        <f>IF(S72="","",IF(T72="TEC Rejected","",IF(T72="","",ROUND(1.3224*Form!$D$10*T72,2))))</f>
        <v/>
      </c>
      <c r="V72" s="714" t="str">
        <f t="shared" si="32"/>
        <v/>
      </c>
      <c r="W72" s="713" t="str">
        <f>IF(X72="","",IF('CST-Calculation'!$F72="Indg","",IF('CST-Calculation'!$F72="TEC Del","",IF('CST-Calculation'!W72&gt;0,'CST-Calculation'!W72,IF('CST-Calculation'!$F72=0,"",'CST-Calculation'!$F72)))))</f>
        <v/>
      </c>
      <c r="X72" s="714" t="str">
        <f>IF('CST-Calculation'!X72=0,"",'CST-Calculation'!X72)</f>
        <v/>
      </c>
      <c r="Y72" s="714" t="str">
        <f>IF(W72="","",IF(X72="TEC Rejected","",IF(X72="","",ROUND(1.3224*Form!$D$10*X72,2))))</f>
        <v/>
      </c>
      <c r="Z72" s="714" t="str">
        <f t="shared" si="36"/>
        <v/>
      </c>
      <c r="AA72" s="713" t="str">
        <f>IF(AB72="","",IF('CST-Calculation'!$F72="Indg","",IF('CST-Calculation'!$F72="TEC Del","",IF('CST-Calculation'!AA72&gt;0,'CST-Calculation'!AA72,IF('CST-Calculation'!$F72=0,"",'CST-Calculation'!$F72)))))</f>
        <v/>
      </c>
      <c r="AB72" s="714" t="str">
        <f>IF('CST-Calculation'!AB72=0,"",'CST-Calculation'!AB72)</f>
        <v/>
      </c>
      <c r="AC72" s="714" t="str">
        <f t="shared" si="37"/>
        <v/>
      </c>
      <c r="AD72" s="714" t="str">
        <f t="shared" si="38"/>
        <v/>
      </c>
      <c r="AE72" s="713" t="str">
        <f>IF(AF72="","",IF('CST-Calculation'!$F72="Indg","",IF('CST-Calculation'!$F72="TEC Del","",IF('CST-Calculation'!AE72&gt;0,'CST-Calculation'!AE72,IF('CST-Calculation'!$F72=0,"",'CST-Calculation'!$F72)))))</f>
        <v/>
      </c>
      <c r="AF72" s="714" t="str">
        <f>IF('CST-Calculation'!AF72=0,"",'CST-Calculation'!AF72)</f>
        <v/>
      </c>
      <c r="AG72" s="714" t="str">
        <f>IF(AE72="","",IF(AF72="TEC Rejected","",IF(AF72="","",ROUND(1.3224*Form!$D$10*AF72,2))))</f>
        <v/>
      </c>
      <c r="AH72" s="714" t="str">
        <f t="shared" si="39"/>
        <v/>
      </c>
      <c r="AI72" s="713" t="str">
        <f>IF(AJ72="","",IF('CST-Calculation'!$F72="Indg","",IF('CST-Calculation'!$F72="TEC Del","",IF('CST-Calculation'!AI72&gt;0,'CST-Calculation'!AI72,IF('CST-Calculation'!$F72=0,"",'CST-Calculation'!$F72)))))</f>
        <v/>
      </c>
      <c r="AJ72" s="714" t="str">
        <f>IF('CST-Calculation'!AJ72=0,"",'CST-Calculation'!AJ72)</f>
        <v/>
      </c>
      <c r="AK72" s="714" t="str">
        <f t="shared" si="40"/>
        <v/>
      </c>
      <c r="AL72" s="714" t="str">
        <f t="shared" si="41"/>
        <v/>
      </c>
      <c r="AM72" s="713" t="str">
        <f>IF(AN72="","",IF('CST-Calculation'!$F72="Indg","",IF('CST-Calculation'!$F72="TEC Del","",IF('CST-Calculation'!AM72&gt;0,'CST-Calculation'!AM72,IF('CST-Calculation'!$F72=0,"",'CST-Calculation'!$F72)))))</f>
        <v/>
      </c>
      <c r="AN72" s="714" t="str">
        <f>IF('CST-Calculation'!AN72=0,"",'CST-Calculation'!AN72)</f>
        <v/>
      </c>
      <c r="AO72" s="714" t="str">
        <f>IF(AM72="","",IF(AN72="TEC Rejected","",IF(AN72="","",ROUND(1.3224*Form!$D$10*AN72,2))))</f>
        <v/>
      </c>
      <c r="AP72" s="714" t="str">
        <f t="shared" si="42"/>
        <v/>
      </c>
      <c r="AQ72" s="727" t="str">
        <f>IF(AR72="","",IF('CST-Calculation'!$F72="Indg","",IF('CST-Calculation'!$F72="TEC Del","",IF('CST-Calculation'!AQ72&gt;0,'CST-Calculation'!AQ72,IF('CST-Calculation'!$F72=0,"",'CST-Calculation'!$F72)))))</f>
        <v/>
      </c>
      <c r="AR72" s="714" t="str">
        <f>IF('CST-Calculation'!AR72=0,"",'CST-Calculation'!AR72)</f>
        <v/>
      </c>
      <c r="AS72" s="714" t="str">
        <f>IF(AQ72="","",IF(AR72="TEC Rejected","",IF(AR72="","",ROUND(1.3224*Form!$D$10*AR72,2))))</f>
        <v/>
      </c>
      <c r="AT72" s="714" t="str">
        <f t="shared" si="43"/>
        <v/>
      </c>
      <c r="AU72" s="713" t="str">
        <f>IF(AV72="","",IF('CST-Calculation'!$F72="Indg","",IF('CST-Calculation'!$F72="TEC Del","",IF('CST-Calculation'!AU72&gt;0,'CST-Calculation'!AU72,IF('CST-Calculation'!$F72=0,"",'CST-Calculation'!$F72)))))</f>
        <v/>
      </c>
      <c r="AV72" s="714" t="str">
        <f>IF('CST-Calculation'!AV72=0,"",'CST-Calculation'!AV72)</f>
        <v/>
      </c>
      <c r="AW72" s="714" t="str">
        <f>IF(AU72="","",IF(AV72="TEC Rejected","",IF(AV72="","",ROUND(1.3224*Form!$D$10*AV72,2))))</f>
        <v/>
      </c>
      <c r="AX72" s="714" t="str">
        <f t="shared" si="44"/>
        <v/>
      </c>
      <c r="AY72" s="715" t="str">
        <f t="shared" si="45"/>
        <v>NO OFFER</v>
      </c>
      <c r="AZ72" s="716" t="str">
        <f t="shared" si="46"/>
        <v>NO OFFER</v>
      </c>
      <c r="BA72" s="716" t="str">
        <f t="shared" si="47"/>
        <v>&lt;= 20%</v>
      </c>
      <c r="BB72" s="716">
        <f>IF(AY72="EST",ROUND(BD72/1.18,2),IF(AY72="ADRYS",ROUND(BD72/1.18,2),ROUND(BD72/(1.3224*Form!$D$10),2)))</f>
        <v>0</v>
      </c>
      <c r="BC72" s="784">
        <f>IF(OR(AY72="EST",AY72="ADRYS"),ROUND(BE72/1.18,2),ROUND(BE72/(1.3224*Form!$D$10),2))</f>
        <v>0</v>
      </c>
      <c r="BD72" s="717">
        <f>IF(F72="Indg",0,IF(F72="TEC Del",0,IF(AND(IF(G72="",TRUE,G72&lt;=ROUNDUP(1.2*F72,0)),IF(K72="",TRUE,K72&lt;=ROUNDUP(1.2*F72,0)),IF(O72="",TRUE,O72&lt;=ROUNDUP(1.2*F72,0)),IF(S72="",TRUE,S72&lt;=ROUNDUP(1.2*F72,0)),IF(W72="",TRUE,W72&lt;=ROUNDUP(1.2*F72,0)),IF(AA72="",TRUE,AA72&lt;=ROUNDUP(1.2*F72,0)),IF(AE72="",TRUE,AE72&lt;=ROUNDUP(1.2*F72,0)),IF(AI72="",TRUE,AI72&lt;=ROUNDUP(1.2*F72,0)),IF(AM72="",TRUE,AM72&lt;=ROUNDUP(1.2*F72,0)),IF(AQ72="",TRUE,AQ72&lt;=ROUNDUP(1.2*F72,0)),IF(AU72="",TRUE,AU72&lt;=ROUNDUP(1.2*F72,0))),IF(F72=0,0,(IF(SUM(I72,M72,Q72,U72,Y72,AC72,AG72,AK72,AO72,AS72,AW72)=0,0,SMALL((I72,M72,Q72,U72,Y72,AC72,AG72,AK72,AO72,AS72,AW72),COUNTIF((I72:AW72),0)+1)))),IF(BE72=J72,I72,IF(BE72=N72,M72,IF(BE72=R72,Q72,IF(BE72=V72,U72,IF(BE72=Z72,Y72,IF(BE72=AD72,AC72,IF(BE72=AH72,AG72,IF(BE72=AL72,AK72,IF(BE72=AP72,AO72,IF(BE72=AT72,AS72,IF(BE72=AX72,AW72))))))))))))))</f>
        <v>0</v>
      </c>
      <c r="BE72" s="714">
        <f>IF(F72="Indg",0,IF(F72="TEC Del",0,IF(AND(IF(G72="",TRUE,G72&lt;=ROUNDUP(1.2*F72,0)),IF(K72="",TRUE,K72&lt;=ROUNDUP(1.2*F72,0)),IF(O72="",TRUE,O72&lt;=ROUNDUP(1.2*F72,0)),IF(S72="",TRUE,S72&lt;=ROUNDUP(1.2*F72,0)),IF(W72="",TRUE,W72&lt;=ROUNDUP(1.2*F72,0)),IF(AA72="",TRUE,AA72&lt;=ROUNDUP(1.2*F72,0)),IF(AE72="",TRUE,AE72&lt;=ROUNDUP(1.2*F72,0)),IF(AI72="",TRUE,AI72&lt;=ROUNDUP(1.2*F72,0)),IF(AM72="",TRUE,AM72&lt;=ROUNDUP(1.2*F72,0)),IF(AQ72="",TRUE,AQ72&lt;=ROUNDUP(1.2*F72,0)),IF(AU72="",TRUE,AU72&lt;=ROUNDUP(1.2*F72,0))),ROUND(BD72*IF(BD72=I72,G72,IF(BD72=M72,K72,IF(BD72=Q72,O72,IF(BD72=U72,S72,IF(BD72=Y72,W72,IF(BD72=AC72,AA72,IF(BD72=AG72,AE72,IF(BD72=AK72,AI72,IF(BD72=AO72,AM72,IF(BD72=AS72,AQ72,IF(BD72=AW72,AU72))))))))))),2),(IF(SUM(J72,N72,R72,V72,Z72,AD72,AH72,AL72,AP72,AT72,AX72)=0,0,SMALL((J72,N72,R72,V72,Z72,AD72,AH72,AL72,AP72,AT72,AX72),COUNTIF((J72:AX72),0)+1))))))</f>
        <v>0</v>
      </c>
      <c r="BF72" s="714">
        <f>IF('Annexure-I'!L69="",'Annexure-I'!F69,'Annexure-I'!L69)</f>
        <v>16778.46</v>
      </c>
      <c r="BG72" s="714" t="str">
        <f>IF('Annexure-I'!M69="",'Annexure-I'!G69,'Annexure-I'!M69)</f>
        <v>CONTRACT-A68</v>
      </c>
      <c r="BH72" s="764">
        <f>IF('Annexure-I'!N69="",'Annexure-I'!H69,'Annexure-I'!N69)</f>
        <v>41789</v>
      </c>
      <c r="BI72" s="717">
        <f>IF('Annexure-I'!P69="",'Annexure-I'!J69,'Annexure-I'!P69)</f>
        <v>27618</v>
      </c>
      <c r="BJ72" s="717">
        <f>IF('Annexure-I'!Q69="",'Annexure-I'!K69,'Annexure-I'!Q69)</f>
        <v>3023294.7360959998</v>
      </c>
      <c r="BK72" s="714">
        <f>'Annexure-I'!F69</f>
        <v>16778.46</v>
      </c>
      <c r="BL72" s="718" t="str">
        <f>'Annexure-I'!G69</f>
        <v>CONTRACT-A68</v>
      </c>
      <c r="BM72" s="764">
        <f>IF('Annexure-I'!H69=0,"",'Annexure-I'!H69)</f>
        <v>41789</v>
      </c>
      <c r="BN72" s="717">
        <f>'Annexure-I'!J69</f>
        <v>27618</v>
      </c>
      <c r="BO72" s="717">
        <f>'Annexure-I'!K69</f>
        <v>3023294.7360959998</v>
      </c>
      <c r="BP72" s="714">
        <f>IF(OR(AY72="EST",AY72="ADRYS"),ROUND((BC72*1.18)/(1.3224*Form!$D$10),2),BC72)</f>
        <v>0</v>
      </c>
      <c r="BQ72" s="714">
        <f>ROUND(BS72/(1.3224*Form!$D$10),2)</f>
        <v>0</v>
      </c>
      <c r="BR72" s="714">
        <f t="shared" si="48"/>
        <v>0</v>
      </c>
      <c r="BS72" s="714">
        <f t="shared" si="49"/>
        <v>0</v>
      </c>
      <c r="BT72" s="719">
        <f t="shared" si="50"/>
        <v>0</v>
      </c>
      <c r="BU72" s="714"/>
      <c r="BV72" s="714">
        <f t="shared" si="33"/>
        <v>0</v>
      </c>
      <c r="BW72" s="714">
        <f>IF(OR(AY72="EST",AY72="ADRYS"),ROUND(1.18*BU72,2),ROUND(BU72*1.3224*Form!$D$10,2))</f>
        <v>0</v>
      </c>
      <c r="BX72" s="714">
        <f t="shared" si="34"/>
        <v>0</v>
      </c>
      <c r="BY72" s="719">
        <f t="shared" si="51"/>
        <v>0</v>
      </c>
      <c r="BZ72" s="714">
        <f t="shared" si="35"/>
        <v>15116473.68</v>
      </c>
      <c r="CA72" s="720"/>
      <c r="CB72" s="726"/>
      <c r="CC72" s="4"/>
      <c r="CD72" s="4"/>
      <c r="CE72" s="4"/>
      <c r="CF72" s="4"/>
      <c r="CG72" s="4"/>
      <c r="CH72" s="4"/>
      <c r="CI72" s="721"/>
      <c r="CR72" s="643"/>
    </row>
    <row r="73" spans="1:96" s="579" customFormat="1" ht="45" x14ac:dyDescent="0.25">
      <c r="A73" s="712">
        <f>SUBTOTAL(2,$B$5:B73)</f>
        <v>69</v>
      </c>
      <c r="B73" s="754">
        <v>69</v>
      </c>
      <c r="C73" s="755" t="s">
        <v>737</v>
      </c>
      <c r="D73" s="755" t="s">
        <v>618</v>
      </c>
      <c r="E73" s="754">
        <v>4</v>
      </c>
      <c r="F73" s="658">
        <f>'Annexure-I'!E70</f>
        <v>4</v>
      </c>
      <c r="G73" s="784" t="str">
        <f>IF('CST-Calculation'!G73=0,"",'CST-Calculation'!G73)</f>
        <v/>
      </c>
      <c r="H73" s="784" t="str">
        <f>IF('CST-Calculation'!H73=0,"",'CST-Calculation'!H73)</f>
        <v/>
      </c>
      <c r="I73" s="714" t="str">
        <f>IF(G73="","",IF(H73="TEC Rejected","",IF(H73="","",ROUND(1.3224*Form!$D$10*H73,2))))</f>
        <v/>
      </c>
      <c r="J73" s="714" t="str">
        <f t="shared" si="29"/>
        <v/>
      </c>
      <c r="K73" s="713" t="str">
        <f>IF(L73="","",IF('CST-Calculation'!$F73="Indg","",IF('CST-Calculation'!$F73="TEC Del","",IF('CST-Calculation'!K73&gt;0,'CST-Calculation'!K73,IF('CST-Calculation'!$F73=0,"",'CST-Calculation'!$F73)))))</f>
        <v/>
      </c>
      <c r="L73" s="714" t="str">
        <f>IF('CST-Calculation'!L73=0,"",'CST-Calculation'!L73)</f>
        <v/>
      </c>
      <c r="M73" s="714" t="str">
        <f>IF(K73="","",IF(L73="TEC Rejected","",IF(L73="","",ROUND(1.3224*Form!$D$10*L73,2))))</f>
        <v/>
      </c>
      <c r="N73" s="714" t="str">
        <f t="shared" si="30"/>
        <v/>
      </c>
      <c r="O73" s="89" t="str">
        <f>IF(P73="","",IF('CST-Calculation'!$F73="Indg","",IF('CST-Calculation'!$F73="TEC Del","",IF('CST-Calculation'!O73&gt;0,'CST-Calculation'!O73,IF('CST-Calculation'!$F73=0,"",'CST-Calculation'!$F73)))))</f>
        <v/>
      </c>
      <c r="P73" s="714" t="str">
        <f>IF('CST-Calculation'!P73=0,"",'CST-Calculation'!P73)</f>
        <v/>
      </c>
      <c r="Q73" s="714" t="str">
        <f>IF(O73="","",IF(P73="TEC Rejected","",IF(P73="","",ROUND(1.3224*Form!$D$10*P73,2))))</f>
        <v/>
      </c>
      <c r="R73" s="714" t="str">
        <f t="shared" si="31"/>
        <v/>
      </c>
      <c r="S73" s="89" t="str">
        <f>IF(T73="","",IF('CST-Calculation'!$F73="Indg","",IF('CST-Calculation'!$F73="TEC Del","",IF('CST-Calculation'!S73&gt;0,'CST-Calculation'!S73,IF('CST-Calculation'!$F73=0,"",'CST-Calculation'!$F73)))))</f>
        <v/>
      </c>
      <c r="T73" s="714" t="str">
        <f>IF('CST-Calculation'!T73=0,"",'CST-Calculation'!T73)</f>
        <v/>
      </c>
      <c r="U73" s="714" t="str">
        <f>IF(S73="","",IF(T73="TEC Rejected","",IF(T73="","",ROUND(1.3224*Form!$D$10*T73,2))))</f>
        <v/>
      </c>
      <c r="V73" s="714" t="str">
        <f t="shared" si="32"/>
        <v/>
      </c>
      <c r="W73" s="713" t="str">
        <f>IF(X73="","",IF('CST-Calculation'!$F73="Indg","",IF('CST-Calculation'!$F73="TEC Del","",IF('CST-Calculation'!W73&gt;0,'CST-Calculation'!W73,IF('CST-Calculation'!$F73=0,"",'CST-Calculation'!$F73)))))</f>
        <v/>
      </c>
      <c r="X73" s="714" t="str">
        <f>IF('CST-Calculation'!X73=0,"",'CST-Calculation'!X73)</f>
        <v/>
      </c>
      <c r="Y73" s="714" t="str">
        <f>IF(W73="","",IF(X73="TEC Rejected","",IF(X73="","",ROUND(1.3224*Form!$D$10*X73,2))))</f>
        <v/>
      </c>
      <c r="Z73" s="714" t="str">
        <f t="shared" si="36"/>
        <v/>
      </c>
      <c r="AA73" s="713" t="str">
        <f>IF(AB73="","",IF('CST-Calculation'!$F73="Indg","",IF('CST-Calculation'!$F73="TEC Del","",IF('CST-Calculation'!AA73&gt;0,'CST-Calculation'!AA73,IF('CST-Calculation'!$F73=0,"",'CST-Calculation'!$F73)))))</f>
        <v/>
      </c>
      <c r="AB73" s="714" t="str">
        <f>IF('CST-Calculation'!AB73=0,"",'CST-Calculation'!AB73)</f>
        <v/>
      </c>
      <c r="AC73" s="714" t="str">
        <f t="shared" si="37"/>
        <v/>
      </c>
      <c r="AD73" s="714" t="str">
        <f t="shared" si="38"/>
        <v/>
      </c>
      <c r="AE73" s="713" t="str">
        <f>IF(AF73="","",IF('CST-Calculation'!$F73="Indg","",IF('CST-Calculation'!$F73="TEC Del","",IF('CST-Calculation'!AE73&gt;0,'CST-Calculation'!AE73,IF('CST-Calculation'!$F73=0,"",'CST-Calculation'!$F73)))))</f>
        <v/>
      </c>
      <c r="AF73" s="714" t="str">
        <f>IF('CST-Calculation'!AF73=0,"",'CST-Calculation'!AF73)</f>
        <v/>
      </c>
      <c r="AG73" s="714" t="str">
        <f>IF(AE73="","",IF(AF73="TEC Rejected","",IF(AF73="","",ROUND(1.3224*Form!$D$10*AF73,2))))</f>
        <v/>
      </c>
      <c r="AH73" s="714" t="str">
        <f t="shared" si="39"/>
        <v/>
      </c>
      <c r="AI73" s="713" t="str">
        <f>IF(AJ73="","",IF('CST-Calculation'!$F73="Indg","",IF('CST-Calculation'!$F73="TEC Del","",IF('CST-Calculation'!AI73&gt;0,'CST-Calculation'!AI73,IF('CST-Calculation'!$F73=0,"",'CST-Calculation'!$F73)))))</f>
        <v/>
      </c>
      <c r="AJ73" s="714" t="str">
        <f>IF('CST-Calculation'!AJ73=0,"",'CST-Calculation'!AJ73)</f>
        <v/>
      </c>
      <c r="AK73" s="714" t="str">
        <f t="shared" si="40"/>
        <v/>
      </c>
      <c r="AL73" s="714" t="str">
        <f t="shared" si="41"/>
        <v/>
      </c>
      <c r="AM73" s="713" t="str">
        <f>IF(AN73="","",IF('CST-Calculation'!$F73="Indg","",IF('CST-Calculation'!$F73="TEC Del","",IF('CST-Calculation'!AM73&gt;0,'CST-Calculation'!AM73,IF('CST-Calculation'!$F73=0,"",'CST-Calculation'!$F73)))))</f>
        <v/>
      </c>
      <c r="AN73" s="714" t="str">
        <f>IF('CST-Calculation'!AN73=0,"",'CST-Calculation'!AN73)</f>
        <v/>
      </c>
      <c r="AO73" s="714" t="str">
        <f>IF(AM73="","",IF(AN73="TEC Rejected","",IF(AN73="","",ROUND(1.3224*Form!$D$10*AN73,2))))</f>
        <v/>
      </c>
      <c r="AP73" s="714" t="str">
        <f t="shared" si="42"/>
        <v/>
      </c>
      <c r="AQ73" s="713" t="str">
        <f>IF(AR73="","",IF('CST-Calculation'!$F73="Indg","",IF('CST-Calculation'!$F73="TEC Del","",IF('CST-Calculation'!AQ73&gt;0,'CST-Calculation'!AQ73,IF('CST-Calculation'!$F73=0,"",'CST-Calculation'!$F73)))))</f>
        <v/>
      </c>
      <c r="AR73" s="714" t="str">
        <f>IF('CST-Calculation'!AR73=0,"",'CST-Calculation'!AR73)</f>
        <v/>
      </c>
      <c r="AS73" s="714" t="str">
        <f>IF(AQ73="","",IF(AR73="TEC Rejected","",IF(AR73="","",ROUND(1.3224*Form!$D$10*AR73,2))))</f>
        <v/>
      </c>
      <c r="AT73" s="714" t="str">
        <f t="shared" si="43"/>
        <v/>
      </c>
      <c r="AU73" s="713" t="str">
        <f>IF(AV73="","",IF('CST-Calculation'!$F73="Indg","",IF('CST-Calculation'!$F73="TEC Del","",IF('CST-Calculation'!AU73&gt;0,'CST-Calculation'!AU73,IF('CST-Calculation'!$F73=0,"",'CST-Calculation'!$F73)))))</f>
        <v/>
      </c>
      <c r="AV73" s="714" t="str">
        <f>IF('CST-Calculation'!AV73=0,"",'CST-Calculation'!AV73)</f>
        <v/>
      </c>
      <c r="AW73" s="714" t="str">
        <f>IF(AU73="","",IF(AV73="TEC Rejected","",IF(AV73="","",ROUND(1.3224*Form!$D$10*AV73,2))))</f>
        <v/>
      </c>
      <c r="AX73" s="714" t="str">
        <f t="shared" si="44"/>
        <v/>
      </c>
      <c r="AY73" s="715" t="str">
        <f t="shared" si="45"/>
        <v>NO OFFER</v>
      </c>
      <c r="AZ73" s="716" t="str">
        <f t="shared" si="46"/>
        <v>NO OFFER</v>
      </c>
      <c r="BA73" s="716" t="str">
        <f t="shared" si="47"/>
        <v>&lt;= 20%</v>
      </c>
      <c r="BB73" s="716">
        <f>IF(AY73="EST",ROUND(BD73/1.18,2),IF(AY73="ADRYS",ROUND(BD73/1.18,2),ROUND(BD73/(1.3224*Form!$D$10),2)))</f>
        <v>0</v>
      </c>
      <c r="BC73" s="784">
        <f>IF(OR(AY73="EST",AY73="ADRYS"),ROUND(BE73/1.18,2),ROUND(BE73/(1.3224*Form!$D$10),2))</f>
        <v>0</v>
      </c>
      <c r="BD73" s="717">
        <f>IF(F73="Indg",0,IF(F73="TEC Del",0,IF(AND(IF(G73="",TRUE,G73&lt;=ROUNDUP(1.2*F73,0)),IF(K73="",TRUE,K73&lt;=ROUNDUP(1.2*F73,0)),IF(O73="",TRUE,O73&lt;=ROUNDUP(1.2*F73,0)),IF(S73="",TRUE,S73&lt;=ROUNDUP(1.2*F73,0)),IF(W73="",TRUE,W73&lt;=ROUNDUP(1.2*F73,0)),IF(AA73="",TRUE,AA73&lt;=ROUNDUP(1.2*F73,0)),IF(AE73="",TRUE,AE73&lt;=ROUNDUP(1.2*F73,0)),IF(AI73="",TRUE,AI73&lt;=ROUNDUP(1.2*F73,0)),IF(AM73="",TRUE,AM73&lt;=ROUNDUP(1.2*F73,0)),IF(AQ73="",TRUE,AQ73&lt;=ROUNDUP(1.2*F73,0)),IF(AU73="",TRUE,AU73&lt;=ROUNDUP(1.2*F73,0))),IF(F73=0,0,(IF(SUM(I73,M73,Q73,U73,Y73,AC73,AG73,AK73,AO73,AS73,AW73)=0,0,SMALL((I73,M73,Q73,U73,Y73,AC73,AG73,AK73,AO73,AS73,AW73),COUNTIF((I73:AW73),0)+1)))),IF(BE73=J73,I73,IF(BE73=N73,M73,IF(BE73=R73,Q73,IF(BE73=V73,U73,IF(BE73=Z73,Y73,IF(BE73=AD73,AC73,IF(BE73=AH73,AG73,IF(BE73=AL73,AK73,IF(BE73=AP73,AO73,IF(BE73=AT73,AS73,IF(BE73=AX73,AW73))))))))))))))</f>
        <v>0</v>
      </c>
      <c r="BE73" s="714">
        <f>IF(F73="Indg",0,IF(F73="TEC Del",0,IF(AND(IF(G73="",TRUE,G73&lt;=ROUNDUP(1.2*F73,0)),IF(K73="",TRUE,K73&lt;=ROUNDUP(1.2*F73,0)),IF(O73="",TRUE,O73&lt;=ROUNDUP(1.2*F73,0)),IF(S73="",TRUE,S73&lt;=ROUNDUP(1.2*F73,0)),IF(W73="",TRUE,W73&lt;=ROUNDUP(1.2*F73,0)),IF(AA73="",TRUE,AA73&lt;=ROUNDUP(1.2*F73,0)),IF(AE73="",TRUE,AE73&lt;=ROUNDUP(1.2*F73,0)),IF(AI73="",TRUE,AI73&lt;=ROUNDUP(1.2*F73,0)),IF(AM73="",TRUE,AM73&lt;=ROUNDUP(1.2*F73,0)),IF(AQ73="",TRUE,AQ73&lt;=ROUNDUP(1.2*F73,0)),IF(AU73="",TRUE,AU73&lt;=ROUNDUP(1.2*F73,0))),ROUND(BD73*IF(BD73=I73,G73,IF(BD73=M73,K73,IF(BD73=Q73,O73,IF(BD73=U73,S73,IF(BD73=Y73,W73,IF(BD73=AC73,AA73,IF(BD73=AG73,AE73,IF(BD73=AK73,AI73,IF(BD73=AO73,AM73,IF(BD73=AS73,AQ73,IF(BD73=AW73,AU73))))))))))),2),(IF(SUM(J73,N73,R73,V73,Z73,AD73,AH73,AL73,AP73,AT73,AX73)=0,0,SMALL((J73,N73,R73,V73,Z73,AD73,AH73,AL73,AP73,AT73,AX73),COUNTIF((J73:AX73),0)+1))))))</f>
        <v>0</v>
      </c>
      <c r="BF73" s="714">
        <f>IF('Annexure-I'!L70="",'Annexure-I'!F70,'Annexure-I'!L70)</f>
        <v>37098.300000000003</v>
      </c>
      <c r="BG73" s="714" t="str">
        <f>IF('Annexure-I'!M70="",'Annexure-I'!G70,'Annexure-I'!M70)</f>
        <v>CONTRACT-A69</v>
      </c>
      <c r="BH73" s="764">
        <f>IF('Annexure-I'!N70="",'Annexure-I'!H70,'Annexure-I'!N70)</f>
        <v>40967</v>
      </c>
      <c r="BI73" s="717">
        <f>IF('Annexure-I'!P70="",'Annexure-I'!J70,'Annexure-I'!P70)</f>
        <v>67967.100000000006</v>
      </c>
      <c r="BJ73" s="717">
        <f>IF('Annexure-I'!Q70="",'Annexure-I'!K70,'Annexure-I'!Q70)</f>
        <v>7440240.989851201</v>
      </c>
      <c r="BK73" s="714">
        <f>'Annexure-I'!F70</f>
        <v>37098.300000000003</v>
      </c>
      <c r="BL73" s="718" t="str">
        <f>'Annexure-I'!G70</f>
        <v>CONTRACT-A69</v>
      </c>
      <c r="BM73" s="764">
        <f>IF('Annexure-I'!H70=0,"",'Annexure-I'!H70)</f>
        <v>40967</v>
      </c>
      <c r="BN73" s="717">
        <f>'Annexure-I'!J70</f>
        <v>67967.100000000006</v>
      </c>
      <c r="BO73" s="717">
        <f>'Annexure-I'!K70</f>
        <v>7440240.989851201</v>
      </c>
      <c r="BP73" s="714">
        <f>IF(OR(AY73="EST",AY73="ADRYS"),ROUND((BC73*1.18)/(1.3224*Form!$D$10),2),BC73)</f>
        <v>0</v>
      </c>
      <c r="BQ73" s="714">
        <f>ROUND(BS73/(1.3224*Form!$D$10),2)</f>
        <v>0</v>
      </c>
      <c r="BR73" s="714">
        <f t="shared" si="48"/>
        <v>0</v>
      </c>
      <c r="BS73" s="714">
        <f t="shared" si="49"/>
        <v>0</v>
      </c>
      <c r="BT73" s="719">
        <f t="shared" si="50"/>
        <v>0</v>
      </c>
      <c r="BU73" s="714"/>
      <c r="BV73" s="714">
        <f t="shared" si="33"/>
        <v>0</v>
      </c>
      <c r="BW73" s="714">
        <f>IF(OR(AY73="EST",AY73="ADRYS"),ROUND(1.18*BU73,2),ROUND(BU73*1.3224*Form!$D$10,2))</f>
        <v>0</v>
      </c>
      <c r="BX73" s="714">
        <f t="shared" si="34"/>
        <v>0</v>
      </c>
      <c r="BY73" s="719">
        <f>IF((BX73)=0,0,(BX73-BS73)/BS73)</f>
        <v>0</v>
      </c>
      <c r="BZ73" s="714">
        <f t="shared" si="35"/>
        <v>29760963.960000001</v>
      </c>
      <c r="CA73" s="722"/>
      <c r="CB73" s="728"/>
      <c r="CC73" s="4"/>
      <c r="CD73" s="4"/>
      <c r="CE73" s="4"/>
      <c r="CF73" s="4"/>
      <c r="CG73" s="4"/>
      <c r="CH73" s="4"/>
      <c r="CI73" s="721"/>
    </row>
    <row r="74" spans="1:96" s="579" customFormat="1" ht="45" x14ac:dyDescent="0.25">
      <c r="A74" s="712">
        <f>SUBTOTAL(2,$B$5:B74)</f>
        <v>70</v>
      </c>
      <c r="B74" s="754">
        <v>70</v>
      </c>
      <c r="C74" s="756" t="s">
        <v>738</v>
      </c>
      <c r="D74" s="755" t="s">
        <v>619</v>
      </c>
      <c r="E74" s="754">
        <v>5</v>
      </c>
      <c r="F74" s="658">
        <f>'Annexure-I'!E71</f>
        <v>5</v>
      </c>
      <c r="G74" s="784" t="str">
        <f>IF('CST-Calculation'!G74=0,"",'CST-Calculation'!G74)</f>
        <v/>
      </c>
      <c r="H74" s="784" t="str">
        <f>IF('CST-Calculation'!H74=0,"",'CST-Calculation'!H74)</f>
        <v/>
      </c>
      <c r="I74" s="714" t="str">
        <f>IF(G74="","",IF(H74="TEC Rejected","",IF(H74="","",ROUND(1.3224*Form!$D$10*H74,2))))</f>
        <v/>
      </c>
      <c r="J74" s="714" t="str">
        <f t="shared" si="29"/>
        <v/>
      </c>
      <c r="K74" s="713" t="str">
        <f>IF(L74="","",IF('CST-Calculation'!$F74="Indg","",IF('CST-Calculation'!$F74="TEC Del","",IF('CST-Calculation'!K74&gt;0,'CST-Calculation'!K74,IF('CST-Calculation'!$F74=0,"",'CST-Calculation'!$F74)))))</f>
        <v/>
      </c>
      <c r="L74" s="714" t="str">
        <f>IF('CST-Calculation'!L74=0,"",'CST-Calculation'!L74)</f>
        <v/>
      </c>
      <c r="M74" s="714" t="str">
        <f>IF(K74="","",IF(L74="TEC Rejected","",IF(L74="","",ROUND(1.3224*Form!$D$10*L74,2))))</f>
        <v/>
      </c>
      <c r="N74" s="714" t="str">
        <f t="shared" si="30"/>
        <v/>
      </c>
      <c r="O74" s="89" t="str">
        <f>IF(P74="","",IF('CST-Calculation'!$F74="Indg","",IF('CST-Calculation'!$F74="TEC Del","",IF('CST-Calculation'!O74&gt;0,'CST-Calculation'!O74,IF('CST-Calculation'!$F74=0,"",'CST-Calculation'!$F74)))))</f>
        <v/>
      </c>
      <c r="P74" s="714" t="str">
        <f>IF('CST-Calculation'!P74=0,"",'CST-Calculation'!P74)</f>
        <v/>
      </c>
      <c r="Q74" s="714" t="str">
        <f>IF(O74="","",IF(P74="TEC Rejected","",IF(P74="","",ROUND(1.3224*Form!$D$10*P74,2))))</f>
        <v/>
      </c>
      <c r="R74" s="714" t="str">
        <f t="shared" si="31"/>
        <v/>
      </c>
      <c r="S74" s="89" t="str">
        <f>IF(T74="","",IF('CST-Calculation'!$F74="Indg","",IF('CST-Calculation'!$F74="TEC Del","",IF('CST-Calculation'!S74&gt;0,'CST-Calculation'!S74,IF('CST-Calculation'!$F74=0,"",'CST-Calculation'!$F74)))))</f>
        <v/>
      </c>
      <c r="T74" s="714" t="str">
        <f>IF('CST-Calculation'!T74=0,"",'CST-Calculation'!T74)</f>
        <v/>
      </c>
      <c r="U74" s="714" t="str">
        <f>IF(S74="","",IF(T74="TEC Rejected","",IF(T74="","",ROUND(1.3224*Form!$D$10*T74,2))))</f>
        <v/>
      </c>
      <c r="V74" s="714" t="str">
        <f t="shared" si="32"/>
        <v/>
      </c>
      <c r="W74" s="713" t="str">
        <f>IF(X74="","",IF('CST-Calculation'!$F74="Indg","",IF('CST-Calculation'!$F74="TEC Del","",IF('CST-Calculation'!W74&gt;0,'CST-Calculation'!W74,IF('CST-Calculation'!$F74=0,"",'CST-Calculation'!$F74)))))</f>
        <v/>
      </c>
      <c r="X74" s="714" t="str">
        <f>IF('CST-Calculation'!X74=0,"",'CST-Calculation'!X74)</f>
        <v/>
      </c>
      <c r="Y74" s="714" t="str">
        <f>IF(W74="","",IF(X74="TEC Rejected","",IF(X74="","",ROUND(1.3224*Form!$D$10*X74,2))))</f>
        <v/>
      </c>
      <c r="Z74" s="714" t="str">
        <f t="shared" si="36"/>
        <v/>
      </c>
      <c r="AA74" s="713" t="str">
        <f>IF(AB74="","",IF('CST-Calculation'!$F74="Indg","",IF('CST-Calculation'!$F74="TEC Del","",IF('CST-Calculation'!AA74&gt;0,'CST-Calculation'!AA74,IF('CST-Calculation'!$F74=0,"",'CST-Calculation'!$F74)))))</f>
        <v/>
      </c>
      <c r="AB74" s="714" t="str">
        <f>IF('CST-Calculation'!AB74=0,"",'CST-Calculation'!AB74)</f>
        <v/>
      </c>
      <c r="AC74" s="714" t="str">
        <f t="shared" si="37"/>
        <v/>
      </c>
      <c r="AD74" s="714" t="str">
        <f t="shared" si="38"/>
        <v/>
      </c>
      <c r="AE74" s="713" t="str">
        <f>IF(AF74="","",IF('CST-Calculation'!$F74="Indg","",IF('CST-Calculation'!$F74="TEC Del","",IF('CST-Calculation'!AE74&gt;0,'CST-Calculation'!AE74,IF('CST-Calculation'!$F74=0,"",'CST-Calculation'!$F74)))))</f>
        <v/>
      </c>
      <c r="AF74" s="714" t="str">
        <f>IF('CST-Calculation'!AF74=0,"",'CST-Calculation'!AF74)</f>
        <v/>
      </c>
      <c r="AG74" s="714" t="str">
        <f>IF(AE74="","",IF(AF74="TEC Rejected","",IF(AF74="","",ROUND(1.3224*Form!$D$10*AF74,2))))</f>
        <v/>
      </c>
      <c r="AH74" s="714" t="str">
        <f t="shared" si="39"/>
        <v/>
      </c>
      <c r="AI74" s="713" t="str">
        <f>IF(AJ74="","",IF('CST-Calculation'!$F74="Indg","",IF('CST-Calculation'!$F74="TEC Del","",IF('CST-Calculation'!AI74&gt;0,'CST-Calculation'!AI74,IF('CST-Calculation'!$F74=0,"",'CST-Calculation'!$F74)))))</f>
        <v/>
      </c>
      <c r="AJ74" s="714" t="str">
        <f>IF('CST-Calculation'!AJ74=0,"",'CST-Calculation'!AJ74)</f>
        <v/>
      </c>
      <c r="AK74" s="714" t="str">
        <f t="shared" si="40"/>
        <v/>
      </c>
      <c r="AL74" s="714" t="str">
        <f t="shared" si="41"/>
        <v/>
      </c>
      <c r="AM74" s="713" t="str">
        <f>IF(AN74="","",IF('CST-Calculation'!$F74="Indg","",IF('CST-Calculation'!$F74="TEC Del","",IF('CST-Calculation'!AM74&gt;0,'CST-Calculation'!AM74,IF('CST-Calculation'!$F74=0,"",'CST-Calculation'!$F74)))))</f>
        <v/>
      </c>
      <c r="AN74" s="714" t="str">
        <f>IF('CST-Calculation'!AN74=0,"",'CST-Calculation'!AN74)</f>
        <v/>
      </c>
      <c r="AO74" s="714" t="str">
        <f>IF(AM74="","",IF(AN74="TEC Rejected","",IF(AN74="","",ROUND(1.3224*Form!$D$10*AN74,2))))</f>
        <v/>
      </c>
      <c r="AP74" s="714" t="str">
        <f t="shared" si="42"/>
        <v/>
      </c>
      <c r="AQ74" s="713" t="str">
        <f>IF(AR74="","",IF('CST-Calculation'!$F74="Indg","",IF('CST-Calculation'!$F74="TEC Del","",IF('CST-Calculation'!AQ74&gt;0,'CST-Calculation'!AQ74,IF('CST-Calculation'!$F74=0,"",'CST-Calculation'!$F74)))))</f>
        <v/>
      </c>
      <c r="AR74" s="714" t="str">
        <f>IF('CST-Calculation'!AR74=0,"",'CST-Calculation'!AR74)</f>
        <v/>
      </c>
      <c r="AS74" s="714" t="str">
        <f>IF(AQ74="","",IF(AR74="TEC Rejected","",IF(AR74="","",ROUND(1.3224*Form!$D$10*AR74,2))))</f>
        <v/>
      </c>
      <c r="AT74" s="714" t="str">
        <f t="shared" si="43"/>
        <v/>
      </c>
      <c r="AU74" s="713" t="str">
        <f>IF(AV74="","",IF('CST-Calculation'!$F74="Indg","",IF('CST-Calculation'!$F74="TEC Del","",IF('CST-Calculation'!AU74&gt;0,'CST-Calculation'!AU74,IF('CST-Calculation'!$F74=0,"",'CST-Calculation'!$F74)))))</f>
        <v/>
      </c>
      <c r="AV74" s="714" t="str">
        <f>IF('CST-Calculation'!AV74=0,"",'CST-Calculation'!AV74)</f>
        <v/>
      </c>
      <c r="AW74" s="714" t="str">
        <f>IF(AU74="","",IF(AV74="TEC Rejected","",IF(AV74="","",ROUND(1.3224*Form!$D$10*AV74,2))))</f>
        <v/>
      </c>
      <c r="AX74" s="714" t="str">
        <f t="shared" si="44"/>
        <v/>
      </c>
      <c r="AY74" s="715" t="str">
        <f t="shared" si="45"/>
        <v>NO OFFER</v>
      </c>
      <c r="AZ74" s="716" t="str">
        <f t="shared" si="46"/>
        <v>NO OFFER</v>
      </c>
      <c r="BA74" s="716" t="str">
        <f t="shared" si="47"/>
        <v>&lt;= 20%</v>
      </c>
      <c r="BB74" s="716">
        <f>IF(AY74="EST",ROUND(BD74/1.18,2),IF(AY74="ADRYS",ROUND(BD74/1.18,2),ROUND(BD74/(1.3224*Form!$D$10),2)))</f>
        <v>0</v>
      </c>
      <c r="BC74" s="784">
        <f>IF(OR(AY74="EST",AY74="ADRYS"),ROUND(BE74/1.18,2),ROUND(BE74/(1.3224*Form!$D$10),2))</f>
        <v>0</v>
      </c>
      <c r="BD74" s="717">
        <f>IF(F74="Indg",0,IF(F74="TEC Del",0,IF(AND(IF(G74="",TRUE,G74&lt;=ROUNDUP(1.2*F74,0)),IF(K74="",TRUE,K74&lt;=ROUNDUP(1.2*F74,0)),IF(O74="",TRUE,O74&lt;=ROUNDUP(1.2*F74,0)),IF(S74="",TRUE,S74&lt;=ROUNDUP(1.2*F74,0)),IF(W74="",TRUE,W74&lt;=ROUNDUP(1.2*F74,0)),IF(AA74="",TRUE,AA74&lt;=ROUNDUP(1.2*F74,0)),IF(AE74="",TRUE,AE74&lt;=ROUNDUP(1.2*F74,0)),IF(AI74="",TRUE,AI74&lt;=ROUNDUP(1.2*F74,0)),IF(AM74="",TRUE,AM74&lt;=ROUNDUP(1.2*F74,0)),IF(AQ74="",TRUE,AQ74&lt;=ROUNDUP(1.2*F74,0)),IF(AU74="",TRUE,AU74&lt;=ROUNDUP(1.2*F74,0))),IF(F74=0,0,(IF(SUM(I74,M74,Q74,U74,Y74,AC74,AG74,AK74,AO74,AS74,AW74)=0,0,SMALL((I74,M74,Q74,U74,Y74,AC74,AG74,AK74,AO74,AS74,AW74),COUNTIF((I74:AW74),0)+1)))),IF(BE74=J74,I74,IF(BE74=N74,M74,IF(BE74=R74,Q74,IF(BE74=V74,U74,IF(BE74=Z74,Y74,IF(BE74=AD74,AC74,IF(BE74=AH74,AG74,IF(BE74=AL74,AK74,IF(BE74=AP74,AO74,IF(BE74=AT74,AS74,IF(BE74=AX74,AW74))))))))))))))</f>
        <v>0</v>
      </c>
      <c r="BE74" s="714">
        <f>IF(F74="Indg",0,IF(F74="TEC Del",0,IF(AND(IF(G74="",TRUE,G74&lt;=ROUNDUP(1.2*F74,0)),IF(K74="",TRUE,K74&lt;=ROUNDUP(1.2*F74,0)),IF(O74="",TRUE,O74&lt;=ROUNDUP(1.2*F74,0)),IF(S74="",TRUE,S74&lt;=ROUNDUP(1.2*F74,0)),IF(W74="",TRUE,W74&lt;=ROUNDUP(1.2*F74,0)),IF(AA74="",TRUE,AA74&lt;=ROUNDUP(1.2*F74,0)),IF(AE74="",TRUE,AE74&lt;=ROUNDUP(1.2*F74,0)),IF(AI74="",TRUE,AI74&lt;=ROUNDUP(1.2*F74,0)),IF(AM74="",TRUE,AM74&lt;=ROUNDUP(1.2*F74,0)),IF(AQ74="",TRUE,AQ74&lt;=ROUNDUP(1.2*F74,0)),IF(AU74="",TRUE,AU74&lt;=ROUNDUP(1.2*F74,0))),ROUND(BD74*IF(BD74=I74,G74,IF(BD74=M74,K74,IF(BD74=Q74,O74,IF(BD74=U74,S74,IF(BD74=Y74,W74,IF(BD74=AC74,AA74,IF(BD74=AG74,AE74,IF(BD74=AK74,AI74,IF(BD74=AO74,AM74,IF(BD74=AS74,AQ74,IF(BD74=AW74,AU74))))))))))),2),(IF(SUM(J74,N74,R74,V74,Z74,AD74,AH74,AL74,AP74,AT74,AX74)=0,0,SMALL((J74,N74,R74,V74,Z74,AD74,AH74,AL74,AP74,AT74,AX74),COUNTIF((J74:AX74),0)+1))))))</f>
        <v>0</v>
      </c>
      <c r="BF74" s="714">
        <f>IF('Annexure-I'!L71="",'Annexure-I'!F71,'Annexure-I'!L71)</f>
        <v>16856.5</v>
      </c>
      <c r="BG74" s="714" t="str">
        <f>IF('Annexure-I'!M71="",'Annexure-I'!G71,'Annexure-I'!M71)</f>
        <v>CONTRACT-A70</v>
      </c>
      <c r="BH74" s="764">
        <f>IF('Annexure-I'!N71="",'Annexure-I'!H71,'Annexure-I'!N71)</f>
        <v>41789</v>
      </c>
      <c r="BI74" s="717">
        <f>IF('Annexure-I'!P71="",'Annexure-I'!J71,'Annexure-I'!P71)</f>
        <v>27746.46</v>
      </c>
      <c r="BJ74" s="717">
        <f>IF('Annexure-I'!Q71="",'Annexure-I'!K71,'Annexure-I'!Q71)</f>
        <v>3037357.0303171198</v>
      </c>
      <c r="BK74" s="714">
        <f>'Annexure-I'!F71</f>
        <v>16856.5</v>
      </c>
      <c r="BL74" s="718" t="str">
        <f>'Annexure-I'!G71</f>
        <v>CONTRACT-A70</v>
      </c>
      <c r="BM74" s="764">
        <f>IF('Annexure-I'!H71=0,"",'Annexure-I'!H71)</f>
        <v>41789</v>
      </c>
      <c r="BN74" s="717">
        <f>'Annexure-I'!J71</f>
        <v>27746.46</v>
      </c>
      <c r="BO74" s="717">
        <f>'Annexure-I'!K71</f>
        <v>3037357.0303171198</v>
      </c>
      <c r="BP74" s="714">
        <f>IF(OR(AY74="EST",AY74="ADRYS"),ROUND((BC74*1.18)/(1.3224*Form!$D$10),2),BC74)</f>
        <v>0</v>
      </c>
      <c r="BQ74" s="714">
        <f>ROUND(BS74/(1.3224*Form!$D$10),2)</f>
        <v>0</v>
      </c>
      <c r="BR74" s="714">
        <f t="shared" si="48"/>
        <v>0</v>
      </c>
      <c r="BS74" s="714">
        <f t="shared" si="49"/>
        <v>0</v>
      </c>
      <c r="BT74" s="719">
        <f t="shared" si="50"/>
        <v>0</v>
      </c>
      <c r="BU74" s="714"/>
      <c r="BV74" s="714">
        <f t="shared" si="33"/>
        <v>0</v>
      </c>
      <c r="BW74" s="714">
        <f>IF(OR(AY74="EST",AY74="ADRYS"),ROUND(1.18*BU74,2),ROUND(BU74*1.3224*Form!$D$10,2))</f>
        <v>0</v>
      </c>
      <c r="BX74" s="714">
        <f t="shared" si="34"/>
        <v>0</v>
      </c>
      <c r="BY74" s="719">
        <f>IF((BX74)=0,0,(BX74-BS74)/BS74)</f>
        <v>0</v>
      </c>
      <c r="BZ74" s="714">
        <f t="shared" si="35"/>
        <v>15186785.15</v>
      </c>
      <c r="CA74" s="722"/>
      <c r="CB74" s="728"/>
      <c r="CC74" s="4"/>
      <c r="CD74" s="4"/>
      <c r="CE74" s="4"/>
      <c r="CF74" s="4"/>
      <c r="CG74" s="4"/>
      <c r="CH74" s="4"/>
      <c r="CI74" s="721"/>
    </row>
    <row r="75" spans="1:96" s="579" customFormat="1" ht="45" x14ac:dyDescent="0.25">
      <c r="A75" s="712">
        <f>SUBTOTAL(2,$B$5:B75)</f>
        <v>71</v>
      </c>
      <c r="B75" s="754">
        <v>71</v>
      </c>
      <c r="C75" s="755" t="s">
        <v>739</v>
      </c>
      <c r="D75" s="755" t="s">
        <v>620</v>
      </c>
      <c r="E75" s="754">
        <v>14</v>
      </c>
      <c r="F75" s="658">
        <f>'Annexure-I'!E72</f>
        <v>14</v>
      </c>
      <c r="G75" s="784" t="str">
        <f>IF('CST-Calculation'!G75=0,"",'CST-Calculation'!G75)</f>
        <v/>
      </c>
      <c r="H75" s="784" t="str">
        <f>IF('CST-Calculation'!H75=0,"",'CST-Calculation'!H75)</f>
        <v/>
      </c>
      <c r="I75" s="714" t="str">
        <f>IF(G75="","",IF(H75="TEC Rejected","",IF(H75="","",ROUND(1.3224*Form!$D$10*H75,2))))</f>
        <v/>
      </c>
      <c r="J75" s="714" t="str">
        <f t="shared" si="29"/>
        <v/>
      </c>
      <c r="K75" s="713" t="str">
        <f>IF(L75="","",IF('CST-Calculation'!$F75="Indg","",IF('CST-Calculation'!$F75="TEC Del","",IF('CST-Calculation'!K75&gt;0,'CST-Calculation'!K75,IF('CST-Calculation'!$F75=0,"",'CST-Calculation'!$F75)))))</f>
        <v/>
      </c>
      <c r="L75" s="714" t="str">
        <f>IF('CST-Calculation'!L75=0,"",'CST-Calculation'!L75)</f>
        <v/>
      </c>
      <c r="M75" s="714" t="str">
        <f>IF(K75="","",IF(L75="TEC Rejected","",IF(L75="","",ROUND(1.3224*Form!$D$10*L75,2))))</f>
        <v/>
      </c>
      <c r="N75" s="714" t="str">
        <f t="shared" si="30"/>
        <v/>
      </c>
      <c r="O75" s="89">
        <f>IF(P75="","",IF('CST-Calculation'!$F75="Indg","",IF('CST-Calculation'!$F75="TEC Del","",IF('CST-Calculation'!O75&gt;0,'CST-Calculation'!O75,IF('CST-Calculation'!$F75=0,"",'CST-Calculation'!$F75)))))</f>
        <v>14</v>
      </c>
      <c r="P75" s="714">
        <f>IF('CST-Calculation'!P75=0,"",'CST-Calculation'!P75)</f>
        <v>14400</v>
      </c>
      <c r="Q75" s="714">
        <f>IF(O75="","",IF(P75="TEC Rejected","",IF(P75="","",ROUND(1.3224*Form!$D$10*P75,2))))</f>
        <v>1576343.12</v>
      </c>
      <c r="R75" s="714">
        <f t="shared" si="31"/>
        <v>22068803.68</v>
      </c>
      <c r="S75" s="89" t="str">
        <f>IF(T75="","",IF('CST-Calculation'!$F75="Indg","",IF('CST-Calculation'!$F75="TEC Del","",IF('CST-Calculation'!S75&gt;0,'CST-Calculation'!S75,IF('CST-Calculation'!$F75=0,"",'CST-Calculation'!$F75)))))</f>
        <v/>
      </c>
      <c r="T75" s="714" t="str">
        <f>IF('CST-Calculation'!T75=0,"",'CST-Calculation'!T75)</f>
        <v/>
      </c>
      <c r="U75" s="714" t="str">
        <f>IF(S75="","",IF(T75="TEC Rejected","",IF(T75="","",ROUND(1.3224*Form!$D$10*T75,2))))</f>
        <v/>
      </c>
      <c r="V75" s="714" t="str">
        <f t="shared" si="32"/>
        <v/>
      </c>
      <c r="W75" s="713" t="str">
        <f>IF(X75="","",IF('CST-Calculation'!$F75="Indg","",IF('CST-Calculation'!$F75="TEC Del","",IF('CST-Calculation'!W75&gt;0,'CST-Calculation'!W75,IF('CST-Calculation'!$F75=0,"",'CST-Calculation'!$F75)))))</f>
        <v/>
      </c>
      <c r="X75" s="714" t="str">
        <f>IF('CST-Calculation'!X75=0,"",'CST-Calculation'!X75)</f>
        <v/>
      </c>
      <c r="Y75" s="714" t="str">
        <f>IF(W75="","",IF(X75="TEC Rejected","",IF(X75="","",ROUND(1.3224*Form!$D$10*X75,2))))</f>
        <v/>
      </c>
      <c r="Z75" s="714" t="str">
        <f t="shared" si="36"/>
        <v/>
      </c>
      <c r="AA75" s="713" t="str">
        <f>IF(AB75="","",IF('CST-Calculation'!$F75="Indg","",IF('CST-Calculation'!$F75="TEC Del","",IF('CST-Calculation'!AA75&gt;0,'CST-Calculation'!AA75,IF('CST-Calculation'!$F75=0,"",'CST-Calculation'!$F75)))))</f>
        <v/>
      </c>
      <c r="AB75" s="714" t="str">
        <f>IF('CST-Calculation'!AB75=0,"",'CST-Calculation'!AB75)</f>
        <v/>
      </c>
      <c r="AC75" s="714" t="str">
        <f t="shared" si="37"/>
        <v/>
      </c>
      <c r="AD75" s="714" t="str">
        <f t="shared" si="38"/>
        <v/>
      </c>
      <c r="AE75" s="713" t="str">
        <f>IF(AF75="","",IF('CST-Calculation'!$F75="Indg","",IF('CST-Calculation'!$F75="TEC Del","",IF('CST-Calculation'!AE75&gt;0,'CST-Calculation'!AE75,IF('CST-Calculation'!$F75=0,"",'CST-Calculation'!$F75)))))</f>
        <v/>
      </c>
      <c r="AF75" s="714" t="str">
        <f>IF('CST-Calculation'!AF75=0,"",'CST-Calculation'!AF75)</f>
        <v/>
      </c>
      <c r="AG75" s="714" t="str">
        <f>IF(AE75="","",IF(AF75="TEC Rejected","",IF(AF75="","",ROUND(1.3224*Form!$D$10*AF75,2))))</f>
        <v/>
      </c>
      <c r="AH75" s="714" t="str">
        <f t="shared" si="39"/>
        <v/>
      </c>
      <c r="AI75" s="713" t="str">
        <f>IF(AJ75="","",IF('CST-Calculation'!$F75="Indg","",IF('CST-Calculation'!$F75="TEC Del","",IF('CST-Calculation'!AI75&gt;0,'CST-Calculation'!AI75,IF('CST-Calculation'!$F75=0,"",'CST-Calculation'!$F75)))))</f>
        <v/>
      </c>
      <c r="AJ75" s="714" t="str">
        <f>IF('CST-Calculation'!AJ75=0,"",'CST-Calculation'!AJ75)</f>
        <v/>
      </c>
      <c r="AK75" s="714" t="str">
        <f t="shared" si="40"/>
        <v/>
      </c>
      <c r="AL75" s="714" t="str">
        <f t="shared" si="41"/>
        <v/>
      </c>
      <c r="AM75" s="713" t="str">
        <f>IF(AN75="","",IF('CST-Calculation'!$F75="Indg","",IF('CST-Calculation'!$F75="TEC Del","",IF('CST-Calculation'!AM75&gt;0,'CST-Calculation'!AM75,IF('CST-Calculation'!$F75=0,"",'CST-Calculation'!$F75)))))</f>
        <v/>
      </c>
      <c r="AN75" s="714" t="str">
        <f>IF('CST-Calculation'!AN75=0,"",'CST-Calculation'!AN75)</f>
        <v/>
      </c>
      <c r="AO75" s="714" t="str">
        <f>IF(AM75="","",IF(AN75="TEC Rejected","",IF(AN75="","",ROUND(1.3224*Form!$D$10*AN75,2))))</f>
        <v/>
      </c>
      <c r="AP75" s="714" t="str">
        <f t="shared" si="42"/>
        <v/>
      </c>
      <c r="AQ75" s="713" t="str">
        <f>IF(AR75="","",IF('CST-Calculation'!$F75="Indg","",IF('CST-Calculation'!$F75="TEC Del","",IF('CST-Calculation'!AQ75&gt;0,'CST-Calculation'!AQ75,IF('CST-Calculation'!$F75=0,"",'CST-Calculation'!$F75)))))</f>
        <v/>
      </c>
      <c r="AR75" s="714" t="str">
        <f>IF('CST-Calculation'!AR75=0,"",'CST-Calculation'!AR75)</f>
        <v/>
      </c>
      <c r="AS75" s="714" t="str">
        <f>IF(AQ75="","",IF(AR75="TEC Rejected","",IF(AR75="","",ROUND(1.3224*Form!$D$10*AR75,2))))</f>
        <v/>
      </c>
      <c r="AT75" s="714" t="str">
        <f t="shared" si="43"/>
        <v/>
      </c>
      <c r="AU75" s="713" t="str">
        <f>IF(AV75="","",IF('CST-Calculation'!$F75="Indg","",IF('CST-Calculation'!$F75="TEC Del","",IF('CST-Calculation'!AU75&gt;0,'CST-Calculation'!AU75,IF('CST-Calculation'!$F75=0,"",'CST-Calculation'!$F75)))))</f>
        <v/>
      </c>
      <c r="AV75" s="714" t="str">
        <f>IF('CST-Calculation'!AV75=0,"",'CST-Calculation'!AV75)</f>
        <v/>
      </c>
      <c r="AW75" s="714" t="str">
        <f>IF(AU75="","",IF(AV75="TEC Rejected","",IF(AV75="","",ROUND(1.3224*Form!$D$10*AV75,2))))</f>
        <v/>
      </c>
      <c r="AX75" s="714" t="str">
        <f t="shared" si="44"/>
        <v/>
      </c>
      <c r="AY75" s="715" t="str">
        <f t="shared" si="45"/>
        <v>GIS</v>
      </c>
      <c r="AZ75" s="716" t="str">
        <f t="shared" si="46"/>
        <v>SINGLE</v>
      </c>
      <c r="BA75" s="716" t="str">
        <f t="shared" si="47"/>
        <v>&lt;= 20%</v>
      </c>
      <c r="BB75" s="716">
        <f>IF(AY75="EST",ROUND(BD75/1.18,2),IF(AY75="ADRYS",ROUND(BD75/1.18,2),ROUND(BD75/(1.3224*Form!$D$10),2)))</f>
        <v>14400</v>
      </c>
      <c r="BC75" s="784">
        <f>IF(OR(AY75="EST",AY75="ADRYS"),ROUND(BE75/1.18,2),ROUND(BE75/(1.3224*Form!$D$10),2))</f>
        <v>201600</v>
      </c>
      <c r="BD75" s="717">
        <f>IF(F75="Indg",0,IF(F75="TEC Del",0,IF(AND(IF(G75="",TRUE,G75&lt;=ROUNDUP(1.2*F75,0)),IF(K75="",TRUE,K75&lt;=ROUNDUP(1.2*F75,0)),IF(O75="",TRUE,O75&lt;=ROUNDUP(1.2*F75,0)),IF(S75="",TRUE,S75&lt;=ROUNDUP(1.2*F75,0)),IF(W75="",TRUE,W75&lt;=ROUNDUP(1.2*F75,0)),IF(AA75="",TRUE,AA75&lt;=ROUNDUP(1.2*F75,0)),IF(AE75="",TRUE,AE75&lt;=ROUNDUP(1.2*F75,0)),IF(AI75="",TRUE,AI75&lt;=ROUNDUP(1.2*F75,0)),IF(AM75="",TRUE,AM75&lt;=ROUNDUP(1.2*F75,0)),IF(AQ75="",TRUE,AQ75&lt;=ROUNDUP(1.2*F75,0)),IF(AU75="",TRUE,AU75&lt;=ROUNDUP(1.2*F75,0))),IF(F75=0,0,(IF(SUM(I75,M75,Q75,U75,Y75,AC75,AG75,AK75,AO75,AS75,AW75)=0,0,SMALL((I75,M75,Q75,U75,Y75,AC75,AG75,AK75,AO75,AS75,AW75),COUNTIF((I75:AW75),0)+1)))),IF(BE75=J75,I75,IF(BE75=N75,M75,IF(BE75=R75,Q75,IF(BE75=V75,U75,IF(BE75=Z75,Y75,IF(BE75=AD75,AC75,IF(BE75=AH75,AG75,IF(BE75=AL75,AK75,IF(BE75=AP75,AO75,IF(BE75=AT75,AS75,IF(BE75=AX75,AW75))))))))))))))</f>
        <v>1576343.12</v>
      </c>
      <c r="BE75" s="714">
        <f>IF(F75="Indg",0,IF(F75="TEC Del",0,IF(AND(IF(G75="",TRUE,G75&lt;=ROUNDUP(1.2*F75,0)),IF(K75="",TRUE,K75&lt;=ROUNDUP(1.2*F75,0)),IF(O75="",TRUE,O75&lt;=ROUNDUP(1.2*F75,0)),IF(S75="",TRUE,S75&lt;=ROUNDUP(1.2*F75,0)),IF(W75="",TRUE,W75&lt;=ROUNDUP(1.2*F75,0)),IF(AA75="",TRUE,AA75&lt;=ROUNDUP(1.2*F75,0)),IF(AE75="",TRUE,AE75&lt;=ROUNDUP(1.2*F75,0)),IF(AI75="",TRUE,AI75&lt;=ROUNDUP(1.2*F75,0)),IF(AM75="",TRUE,AM75&lt;=ROUNDUP(1.2*F75,0)),IF(AQ75="",TRUE,AQ75&lt;=ROUNDUP(1.2*F75,0)),IF(AU75="",TRUE,AU75&lt;=ROUNDUP(1.2*F75,0))),ROUND(BD75*IF(BD75=I75,G75,IF(BD75=M75,K75,IF(BD75=Q75,O75,IF(BD75=U75,S75,IF(BD75=Y75,W75,IF(BD75=AC75,AA75,IF(BD75=AG75,AE75,IF(BD75=AK75,AI75,IF(BD75=AO75,AM75,IF(BD75=AS75,AQ75,IF(BD75=AW75,AU75))))))))))),2),(IF(SUM(J75,N75,R75,V75,Z75,AD75,AH75,AL75,AP75,AT75,AX75)=0,0,SMALL((J75,N75,R75,V75,Z75,AD75,AH75,AL75,AP75,AT75,AX75),COUNTIF((J75:AX75),0)+1))))))</f>
        <v>22068803.68</v>
      </c>
      <c r="BF75" s="714">
        <f>IF('Annexure-I'!L72="",'Annexure-I'!F72,'Annexure-I'!L72)</f>
        <v>196.8</v>
      </c>
      <c r="BG75" s="714" t="str">
        <f>IF('Annexure-I'!M72="",'Annexure-I'!G72,'Annexure-I'!M72)</f>
        <v>CONTRACT-A71</v>
      </c>
      <c r="BH75" s="764">
        <f>IF('Annexure-I'!N72="",'Annexure-I'!H72,'Annexure-I'!N72)</f>
        <v>40967</v>
      </c>
      <c r="BI75" s="717">
        <f>IF('Annexure-I'!P72="",'Annexure-I'!J72,'Annexure-I'!P72)</f>
        <v>360.55</v>
      </c>
      <c r="BJ75" s="717">
        <f>IF('Annexure-I'!Q72="",'Annexure-I'!K72,'Annexure-I'!Q72)</f>
        <v>39468.785469600007</v>
      </c>
      <c r="BK75" s="714">
        <f>'Annexure-I'!F72</f>
        <v>196.8</v>
      </c>
      <c r="BL75" s="718" t="str">
        <f>'Annexure-I'!G72</f>
        <v>CONTRACT-A71</v>
      </c>
      <c r="BM75" s="764">
        <f>IF('Annexure-I'!H72=0,"",'Annexure-I'!H72)</f>
        <v>40967</v>
      </c>
      <c r="BN75" s="717">
        <f>'Annexure-I'!J72</f>
        <v>360.55</v>
      </c>
      <c r="BO75" s="717">
        <f>'Annexure-I'!K72</f>
        <v>39468.785469600007</v>
      </c>
      <c r="BP75" s="714">
        <f>IF(OR(AY75="EST",AY75="ADRYS"),ROUND((BC75*1.18)/(1.3224*Form!$D$10),2),BC75)</f>
        <v>201600</v>
      </c>
      <c r="BQ75" s="714">
        <f>ROUND(BS75/(1.3224*Form!$D$10),2)</f>
        <v>5047.7</v>
      </c>
      <c r="BR75" s="714">
        <f t="shared" si="48"/>
        <v>22068803.68</v>
      </c>
      <c r="BS75" s="714">
        <f t="shared" si="49"/>
        <v>552563</v>
      </c>
      <c r="BT75" s="719">
        <f t="shared" si="50"/>
        <v>38.938981944140309</v>
      </c>
      <c r="BU75" s="714"/>
      <c r="BV75" s="714">
        <f t="shared" si="33"/>
        <v>0</v>
      </c>
      <c r="BW75" s="714">
        <f>IF(OR(AY75="EST",AY75="ADRYS"),ROUND(1.18*BU75,2),ROUND(BU75*1.3224*Form!$D$10,2))</f>
        <v>0</v>
      </c>
      <c r="BX75" s="714">
        <f t="shared" si="34"/>
        <v>0</v>
      </c>
      <c r="BY75" s="719">
        <f t="shared" si="51"/>
        <v>0</v>
      </c>
      <c r="BZ75" s="714">
        <f t="shared" si="35"/>
        <v>552563</v>
      </c>
      <c r="CA75" s="720"/>
      <c r="CB75" s="726"/>
      <c r="CC75" s="4"/>
      <c r="CD75" s="4"/>
      <c r="CE75" s="4"/>
      <c r="CF75" s="4"/>
      <c r="CG75" s="4"/>
      <c r="CH75" s="4"/>
      <c r="CI75" s="721"/>
      <c r="CJ75" s="645"/>
      <c r="CK75" s="592"/>
    </row>
    <row r="76" spans="1:96" s="579" customFormat="1" ht="45" x14ac:dyDescent="0.25">
      <c r="A76" s="712">
        <f>SUBTOTAL(2,$B$5:B76)</f>
        <v>72</v>
      </c>
      <c r="B76" s="754">
        <v>72</v>
      </c>
      <c r="C76" s="756" t="s">
        <v>740</v>
      </c>
      <c r="D76" s="755" t="s">
        <v>621</v>
      </c>
      <c r="E76" s="754">
        <v>18</v>
      </c>
      <c r="F76" s="658">
        <f>'Annexure-I'!E73</f>
        <v>18</v>
      </c>
      <c r="G76" s="784" t="str">
        <f>IF('CST-Calculation'!G76=0,"",'CST-Calculation'!G76)</f>
        <v/>
      </c>
      <c r="H76" s="784" t="str">
        <f>IF('CST-Calculation'!H76=0,"",'CST-Calculation'!H76)</f>
        <v/>
      </c>
      <c r="I76" s="714" t="str">
        <f>IF(G76="","",IF(H76="TEC Rejected","",IF(H76="","",ROUND(1.3224*Form!$D$10*H76,2))))</f>
        <v/>
      </c>
      <c r="J76" s="714" t="str">
        <f t="shared" si="29"/>
        <v/>
      </c>
      <c r="K76" s="713" t="str">
        <f>IF(L76="","",IF('CST-Calculation'!$F76="Indg","",IF('CST-Calculation'!$F76="TEC Del","",IF('CST-Calculation'!K76&gt;0,'CST-Calculation'!K76,IF('CST-Calculation'!$F76=0,"",'CST-Calculation'!$F76)))))</f>
        <v/>
      </c>
      <c r="L76" s="714" t="str">
        <f>IF('CST-Calculation'!L76=0,"",'CST-Calculation'!L76)</f>
        <v/>
      </c>
      <c r="M76" s="714" t="str">
        <f>IF(K76="","",IF(L76="TEC Rejected","",IF(L76="","",ROUND(1.3224*Form!$D$10*L76,2))))</f>
        <v/>
      </c>
      <c r="N76" s="714" t="str">
        <f t="shared" si="30"/>
        <v/>
      </c>
      <c r="O76" s="89">
        <f>IF(P76="","",IF('CST-Calculation'!$F76="Indg","",IF('CST-Calculation'!$F76="TEC Del","",IF('CST-Calculation'!O76&gt;0,'CST-Calculation'!O76,IF('CST-Calculation'!$F76=0,"",'CST-Calculation'!$F76)))))</f>
        <v>18</v>
      </c>
      <c r="P76" s="714">
        <f>IF('CST-Calculation'!P76=0,"",'CST-Calculation'!P76)</f>
        <v>80</v>
      </c>
      <c r="Q76" s="714">
        <f>IF(O76="","",IF(P76="TEC Rejected","",IF(P76="","",ROUND(1.3224*Form!$D$10*P76,2))))</f>
        <v>8757.4599999999991</v>
      </c>
      <c r="R76" s="714">
        <f t="shared" si="31"/>
        <v>157634.28</v>
      </c>
      <c r="S76" s="89">
        <f>IF(T76="","",IF('CST-Calculation'!$F76="Indg","",IF('CST-Calculation'!$F76="TEC Del","",IF('CST-Calculation'!S76&gt;0,'CST-Calculation'!S76,IF('CST-Calculation'!$F76=0,"",'CST-Calculation'!$F76)))))</f>
        <v>18</v>
      </c>
      <c r="T76" s="714">
        <f>IF('CST-Calculation'!T76=0,"",'CST-Calculation'!T76)</f>
        <v>60.2</v>
      </c>
      <c r="U76" s="714">
        <f>IF(S76="","",IF(T76="TEC Rejected","",IF(T76="","",ROUND(1.3224*Form!$D$10*T76,2))))</f>
        <v>6589.99</v>
      </c>
      <c r="V76" s="714">
        <f t="shared" si="32"/>
        <v>118619.82</v>
      </c>
      <c r="W76" s="713" t="str">
        <f>IF(X76="","",IF('CST-Calculation'!$F76="Indg","",IF('CST-Calculation'!$F76="TEC Del","",IF('CST-Calculation'!W76&gt;0,'CST-Calculation'!W76,IF('CST-Calculation'!$F76=0,"",'CST-Calculation'!$F76)))))</f>
        <v/>
      </c>
      <c r="X76" s="714" t="str">
        <f>IF('CST-Calculation'!X76=0,"",'CST-Calculation'!X76)</f>
        <v/>
      </c>
      <c r="Y76" s="714" t="str">
        <f>IF(W76="","",IF(X76="TEC Rejected","",IF(X76="","",ROUND(1.3224*Form!$D$10*X76,2))))</f>
        <v/>
      </c>
      <c r="Z76" s="714" t="str">
        <f t="shared" si="36"/>
        <v/>
      </c>
      <c r="AA76" s="713" t="str">
        <f>IF(AB76="","",IF('CST-Calculation'!$F76="Indg","",IF('CST-Calculation'!$F76="TEC Del","",IF('CST-Calculation'!AA76&gt;0,'CST-Calculation'!AA76,IF('CST-Calculation'!$F76=0,"",'CST-Calculation'!$F76)))))</f>
        <v/>
      </c>
      <c r="AB76" s="714" t="str">
        <f>IF('CST-Calculation'!AB76=0,"",'CST-Calculation'!AB76)</f>
        <v/>
      </c>
      <c r="AC76" s="714" t="str">
        <f t="shared" si="37"/>
        <v/>
      </c>
      <c r="AD76" s="714" t="str">
        <f t="shared" si="38"/>
        <v/>
      </c>
      <c r="AE76" s="713" t="str">
        <f>IF(AF76="","",IF('CST-Calculation'!$F76="Indg","",IF('CST-Calculation'!$F76="TEC Del","",IF('CST-Calculation'!AE76&gt;0,'CST-Calculation'!AE76,IF('CST-Calculation'!$F76=0,"",'CST-Calculation'!$F76)))))</f>
        <v/>
      </c>
      <c r="AF76" s="714" t="str">
        <f>IF('CST-Calculation'!AF76=0,"",'CST-Calculation'!AF76)</f>
        <v/>
      </c>
      <c r="AG76" s="714" t="str">
        <f>IF(AE76="","",IF(AF76="TEC Rejected","",IF(AF76="","",ROUND(1.3224*Form!$D$10*AF76,2))))</f>
        <v/>
      </c>
      <c r="AH76" s="714" t="str">
        <f t="shared" si="39"/>
        <v/>
      </c>
      <c r="AI76" s="713" t="str">
        <f>IF(AJ76="","",IF('CST-Calculation'!$F76="Indg","",IF('CST-Calculation'!$F76="TEC Del","",IF('CST-Calculation'!AI76&gt;0,'CST-Calculation'!AI76,IF('CST-Calculation'!$F76=0,"",'CST-Calculation'!$F76)))))</f>
        <v/>
      </c>
      <c r="AJ76" s="714" t="str">
        <f>IF('CST-Calculation'!AJ76=0,"",'CST-Calculation'!AJ76)</f>
        <v/>
      </c>
      <c r="AK76" s="714" t="str">
        <f t="shared" si="40"/>
        <v/>
      </c>
      <c r="AL76" s="714" t="str">
        <f t="shared" si="41"/>
        <v/>
      </c>
      <c r="AM76" s="713" t="str">
        <f>IF(AN76="","",IF('CST-Calculation'!$F76="Indg","",IF('CST-Calculation'!$F76="TEC Del","",IF('CST-Calculation'!AM76&gt;0,'CST-Calculation'!AM76,IF('CST-Calculation'!$F76=0,"",'CST-Calculation'!$F76)))))</f>
        <v/>
      </c>
      <c r="AN76" s="714" t="str">
        <f>IF('CST-Calculation'!AN76=0,"",'CST-Calculation'!AN76)</f>
        <v/>
      </c>
      <c r="AO76" s="714" t="str">
        <f>IF(AM76="","",IF(AN76="TEC Rejected","",IF(AN76="","",ROUND(1.3224*Form!$D$10*AN76,2))))</f>
        <v/>
      </c>
      <c r="AP76" s="714" t="str">
        <f t="shared" si="42"/>
        <v/>
      </c>
      <c r="AQ76" s="713" t="str">
        <f>IF(AR76="","",IF('CST-Calculation'!$F76="Indg","",IF('CST-Calculation'!$F76="TEC Del","",IF('CST-Calculation'!AQ76&gt;0,'CST-Calculation'!AQ76,IF('CST-Calculation'!$F76=0,"",'CST-Calculation'!$F76)))))</f>
        <v/>
      </c>
      <c r="AR76" s="714" t="str">
        <f>IF('CST-Calculation'!AR76=0,"",'CST-Calculation'!AR76)</f>
        <v/>
      </c>
      <c r="AS76" s="714" t="str">
        <f>IF(AQ76="","",IF(AR76="TEC Rejected","",IF(AR76="","",ROUND(1.3224*Form!$D$10*AR76,2))))</f>
        <v/>
      </c>
      <c r="AT76" s="714" t="str">
        <f t="shared" si="43"/>
        <v/>
      </c>
      <c r="AU76" s="713" t="str">
        <f>IF(AV76="","",IF('CST-Calculation'!$F76="Indg","",IF('CST-Calculation'!$F76="TEC Del","",IF('CST-Calculation'!AU76&gt;0,'CST-Calculation'!AU76,IF('CST-Calculation'!$F76=0,"",'CST-Calculation'!$F76)))))</f>
        <v/>
      </c>
      <c r="AV76" s="714" t="str">
        <f>IF('CST-Calculation'!AV76=0,"",'CST-Calculation'!AV76)</f>
        <v/>
      </c>
      <c r="AW76" s="714" t="str">
        <f>IF(AU76="","",IF(AV76="TEC Rejected","",IF(AV76="","",ROUND(1.3224*Form!$D$10*AV76,2))))</f>
        <v/>
      </c>
      <c r="AX76" s="714" t="str">
        <f t="shared" si="44"/>
        <v/>
      </c>
      <c r="AY76" s="715" t="str">
        <f t="shared" si="45"/>
        <v>IASL</v>
      </c>
      <c r="AZ76" s="716" t="str">
        <f t="shared" si="46"/>
        <v>MULTIPLE</v>
      </c>
      <c r="BA76" s="716" t="str">
        <f t="shared" si="47"/>
        <v>&lt;= 20%</v>
      </c>
      <c r="BB76" s="716">
        <f>IF(AY76="EST",ROUND(BD76/1.18,2),IF(AY76="ADRYS",ROUND(BD76/1.18,2),ROUND(BD76/(1.3224*Form!$D$10),2)))</f>
        <v>60.2</v>
      </c>
      <c r="BC76" s="784">
        <f>IF(OR(AY76="EST",AY76="ADRYS"),ROUND(BE76/1.18,2),ROUND(BE76/(1.3224*Form!$D$10),2))</f>
        <v>1083.5999999999999</v>
      </c>
      <c r="BD76" s="717">
        <f>IF(F76="Indg",0,IF(F76="TEC Del",0,IF(AND(IF(G76="",TRUE,G76&lt;=ROUNDUP(1.2*F76,0)),IF(K76="",TRUE,K76&lt;=ROUNDUP(1.2*F76,0)),IF(O76="",TRUE,O76&lt;=ROUNDUP(1.2*F76,0)),IF(S76="",TRUE,S76&lt;=ROUNDUP(1.2*F76,0)),IF(W76="",TRUE,W76&lt;=ROUNDUP(1.2*F76,0)),IF(AA76="",TRUE,AA76&lt;=ROUNDUP(1.2*F76,0)),IF(AE76="",TRUE,AE76&lt;=ROUNDUP(1.2*F76,0)),IF(AI76="",TRUE,AI76&lt;=ROUNDUP(1.2*F76,0)),IF(AM76="",TRUE,AM76&lt;=ROUNDUP(1.2*F76,0)),IF(AQ76="",TRUE,AQ76&lt;=ROUNDUP(1.2*F76,0)),IF(AU76="",TRUE,AU76&lt;=ROUNDUP(1.2*F76,0))),IF(F76=0,0,(IF(SUM(I76,M76,Q76,U76,Y76,AC76,AG76,AK76,AO76,AS76,AW76)=0,0,SMALL((I76,M76,Q76,U76,Y76,AC76,AG76,AK76,AO76,AS76,AW76),COUNTIF((I76:AW76),0)+1)))),IF(BE76=J76,I76,IF(BE76=N76,M76,IF(BE76=R76,Q76,IF(BE76=V76,U76,IF(BE76=Z76,Y76,IF(BE76=AD76,AC76,IF(BE76=AH76,AG76,IF(BE76=AL76,AK76,IF(BE76=AP76,AO76,IF(BE76=AT76,AS76,IF(BE76=AX76,AW76))))))))))))))</f>
        <v>6589.99</v>
      </c>
      <c r="BE76" s="714">
        <f>IF(F76="Indg",0,IF(F76="TEC Del",0,IF(AND(IF(G76="",TRUE,G76&lt;=ROUNDUP(1.2*F76,0)),IF(K76="",TRUE,K76&lt;=ROUNDUP(1.2*F76,0)),IF(O76="",TRUE,O76&lt;=ROUNDUP(1.2*F76,0)),IF(S76="",TRUE,S76&lt;=ROUNDUP(1.2*F76,0)),IF(W76="",TRUE,W76&lt;=ROUNDUP(1.2*F76,0)),IF(AA76="",TRUE,AA76&lt;=ROUNDUP(1.2*F76,0)),IF(AE76="",TRUE,AE76&lt;=ROUNDUP(1.2*F76,0)),IF(AI76="",TRUE,AI76&lt;=ROUNDUP(1.2*F76,0)),IF(AM76="",TRUE,AM76&lt;=ROUNDUP(1.2*F76,0)),IF(AQ76="",TRUE,AQ76&lt;=ROUNDUP(1.2*F76,0)),IF(AU76="",TRUE,AU76&lt;=ROUNDUP(1.2*F76,0))),ROUND(BD76*IF(BD76=I76,G76,IF(BD76=M76,K76,IF(BD76=Q76,O76,IF(BD76=U76,S76,IF(BD76=Y76,W76,IF(BD76=AC76,AA76,IF(BD76=AG76,AE76,IF(BD76=AK76,AI76,IF(BD76=AO76,AM76,IF(BD76=AS76,AQ76,IF(BD76=AW76,AU76))))))))))),2),(IF(SUM(J76,N76,R76,V76,Z76,AD76,AH76,AL76,AP76,AT76,AX76)=0,0,SMALL((J76,N76,R76,V76,Z76,AD76,AH76,AL76,AP76,AT76,AX76),COUNTIF((J76:AX76),0)+1))))))</f>
        <v>118619.82</v>
      </c>
      <c r="BF76" s="714">
        <f>IF('Annexure-I'!L73="",'Annexure-I'!F73,'Annexure-I'!L73)</f>
        <v>39.94</v>
      </c>
      <c r="BG76" s="714" t="str">
        <f>IF('Annexure-I'!M73="",'Annexure-I'!G73,'Annexure-I'!M73)</f>
        <v>CONTRACT-A72</v>
      </c>
      <c r="BH76" s="764">
        <f>IF('Annexure-I'!N73="",'Annexure-I'!H73,'Annexure-I'!N73)</f>
        <v>40967</v>
      </c>
      <c r="BI76" s="717">
        <f>IF('Annexure-I'!P73="",'Annexure-I'!J73,'Annexure-I'!P73)</f>
        <v>73.17</v>
      </c>
      <c r="BJ76" s="717">
        <f>IF('Annexure-I'!Q73="",'Annexure-I'!K73,'Annexure-I'!Q73)</f>
        <v>8009.7934622399998</v>
      </c>
      <c r="BK76" s="714">
        <f>'Annexure-I'!F73</f>
        <v>39.94</v>
      </c>
      <c r="BL76" s="718" t="str">
        <f>'Annexure-I'!G73</f>
        <v>CONTRACT-A72</v>
      </c>
      <c r="BM76" s="764">
        <f>IF('Annexure-I'!H73=0,"",'Annexure-I'!H73)</f>
        <v>40967</v>
      </c>
      <c r="BN76" s="717">
        <f>'Annexure-I'!J73</f>
        <v>73.17</v>
      </c>
      <c r="BO76" s="717">
        <f>'Annexure-I'!K73</f>
        <v>8009.7934622399998</v>
      </c>
      <c r="BP76" s="714">
        <f>IF(OR(AY76="EST",AY76="ADRYS"),ROUND((BC76*1.18)/(1.3224*Form!$D$10),2),BC76)</f>
        <v>1083.5999999999999</v>
      </c>
      <c r="BQ76" s="714">
        <f>ROUND(BS76/(1.3224*Form!$D$10),2)</f>
        <v>1317.06</v>
      </c>
      <c r="BR76" s="714">
        <f t="shared" si="48"/>
        <v>118619.82</v>
      </c>
      <c r="BS76" s="714">
        <f t="shared" si="49"/>
        <v>144176.28</v>
      </c>
      <c r="BT76" s="719">
        <f t="shared" si="50"/>
        <v>-0.17725842281407173</v>
      </c>
      <c r="BU76" s="714"/>
      <c r="BV76" s="714">
        <f t="shared" si="33"/>
        <v>0</v>
      </c>
      <c r="BW76" s="714">
        <f>IF(OR(AY76="EST",AY76="ADRYS"),ROUND(1.18*BU76,2),ROUND(BU76*1.3224*Form!$D$10,2))</f>
        <v>0</v>
      </c>
      <c r="BX76" s="714">
        <f t="shared" si="34"/>
        <v>0</v>
      </c>
      <c r="BY76" s="719">
        <f t="shared" si="51"/>
        <v>0</v>
      </c>
      <c r="BZ76" s="714">
        <f t="shared" si="35"/>
        <v>144176.28</v>
      </c>
      <c r="CA76" s="720"/>
      <c r="CB76" s="720"/>
      <c r="CC76" s="4"/>
      <c r="CD76" s="4"/>
      <c r="CE76" s="4"/>
      <c r="CF76" s="4"/>
      <c r="CG76" s="4"/>
      <c r="CH76" s="4"/>
      <c r="CI76" s="721"/>
      <c r="CR76" s="584"/>
    </row>
    <row r="77" spans="1:96" s="579" customFormat="1" ht="45" x14ac:dyDescent="0.25">
      <c r="A77" s="712">
        <f>SUBTOTAL(2,$B$5:B77)</f>
        <v>73</v>
      </c>
      <c r="B77" s="754">
        <v>73</v>
      </c>
      <c r="C77" s="755" t="s">
        <v>741</v>
      </c>
      <c r="D77" s="755" t="s">
        <v>131</v>
      </c>
      <c r="E77" s="754">
        <v>5</v>
      </c>
      <c r="F77" s="658">
        <f>'Annexure-I'!E74</f>
        <v>5</v>
      </c>
      <c r="G77" s="784" t="str">
        <f>IF('CST-Calculation'!G77=0,"",'CST-Calculation'!G77)</f>
        <v/>
      </c>
      <c r="H77" s="784" t="str">
        <f>IF('CST-Calculation'!H77=0,"",'CST-Calculation'!H77)</f>
        <v/>
      </c>
      <c r="I77" s="714" t="str">
        <f>IF(G77="","",IF(H77="TEC Rejected","",IF(H77="","",ROUND(1.3224*Form!$D$10*H77,2))))</f>
        <v/>
      </c>
      <c r="J77" s="714" t="str">
        <f t="shared" si="29"/>
        <v/>
      </c>
      <c r="K77" s="713" t="str">
        <f>IF(L77="","",IF('CST-Calculation'!$F77="Indg","",IF('CST-Calculation'!$F77="TEC Del","",IF('CST-Calculation'!K77&gt;0,'CST-Calculation'!K77,IF('CST-Calculation'!$F77=0,"",'CST-Calculation'!$F77)))))</f>
        <v/>
      </c>
      <c r="L77" s="714" t="str">
        <f>IF('CST-Calculation'!L77=0,"",'CST-Calculation'!L77)</f>
        <v/>
      </c>
      <c r="M77" s="714" t="str">
        <f>IF(K77="","",IF(L77="TEC Rejected","",IF(L77="","",ROUND(1.3224*Form!$D$10*L77,2))))</f>
        <v/>
      </c>
      <c r="N77" s="714" t="str">
        <f t="shared" si="30"/>
        <v/>
      </c>
      <c r="O77" s="89" t="str">
        <f>IF(P77="","",IF('CST-Calculation'!$F77="Indg","",IF('CST-Calculation'!$F77="TEC Del","",IF('CST-Calculation'!O77&gt;0,'CST-Calculation'!O77,IF('CST-Calculation'!$F77=0,"",'CST-Calculation'!$F77)))))</f>
        <v/>
      </c>
      <c r="P77" s="714" t="str">
        <f>IF('CST-Calculation'!P77=0,"",'CST-Calculation'!P77)</f>
        <v/>
      </c>
      <c r="Q77" s="714" t="str">
        <f>IF(O77="","",IF(P77="TEC Rejected","",IF(P77="","",ROUND(1.3224*Form!$D$10*P77,2))))</f>
        <v/>
      </c>
      <c r="R77" s="714" t="str">
        <f t="shared" si="31"/>
        <v/>
      </c>
      <c r="S77" s="89" t="str">
        <f>IF(T77="","",IF('CST-Calculation'!$F77="Indg","",IF('CST-Calculation'!$F77="TEC Del","",IF('CST-Calculation'!S77&gt;0,'CST-Calculation'!S77,IF('CST-Calculation'!$F77=0,"",'CST-Calculation'!$F77)))))</f>
        <v/>
      </c>
      <c r="T77" s="714" t="str">
        <f>IF('CST-Calculation'!T77=0,"",'CST-Calculation'!T77)</f>
        <v/>
      </c>
      <c r="U77" s="714" t="str">
        <f>IF(S77="","",IF(T77="TEC Rejected","",IF(T77="","",ROUND(1.3224*Form!$D$10*T77,2))))</f>
        <v/>
      </c>
      <c r="V77" s="714" t="str">
        <f t="shared" si="32"/>
        <v/>
      </c>
      <c r="W77" s="713" t="str">
        <f>IF(X77="","",IF('CST-Calculation'!$F77="Indg","",IF('CST-Calculation'!$F77="TEC Del","",IF('CST-Calculation'!W77&gt;0,'CST-Calculation'!W77,IF('CST-Calculation'!$F77=0,"",'CST-Calculation'!$F77)))))</f>
        <v/>
      </c>
      <c r="X77" s="714" t="str">
        <f>IF('CST-Calculation'!X77=0,"",'CST-Calculation'!X77)</f>
        <v/>
      </c>
      <c r="Y77" s="714" t="str">
        <f>IF(W77="","",IF(X77="TEC Rejected","",IF(X77="","",ROUND(1.3224*Form!$D$10*X77,2))))</f>
        <v/>
      </c>
      <c r="Z77" s="714" t="str">
        <f t="shared" si="36"/>
        <v/>
      </c>
      <c r="AA77" s="713" t="str">
        <f>IF(AB77="","",IF('CST-Calculation'!$F77="Indg","",IF('CST-Calculation'!$F77="TEC Del","",IF('CST-Calculation'!AA77&gt;0,'CST-Calculation'!AA77,IF('CST-Calculation'!$F77=0,"",'CST-Calculation'!$F77)))))</f>
        <v/>
      </c>
      <c r="AB77" s="714" t="str">
        <f>IF('CST-Calculation'!AB77=0,"",'CST-Calculation'!AB77)</f>
        <v/>
      </c>
      <c r="AC77" s="714" t="str">
        <f t="shared" si="37"/>
        <v/>
      </c>
      <c r="AD77" s="714" t="str">
        <f t="shared" si="38"/>
        <v/>
      </c>
      <c r="AE77" s="713" t="str">
        <f>IF(AF77="","",IF('CST-Calculation'!$F77="Indg","",IF('CST-Calculation'!$F77="TEC Del","",IF('CST-Calculation'!AE77&gt;0,'CST-Calculation'!AE77,IF('CST-Calculation'!$F77=0,"",'CST-Calculation'!$F77)))))</f>
        <v/>
      </c>
      <c r="AF77" s="714" t="str">
        <f>IF('CST-Calculation'!AF77=0,"",'CST-Calculation'!AF77)</f>
        <v/>
      </c>
      <c r="AG77" s="714" t="str">
        <f>IF(AE77="","",IF(AF77="TEC Rejected","",IF(AF77="","",ROUND(1.3224*Form!$D$10*AF77,2))))</f>
        <v/>
      </c>
      <c r="AH77" s="714" t="str">
        <f t="shared" si="39"/>
        <v/>
      </c>
      <c r="AI77" s="713" t="str">
        <f>IF(AJ77="","",IF('CST-Calculation'!$F77="Indg","",IF('CST-Calculation'!$F77="TEC Del","",IF('CST-Calculation'!AI77&gt;0,'CST-Calculation'!AI77,IF('CST-Calculation'!$F77=0,"",'CST-Calculation'!$F77)))))</f>
        <v/>
      </c>
      <c r="AJ77" s="714" t="str">
        <f>IF('CST-Calculation'!AJ77=0,"",'CST-Calculation'!AJ77)</f>
        <v/>
      </c>
      <c r="AK77" s="714" t="str">
        <f t="shared" si="40"/>
        <v/>
      </c>
      <c r="AL77" s="714" t="str">
        <f t="shared" si="41"/>
        <v/>
      </c>
      <c r="AM77" s="713" t="str">
        <f>IF(AN77="","",IF('CST-Calculation'!$F77="Indg","",IF('CST-Calculation'!$F77="TEC Del","",IF('CST-Calculation'!AM77&gt;0,'CST-Calculation'!AM77,IF('CST-Calculation'!$F77=0,"",'CST-Calculation'!$F77)))))</f>
        <v/>
      </c>
      <c r="AN77" s="714" t="str">
        <f>IF('CST-Calculation'!AN77=0,"",'CST-Calculation'!AN77)</f>
        <v/>
      </c>
      <c r="AO77" s="714" t="str">
        <f>IF(AM77="","",IF(AN77="TEC Rejected","",IF(AN77="","",ROUND(1.3224*Form!$D$10*AN77,2))))</f>
        <v/>
      </c>
      <c r="AP77" s="714" t="str">
        <f t="shared" si="42"/>
        <v/>
      </c>
      <c r="AQ77" s="713" t="str">
        <f>IF(AR77="","",IF('CST-Calculation'!$F77="Indg","",IF('CST-Calculation'!$F77="TEC Del","",IF('CST-Calculation'!AQ77&gt;0,'CST-Calculation'!AQ77,IF('CST-Calculation'!$F77=0,"",'CST-Calculation'!$F77)))))</f>
        <v/>
      </c>
      <c r="AR77" s="714" t="str">
        <f>IF('CST-Calculation'!AR77=0,"",'CST-Calculation'!AR77)</f>
        <v/>
      </c>
      <c r="AS77" s="714" t="str">
        <f>IF(AQ77="","",IF(AR77="TEC Rejected","",IF(AR77="","",ROUND(1.3224*Form!$D$10*AR77,2))))</f>
        <v/>
      </c>
      <c r="AT77" s="714" t="str">
        <f t="shared" si="43"/>
        <v/>
      </c>
      <c r="AU77" s="713" t="str">
        <f>IF(AV77="","",IF('CST-Calculation'!$F77="Indg","",IF('CST-Calculation'!$F77="TEC Del","",IF('CST-Calculation'!AU77&gt;0,'CST-Calculation'!AU77,IF('CST-Calculation'!$F77=0,"",'CST-Calculation'!$F77)))))</f>
        <v/>
      </c>
      <c r="AV77" s="714" t="str">
        <f>IF('CST-Calculation'!AV77=0,"",'CST-Calculation'!AV77)</f>
        <v/>
      </c>
      <c r="AW77" s="714" t="str">
        <f>IF(AU77="","",IF(AV77="TEC Rejected","",IF(AV77="","",ROUND(1.3224*Form!$D$10*AV77,2))))</f>
        <v/>
      </c>
      <c r="AX77" s="714" t="str">
        <f t="shared" si="44"/>
        <v/>
      </c>
      <c r="AY77" s="715" t="str">
        <f t="shared" si="45"/>
        <v>NO OFFER</v>
      </c>
      <c r="AZ77" s="716" t="str">
        <f t="shared" si="46"/>
        <v>NO OFFER</v>
      </c>
      <c r="BA77" s="716" t="str">
        <f t="shared" si="47"/>
        <v>&lt;= 20%</v>
      </c>
      <c r="BB77" s="716">
        <f>IF(AY77="EST",ROUND(BD77/1.18,2),IF(AY77="ADRYS",ROUND(BD77/1.18,2),ROUND(BD77/(1.3224*Form!$D$10),2)))</f>
        <v>0</v>
      </c>
      <c r="BC77" s="784">
        <f>IF(OR(AY77="EST",AY77="ADRYS"),ROUND(BE77/1.18,2),ROUND(BE77/(1.3224*Form!$D$10),2))</f>
        <v>0</v>
      </c>
      <c r="BD77" s="717">
        <f>IF(F77="Indg",0,IF(F77="TEC Del",0,IF(AND(IF(G77="",TRUE,G77&lt;=ROUNDUP(1.2*F77,0)),IF(K77="",TRUE,K77&lt;=ROUNDUP(1.2*F77,0)),IF(O77="",TRUE,O77&lt;=ROUNDUP(1.2*F77,0)),IF(S77="",TRUE,S77&lt;=ROUNDUP(1.2*F77,0)),IF(W77="",TRUE,W77&lt;=ROUNDUP(1.2*F77,0)),IF(AA77="",TRUE,AA77&lt;=ROUNDUP(1.2*F77,0)),IF(AE77="",TRUE,AE77&lt;=ROUNDUP(1.2*F77,0)),IF(AI77="",TRUE,AI77&lt;=ROUNDUP(1.2*F77,0)),IF(AM77="",TRUE,AM77&lt;=ROUNDUP(1.2*F77,0)),IF(AQ77="",TRUE,AQ77&lt;=ROUNDUP(1.2*F77,0)),IF(AU77="",TRUE,AU77&lt;=ROUNDUP(1.2*F77,0))),IF(F77=0,0,(IF(SUM(I77,M77,Q77,U77,Y77,AC77,AG77,AK77,AO77,AS77,AW77)=0,0,SMALL((I77,M77,Q77,U77,Y77,AC77,AG77,AK77,AO77,AS77,AW77),COUNTIF((I77:AW77),0)+1)))),IF(BE77=J77,I77,IF(BE77=N77,M77,IF(BE77=R77,Q77,IF(BE77=V77,U77,IF(BE77=Z77,Y77,IF(BE77=AD77,AC77,IF(BE77=AH77,AG77,IF(BE77=AL77,AK77,IF(BE77=AP77,AO77,IF(BE77=AT77,AS77,IF(BE77=AX77,AW77))))))))))))))</f>
        <v>0</v>
      </c>
      <c r="BE77" s="714">
        <f>IF(F77="Indg",0,IF(F77="TEC Del",0,IF(AND(IF(G77="",TRUE,G77&lt;=ROUNDUP(1.2*F77,0)),IF(K77="",TRUE,K77&lt;=ROUNDUP(1.2*F77,0)),IF(O77="",TRUE,O77&lt;=ROUNDUP(1.2*F77,0)),IF(S77="",TRUE,S77&lt;=ROUNDUP(1.2*F77,0)),IF(W77="",TRUE,W77&lt;=ROUNDUP(1.2*F77,0)),IF(AA77="",TRUE,AA77&lt;=ROUNDUP(1.2*F77,0)),IF(AE77="",TRUE,AE77&lt;=ROUNDUP(1.2*F77,0)),IF(AI77="",TRUE,AI77&lt;=ROUNDUP(1.2*F77,0)),IF(AM77="",TRUE,AM77&lt;=ROUNDUP(1.2*F77,0)),IF(AQ77="",TRUE,AQ77&lt;=ROUNDUP(1.2*F77,0)),IF(AU77="",TRUE,AU77&lt;=ROUNDUP(1.2*F77,0))),ROUND(BD77*IF(BD77=I77,G77,IF(BD77=M77,K77,IF(BD77=Q77,O77,IF(BD77=U77,S77,IF(BD77=Y77,W77,IF(BD77=AC77,AA77,IF(BD77=AG77,AE77,IF(BD77=AK77,AI77,IF(BD77=AO77,AM77,IF(BD77=AS77,AQ77,IF(BD77=AW77,AU77))))))))))),2),(IF(SUM(J77,N77,R77,V77,Z77,AD77,AH77,AL77,AP77,AT77,AX77)=0,0,SMALL((J77,N77,R77,V77,Z77,AD77,AH77,AL77,AP77,AT77,AX77),COUNTIF((J77:AX77),0)+1))))))</f>
        <v>0</v>
      </c>
      <c r="BF77" s="714">
        <f>IF('Annexure-I'!L74="",'Annexure-I'!F74,'Annexure-I'!L74)</f>
        <v>8256.16</v>
      </c>
      <c r="BG77" s="714" t="str">
        <f>IF('Annexure-I'!M74="",'Annexure-I'!G74,'Annexure-I'!M74)</f>
        <v>CONTRACT-A73</v>
      </c>
      <c r="BH77" s="764">
        <f>IF('Annexure-I'!N74="",'Annexure-I'!H74,'Annexure-I'!N74)</f>
        <v>40967</v>
      </c>
      <c r="BI77" s="717">
        <f>IF('Annexure-I'!P74="",'Annexure-I'!J74,'Annexure-I'!P74)</f>
        <v>15125.96</v>
      </c>
      <c r="BJ77" s="717">
        <f>IF('Annexure-I'!Q74="",'Annexure-I'!K74,'Annexure-I'!Q74)</f>
        <v>1655812.70354112</v>
      </c>
      <c r="BK77" s="714">
        <f>'Annexure-I'!F74</f>
        <v>8256.16</v>
      </c>
      <c r="BL77" s="718" t="str">
        <f>'Annexure-I'!G74</f>
        <v>CONTRACT-A73</v>
      </c>
      <c r="BM77" s="764">
        <f>IF('Annexure-I'!H74=0,"",'Annexure-I'!H74)</f>
        <v>40967</v>
      </c>
      <c r="BN77" s="717">
        <f>'Annexure-I'!J74</f>
        <v>15125.96</v>
      </c>
      <c r="BO77" s="717">
        <f>'Annexure-I'!K74</f>
        <v>1655812.70354112</v>
      </c>
      <c r="BP77" s="714">
        <f>IF(OR(AY77="EST",AY77="ADRYS"),ROUND((BC77*1.18)/(1.3224*Form!$D$10),2),BC77)</f>
        <v>0</v>
      </c>
      <c r="BQ77" s="714">
        <f>ROUND(BS77/(1.3224*Form!$D$10),2)</f>
        <v>0</v>
      </c>
      <c r="BR77" s="714">
        <f t="shared" si="48"/>
        <v>0</v>
      </c>
      <c r="BS77" s="714">
        <f t="shared" si="49"/>
        <v>0</v>
      </c>
      <c r="BT77" s="719">
        <f t="shared" si="50"/>
        <v>0</v>
      </c>
      <c r="BU77" s="714"/>
      <c r="BV77" s="714">
        <f t="shared" si="33"/>
        <v>0</v>
      </c>
      <c r="BW77" s="714">
        <f>IF(OR(AY77="EST",AY77="ADRYS"),ROUND(1.18*BU77,2),ROUND(BU77*1.3224*Form!$D$10,2))</f>
        <v>0</v>
      </c>
      <c r="BX77" s="714">
        <f t="shared" si="34"/>
        <v>0</v>
      </c>
      <c r="BY77" s="719">
        <f t="shared" si="51"/>
        <v>0</v>
      </c>
      <c r="BZ77" s="714">
        <f t="shared" si="35"/>
        <v>8279063.5199999996</v>
      </c>
      <c r="CA77" s="729"/>
      <c r="CB77" s="720"/>
      <c r="CC77" s="4"/>
      <c r="CD77" s="4"/>
      <c r="CE77" s="4"/>
      <c r="CF77" s="4"/>
      <c r="CG77" s="4"/>
      <c r="CH77" s="4"/>
      <c r="CI77" s="721"/>
    </row>
    <row r="78" spans="1:96" s="579" customFormat="1" ht="45" x14ac:dyDescent="0.25">
      <c r="A78" s="712">
        <f>SUBTOTAL(2,$B$5:B78)</f>
        <v>74</v>
      </c>
      <c r="B78" s="754">
        <v>74</v>
      </c>
      <c r="C78" s="756" t="s">
        <v>742</v>
      </c>
      <c r="D78" s="755" t="s">
        <v>132</v>
      </c>
      <c r="E78" s="754">
        <v>5</v>
      </c>
      <c r="F78" s="658">
        <f>'Annexure-I'!E75</f>
        <v>5</v>
      </c>
      <c r="G78" s="784" t="str">
        <f>IF('CST-Calculation'!G78=0,"",'CST-Calculation'!G78)</f>
        <v/>
      </c>
      <c r="H78" s="784" t="str">
        <f>IF('CST-Calculation'!H78=0,"",'CST-Calculation'!H78)</f>
        <v/>
      </c>
      <c r="I78" s="714" t="str">
        <f>IF(G78="","",IF(H78="TEC Rejected","",IF(H78="","",ROUND(1.3224*Form!$D$10*H78,2))))</f>
        <v/>
      </c>
      <c r="J78" s="714" t="str">
        <f t="shared" si="29"/>
        <v/>
      </c>
      <c r="K78" s="713" t="str">
        <f>IF(L78="","",IF('CST-Calculation'!$F78="Indg","",IF('CST-Calculation'!$F78="TEC Del","",IF('CST-Calculation'!K78&gt;0,'CST-Calculation'!K78,IF('CST-Calculation'!$F78=0,"",'CST-Calculation'!$F78)))))</f>
        <v/>
      </c>
      <c r="L78" s="714" t="str">
        <f>IF('CST-Calculation'!L78=0,"",'CST-Calculation'!L78)</f>
        <v/>
      </c>
      <c r="M78" s="714" t="str">
        <f>IF(K78="","",IF(L78="TEC Rejected","",IF(L78="","",ROUND(1.3224*Form!$D$10*L78,2))))</f>
        <v/>
      </c>
      <c r="N78" s="714" t="str">
        <f t="shared" si="30"/>
        <v/>
      </c>
      <c r="O78" s="89">
        <f>IF(P78="","",IF('CST-Calculation'!$F78="Indg","",IF('CST-Calculation'!$F78="TEC Del","",IF('CST-Calculation'!O78&gt;0,'CST-Calculation'!O78,IF('CST-Calculation'!$F78=0,"",'CST-Calculation'!$F78)))))</f>
        <v>5</v>
      </c>
      <c r="P78" s="714">
        <f>IF('CST-Calculation'!P78=0,"",'CST-Calculation'!P78)</f>
        <v>4440</v>
      </c>
      <c r="Q78" s="714">
        <f>IF(O78="","",IF(P78="TEC Rejected","",IF(P78="","",ROUND(1.3224*Form!$D$10*P78,2))))</f>
        <v>486039.13</v>
      </c>
      <c r="R78" s="714">
        <f t="shared" si="31"/>
        <v>2430195.65</v>
      </c>
      <c r="S78" s="89">
        <f>IF(T78="","",IF('CST-Calculation'!$F78="Indg","",IF('CST-Calculation'!$F78="TEC Del","",IF('CST-Calculation'!S78&gt;0,'CST-Calculation'!S78,IF('CST-Calculation'!$F78=0,"",'CST-Calculation'!$F78)))))</f>
        <v>5</v>
      </c>
      <c r="T78" s="714">
        <f>IF('CST-Calculation'!T78=0,"",'CST-Calculation'!T78)</f>
        <v>6350</v>
      </c>
      <c r="U78" s="714">
        <f>IF(S78="","",IF(T78="TEC Rejected","",IF(T78="","",ROUND(1.3224*Form!$D$10*T78,2))))</f>
        <v>695123.53</v>
      </c>
      <c r="V78" s="714">
        <f t="shared" si="32"/>
        <v>3475617.65</v>
      </c>
      <c r="W78" s="713" t="str">
        <f>IF(X78="","",IF('CST-Calculation'!$F78="Indg","",IF('CST-Calculation'!$F78="TEC Del","",IF('CST-Calculation'!W78&gt;0,'CST-Calculation'!W78,IF('CST-Calculation'!$F78=0,"",'CST-Calculation'!$F78)))))</f>
        <v/>
      </c>
      <c r="X78" s="714" t="str">
        <f>IF('CST-Calculation'!X78=0,"",'CST-Calculation'!X78)</f>
        <v/>
      </c>
      <c r="Y78" s="714" t="str">
        <f>IF(W78="","",IF(X78="TEC Rejected","",IF(X78="","",ROUND(1.3224*Form!$D$10*X78,2))))</f>
        <v/>
      </c>
      <c r="Z78" s="714" t="str">
        <f t="shared" si="36"/>
        <v/>
      </c>
      <c r="AA78" s="713" t="str">
        <f>IF(AB78="","",IF('CST-Calculation'!$F78="Indg","",IF('CST-Calculation'!$F78="TEC Del","",IF('CST-Calculation'!AA78&gt;0,'CST-Calculation'!AA78,IF('CST-Calculation'!$F78=0,"",'CST-Calculation'!$F78)))))</f>
        <v/>
      </c>
      <c r="AB78" s="714" t="str">
        <f>IF('CST-Calculation'!AB78=0,"",'CST-Calculation'!AB78)</f>
        <v/>
      </c>
      <c r="AC78" s="714" t="str">
        <f t="shared" si="37"/>
        <v/>
      </c>
      <c r="AD78" s="714" t="str">
        <f t="shared" si="38"/>
        <v/>
      </c>
      <c r="AE78" s="713" t="str">
        <f>IF(AF78="","",IF('CST-Calculation'!$F78="Indg","",IF('CST-Calculation'!$F78="TEC Del","",IF('CST-Calculation'!AE78&gt;0,'CST-Calculation'!AE78,IF('CST-Calculation'!$F78=0,"",'CST-Calculation'!$F78)))))</f>
        <v/>
      </c>
      <c r="AF78" s="714" t="str">
        <f>IF('CST-Calculation'!AF78=0,"",'CST-Calculation'!AF78)</f>
        <v/>
      </c>
      <c r="AG78" s="714" t="str">
        <f>IF(AE78="","",IF(AF78="TEC Rejected","",IF(AF78="","",ROUND(1.3224*Form!$D$10*AF78,2))))</f>
        <v/>
      </c>
      <c r="AH78" s="714" t="str">
        <f t="shared" si="39"/>
        <v/>
      </c>
      <c r="AI78" s="713" t="str">
        <f>IF(AJ78="","",IF('CST-Calculation'!$F78="Indg","",IF('CST-Calculation'!$F78="TEC Del","",IF('CST-Calculation'!AI78&gt;0,'CST-Calculation'!AI78,IF('CST-Calculation'!$F78=0,"",'CST-Calculation'!$F78)))))</f>
        <v/>
      </c>
      <c r="AJ78" s="714" t="str">
        <f>IF('CST-Calculation'!AJ78=0,"",'CST-Calculation'!AJ78)</f>
        <v/>
      </c>
      <c r="AK78" s="714" t="str">
        <f t="shared" si="40"/>
        <v/>
      </c>
      <c r="AL78" s="714" t="str">
        <f t="shared" si="41"/>
        <v/>
      </c>
      <c r="AM78" s="713" t="str">
        <f>IF(AN78="","",IF('CST-Calculation'!$F78="Indg","",IF('CST-Calculation'!$F78="TEC Del","",IF('CST-Calculation'!AM78&gt;0,'CST-Calculation'!AM78,IF('CST-Calculation'!$F78=0,"",'CST-Calculation'!$F78)))))</f>
        <v/>
      </c>
      <c r="AN78" s="714" t="str">
        <f>IF('CST-Calculation'!AN78=0,"",'CST-Calculation'!AN78)</f>
        <v/>
      </c>
      <c r="AO78" s="714" t="str">
        <f>IF(AM78="","",IF(AN78="TEC Rejected","",IF(AN78="","",ROUND(1.3224*Form!$D$10*AN78,2))))</f>
        <v/>
      </c>
      <c r="AP78" s="714" t="str">
        <f t="shared" si="42"/>
        <v/>
      </c>
      <c r="AQ78" s="713" t="str">
        <f>IF(AR78="","",IF('CST-Calculation'!$F78="Indg","",IF('CST-Calculation'!$F78="TEC Del","",IF('CST-Calculation'!AQ78&gt;0,'CST-Calculation'!AQ78,IF('CST-Calculation'!$F78=0,"",'CST-Calculation'!$F78)))))</f>
        <v/>
      </c>
      <c r="AR78" s="714" t="str">
        <f>IF('CST-Calculation'!AR78=0,"",'CST-Calculation'!AR78)</f>
        <v/>
      </c>
      <c r="AS78" s="714" t="str">
        <f>IF(AQ78="","",IF(AR78="TEC Rejected","",IF(AR78="","",ROUND(1.3224*Form!$D$10*AR78,2))))</f>
        <v/>
      </c>
      <c r="AT78" s="714" t="str">
        <f t="shared" si="43"/>
        <v/>
      </c>
      <c r="AU78" s="713" t="str">
        <f>IF(AV78="","",IF('CST-Calculation'!$F78="Indg","",IF('CST-Calculation'!$F78="TEC Del","",IF('CST-Calculation'!AU78&gt;0,'CST-Calculation'!AU78,IF('CST-Calculation'!$F78=0,"",'CST-Calculation'!$F78)))))</f>
        <v/>
      </c>
      <c r="AV78" s="714" t="str">
        <f>IF('CST-Calculation'!AV78=0,"",'CST-Calculation'!AV78)</f>
        <v/>
      </c>
      <c r="AW78" s="714" t="str">
        <f>IF(AU78="","",IF(AV78="TEC Rejected","",IF(AV78="","",ROUND(1.3224*Form!$D$10*AV78,2))))</f>
        <v/>
      </c>
      <c r="AX78" s="714" t="str">
        <f t="shared" si="44"/>
        <v/>
      </c>
      <c r="AY78" s="715" t="str">
        <f t="shared" si="45"/>
        <v>GIS</v>
      </c>
      <c r="AZ78" s="716" t="str">
        <f t="shared" si="46"/>
        <v>MULTIPLE</v>
      </c>
      <c r="BA78" s="716" t="str">
        <f t="shared" si="47"/>
        <v>&lt;= 20%</v>
      </c>
      <c r="BB78" s="716">
        <f>IF(AY78="EST",ROUND(BD78/1.18,2),IF(AY78="ADRYS",ROUND(BD78/1.18,2),ROUND(BD78/(1.3224*Form!$D$10),2)))</f>
        <v>4440</v>
      </c>
      <c r="BC78" s="784">
        <f>IF(OR(AY78="EST",AY78="ADRYS"),ROUND(BE78/1.18,2),ROUND(BE78/(1.3224*Form!$D$10),2))</f>
        <v>22200</v>
      </c>
      <c r="BD78" s="717">
        <f>IF(F78="Indg",0,IF(F78="TEC Del",0,IF(AND(IF(G78="",TRUE,G78&lt;=ROUNDUP(1.2*F78,0)),IF(K78="",TRUE,K78&lt;=ROUNDUP(1.2*F78,0)),IF(O78="",TRUE,O78&lt;=ROUNDUP(1.2*F78,0)),IF(S78="",TRUE,S78&lt;=ROUNDUP(1.2*F78,0)),IF(W78="",TRUE,W78&lt;=ROUNDUP(1.2*F78,0)),IF(AA78="",TRUE,AA78&lt;=ROUNDUP(1.2*F78,0)),IF(AE78="",TRUE,AE78&lt;=ROUNDUP(1.2*F78,0)),IF(AI78="",TRUE,AI78&lt;=ROUNDUP(1.2*F78,0)),IF(AM78="",TRUE,AM78&lt;=ROUNDUP(1.2*F78,0)),IF(AQ78="",TRUE,AQ78&lt;=ROUNDUP(1.2*F78,0)),IF(AU78="",TRUE,AU78&lt;=ROUNDUP(1.2*F78,0))),IF(F78=0,0,(IF(SUM(I78,M78,Q78,U78,Y78,AC78,AG78,AK78,AO78,AS78,AW78)=0,0,SMALL((I78,M78,Q78,U78,Y78,AC78,AG78,AK78,AO78,AS78,AW78),COUNTIF((I78:AW78),0)+1)))),IF(BE78=J78,I78,IF(BE78=N78,M78,IF(BE78=R78,Q78,IF(BE78=V78,U78,IF(BE78=Z78,Y78,IF(BE78=AD78,AC78,IF(BE78=AH78,AG78,IF(BE78=AL78,AK78,IF(BE78=AP78,AO78,IF(BE78=AT78,AS78,IF(BE78=AX78,AW78))))))))))))))</f>
        <v>486039.13</v>
      </c>
      <c r="BE78" s="714">
        <f>IF(F78="Indg",0,IF(F78="TEC Del",0,IF(AND(IF(G78="",TRUE,G78&lt;=ROUNDUP(1.2*F78,0)),IF(K78="",TRUE,K78&lt;=ROUNDUP(1.2*F78,0)),IF(O78="",TRUE,O78&lt;=ROUNDUP(1.2*F78,0)),IF(S78="",TRUE,S78&lt;=ROUNDUP(1.2*F78,0)),IF(W78="",TRUE,W78&lt;=ROUNDUP(1.2*F78,0)),IF(AA78="",TRUE,AA78&lt;=ROUNDUP(1.2*F78,0)),IF(AE78="",TRUE,AE78&lt;=ROUNDUP(1.2*F78,0)),IF(AI78="",TRUE,AI78&lt;=ROUNDUP(1.2*F78,0)),IF(AM78="",TRUE,AM78&lt;=ROUNDUP(1.2*F78,0)),IF(AQ78="",TRUE,AQ78&lt;=ROUNDUP(1.2*F78,0)),IF(AU78="",TRUE,AU78&lt;=ROUNDUP(1.2*F78,0))),ROUND(BD78*IF(BD78=I78,G78,IF(BD78=M78,K78,IF(BD78=Q78,O78,IF(BD78=U78,S78,IF(BD78=Y78,W78,IF(BD78=AC78,AA78,IF(BD78=AG78,AE78,IF(BD78=AK78,AI78,IF(BD78=AO78,AM78,IF(BD78=AS78,AQ78,IF(BD78=AW78,AU78))))))))))),2),(IF(SUM(J78,N78,R78,V78,Z78,AD78,AH78,AL78,AP78,AT78,AX78)=0,0,SMALL((J78,N78,R78,V78,Z78,AD78,AH78,AL78,AP78,AT78,AX78),COUNTIF((J78:AX78),0)+1))))))</f>
        <v>2430195.65</v>
      </c>
      <c r="BF78" s="714">
        <f>IF('Annexure-I'!L75="",'Annexure-I'!F75,'Annexure-I'!L75)</f>
        <v>12221.21</v>
      </c>
      <c r="BG78" s="714" t="str">
        <f>IF('Annexure-I'!M75="",'Annexure-I'!G75,'Annexure-I'!M75)</f>
        <v>CONTRACT-A74</v>
      </c>
      <c r="BH78" s="764">
        <f>IF('Annexure-I'!N75="",'Annexure-I'!H75,'Annexure-I'!N75)</f>
        <v>41789</v>
      </c>
      <c r="BI78" s="717">
        <f>IF('Annexure-I'!P75="",'Annexure-I'!J75,'Annexure-I'!P75)</f>
        <v>20116.59</v>
      </c>
      <c r="BJ78" s="717">
        <f>IF('Annexure-I'!Q75="",'Annexure-I'!K75,'Annexure-I'!Q75)</f>
        <v>2202128.3458324801</v>
      </c>
      <c r="BK78" s="714">
        <f>'Annexure-I'!F75</f>
        <v>12221.21</v>
      </c>
      <c r="BL78" s="718" t="str">
        <f>'Annexure-I'!G75</f>
        <v>CONTRACT-A74</v>
      </c>
      <c r="BM78" s="764">
        <f>IF('Annexure-I'!H75=0,"",'Annexure-I'!H75)</f>
        <v>41789</v>
      </c>
      <c r="BN78" s="717">
        <f>'Annexure-I'!J75</f>
        <v>20116.59</v>
      </c>
      <c r="BO78" s="717">
        <f>'Annexure-I'!K75</f>
        <v>2202128.3458324801</v>
      </c>
      <c r="BP78" s="714">
        <f>IF(OR(AY78="EST",AY78="ADRYS"),ROUND((BC78*1.18)/(1.3224*Form!$D$10),2),BC78)</f>
        <v>22200</v>
      </c>
      <c r="BQ78" s="714">
        <f>ROUND(BS78/(1.3224*Form!$D$10),2)</f>
        <v>100582.95</v>
      </c>
      <c r="BR78" s="714">
        <f t="shared" si="48"/>
        <v>2430195.65</v>
      </c>
      <c r="BS78" s="714">
        <f t="shared" si="49"/>
        <v>11010641.73</v>
      </c>
      <c r="BT78" s="719">
        <f t="shared" si="50"/>
        <v>-0.77928664744593412</v>
      </c>
      <c r="BU78" s="714"/>
      <c r="BV78" s="714">
        <f t="shared" si="33"/>
        <v>0</v>
      </c>
      <c r="BW78" s="714">
        <f>IF(OR(AY78="EST",AY78="ADRYS"),ROUND(1.18*BU78,2),ROUND(BU78*1.3224*Form!$D$10,2))</f>
        <v>0</v>
      </c>
      <c r="BX78" s="714">
        <f t="shared" si="34"/>
        <v>0</v>
      </c>
      <c r="BY78" s="719">
        <f t="shared" si="51"/>
        <v>0</v>
      </c>
      <c r="BZ78" s="714">
        <f t="shared" si="35"/>
        <v>11010641.73</v>
      </c>
      <c r="CA78" s="720"/>
      <c r="CB78" s="720"/>
      <c r="CC78" s="4"/>
      <c r="CD78" s="4"/>
      <c r="CE78" s="4"/>
      <c r="CF78" s="4"/>
      <c r="CG78" s="4"/>
      <c r="CH78" s="4"/>
      <c r="CI78" s="721"/>
    </row>
    <row r="79" spans="1:96" s="579" customFormat="1" ht="45" x14ac:dyDescent="0.25">
      <c r="A79" s="712">
        <f>SUBTOTAL(2,$B$5:B79)</f>
        <v>75</v>
      </c>
      <c r="B79" s="754">
        <v>75</v>
      </c>
      <c r="C79" s="755" t="s">
        <v>743</v>
      </c>
      <c r="D79" s="755" t="s">
        <v>463</v>
      </c>
      <c r="E79" s="754">
        <v>10</v>
      </c>
      <c r="F79" s="658">
        <f>'Annexure-I'!E76</f>
        <v>10</v>
      </c>
      <c r="G79" s="784" t="str">
        <f>IF('CST-Calculation'!G79=0,"",'CST-Calculation'!G79)</f>
        <v/>
      </c>
      <c r="H79" s="784" t="str">
        <f>IF('CST-Calculation'!H79=0,"",'CST-Calculation'!H79)</f>
        <v/>
      </c>
      <c r="I79" s="714" t="str">
        <f>IF(G79="","",IF(H79="TEC Rejected","",IF(H79="","",ROUND(1.3224*Form!$D$10*H79,2))))</f>
        <v/>
      </c>
      <c r="J79" s="714" t="str">
        <f t="shared" si="29"/>
        <v/>
      </c>
      <c r="K79" s="713" t="str">
        <f>IF(L79="","",IF('CST-Calculation'!$F79="Indg","",IF('CST-Calculation'!$F79="TEC Del","",IF('CST-Calculation'!K79&gt;0,'CST-Calculation'!K79,IF('CST-Calculation'!$F79=0,"",'CST-Calculation'!$F79)))))</f>
        <v/>
      </c>
      <c r="L79" s="714" t="str">
        <f>IF('CST-Calculation'!L79=0,"",'CST-Calculation'!L79)</f>
        <v/>
      </c>
      <c r="M79" s="714" t="str">
        <f>IF(K79="","",IF(L79="TEC Rejected","",IF(L79="","",ROUND(1.3224*Form!$D$10*L79,2))))</f>
        <v/>
      </c>
      <c r="N79" s="714" t="str">
        <f t="shared" si="30"/>
        <v/>
      </c>
      <c r="O79" s="89" t="str">
        <f>IF(P79="","",IF('CST-Calculation'!$F79="Indg","",IF('CST-Calculation'!$F79="TEC Del","",IF('CST-Calculation'!O79&gt;0,'CST-Calculation'!O79,IF('CST-Calculation'!$F79=0,"",'CST-Calculation'!$F79)))))</f>
        <v/>
      </c>
      <c r="P79" s="714" t="str">
        <f>IF('CST-Calculation'!P79=0,"",'CST-Calculation'!P79)</f>
        <v/>
      </c>
      <c r="Q79" s="714" t="str">
        <f>IF(O79="","",IF(P79="TEC Rejected","",IF(P79="","",ROUND(1.3224*Form!$D$10*P79,2))))</f>
        <v/>
      </c>
      <c r="R79" s="714" t="str">
        <f t="shared" si="31"/>
        <v/>
      </c>
      <c r="S79" s="89" t="str">
        <f>IF(T79="","",IF('CST-Calculation'!$F79="Indg","",IF('CST-Calculation'!$F79="TEC Del","",IF('CST-Calculation'!S79&gt;0,'CST-Calculation'!S79,IF('CST-Calculation'!$F79=0,"",'CST-Calculation'!$F79)))))</f>
        <v/>
      </c>
      <c r="T79" s="714" t="str">
        <f>IF('CST-Calculation'!T79=0,"",'CST-Calculation'!T79)</f>
        <v/>
      </c>
      <c r="U79" s="714" t="str">
        <f>IF(S79="","",IF(T79="TEC Rejected","",IF(T79="","",ROUND(1.3224*Form!$D$10*T79,2))))</f>
        <v/>
      </c>
      <c r="V79" s="714" t="str">
        <f t="shared" si="32"/>
        <v/>
      </c>
      <c r="W79" s="713" t="str">
        <f>IF(X79="","",IF('CST-Calculation'!$F79="Indg","",IF('CST-Calculation'!$F79="TEC Del","",IF('CST-Calculation'!W79&gt;0,'CST-Calculation'!W79,IF('CST-Calculation'!$F79=0,"",'CST-Calculation'!$F79)))))</f>
        <v/>
      </c>
      <c r="X79" s="714" t="str">
        <f>IF('CST-Calculation'!X79=0,"",'CST-Calculation'!X79)</f>
        <v/>
      </c>
      <c r="Y79" s="714" t="str">
        <f>IF(W79="","",IF(X79="TEC Rejected","",IF(X79="","",ROUND(1.3224*Form!$D$10*X79,2))))</f>
        <v/>
      </c>
      <c r="Z79" s="714" t="str">
        <f t="shared" si="36"/>
        <v/>
      </c>
      <c r="AA79" s="713" t="str">
        <f>IF(AB79="","",IF('CST-Calculation'!$F79="Indg","",IF('CST-Calculation'!$F79="TEC Del","",IF('CST-Calculation'!AA79&gt;0,'CST-Calculation'!AA79,IF('CST-Calculation'!$F79=0,"",'CST-Calculation'!$F79)))))</f>
        <v/>
      </c>
      <c r="AB79" s="714" t="str">
        <f>IF('CST-Calculation'!AB79=0,"",'CST-Calculation'!AB79)</f>
        <v/>
      </c>
      <c r="AC79" s="714" t="str">
        <f t="shared" si="37"/>
        <v/>
      </c>
      <c r="AD79" s="714" t="str">
        <f t="shared" si="38"/>
        <v/>
      </c>
      <c r="AE79" s="713" t="str">
        <f>IF(AF79="","",IF('CST-Calculation'!$F79="Indg","",IF('CST-Calculation'!$F79="TEC Del","",IF('CST-Calculation'!AE79&gt;0,'CST-Calculation'!AE79,IF('CST-Calculation'!$F79=0,"",'CST-Calculation'!$F79)))))</f>
        <v/>
      </c>
      <c r="AF79" s="714" t="str">
        <f>IF('CST-Calculation'!AF79=0,"",'CST-Calculation'!AF79)</f>
        <v/>
      </c>
      <c r="AG79" s="714" t="str">
        <f>IF(AE79="","",IF(AF79="TEC Rejected","",IF(AF79="","",ROUND(1.3224*Form!$D$10*AF79,2))))</f>
        <v/>
      </c>
      <c r="AH79" s="714" t="str">
        <f t="shared" si="39"/>
        <v/>
      </c>
      <c r="AI79" s="713" t="str">
        <f>IF(AJ79="","",IF('CST-Calculation'!$F79="Indg","",IF('CST-Calculation'!$F79="TEC Del","",IF('CST-Calculation'!AI79&gt;0,'CST-Calculation'!AI79,IF('CST-Calculation'!$F79=0,"",'CST-Calculation'!$F79)))))</f>
        <v/>
      </c>
      <c r="AJ79" s="714" t="str">
        <f>IF('CST-Calculation'!AJ79=0,"",'CST-Calculation'!AJ79)</f>
        <v/>
      </c>
      <c r="AK79" s="714" t="str">
        <f t="shared" si="40"/>
        <v/>
      </c>
      <c r="AL79" s="714" t="str">
        <f t="shared" si="41"/>
        <v/>
      </c>
      <c r="AM79" s="713" t="str">
        <f>IF(AN79="","",IF('CST-Calculation'!$F79="Indg","",IF('CST-Calculation'!$F79="TEC Del","",IF('CST-Calculation'!AM79&gt;0,'CST-Calculation'!AM79,IF('CST-Calculation'!$F79=0,"",'CST-Calculation'!$F79)))))</f>
        <v/>
      </c>
      <c r="AN79" s="714" t="str">
        <f>IF('CST-Calculation'!AN79=0,"",'CST-Calculation'!AN79)</f>
        <v/>
      </c>
      <c r="AO79" s="714" t="str">
        <f>IF(AM79="","",IF(AN79="TEC Rejected","",IF(AN79="","",ROUND(1.3224*Form!$D$10*AN79,2))))</f>
        <v/>
      </c>
      <c r="AP79" s="714" t="str">
        <f t="shared" si="42"/>
        <v/>
      </c>
      <c r="AQ79" s="713" t="str">
        <f>IF(AR79="","",IF('CST-Calculation'!$F79="Indg","",IF('CST-Calculation'!$F79="TEC Del","",IF('CST-Calculation'!AQ79&gt;0,'CST-Calculation'!AQ79,IF('CST-Calculation'!$F79=0,"",'CST-Calculation'!$F79)))))</f>
        <v/>
      </c>
      <c r="AR79" s="714" t="str">
        <f>IF('CST-Calculation'!AR79=0,"",'CST-Calculation'!AR79)</f>
        <v/>
      </c>
      <c r="AS79" s="714" t="str">
        <f>IF(AQ79="","",IF(AR79="TEC Rejected","",IF(AR79="","",ROUND(1.3224*Form!$D$10*AR79,2))))</f>
        <v/>
      </c>
      <c r="AT79" s="714" t="str">
        <f t="shared" si="43"/>
        <v/>
      </c>
      <c r="AU79" s="713" t="str">
        <f>IF(AV79="","",IF('CST-Calculation'!$F79="Indg","",IF('CST-Calculation'!$F79="TEC Del","",IF('CST-Calculation'!AU79&gt;0,'CST-Calculation'!AU79,IF('CST-Calculation'!$F79=0,"",'CST-Calculation'!$F79)))))</f>
        <v/>
      </c>
      <c r="AV79" s="714" t="str">
        <f>IF('CST-Calculation'!AV79=0,"",'CST-Calculation'!AV79)</f>
        <v/>
      </c>
      <c r="AW79" s="714" t="str">
        <f>IF(AU79="","",IF(AV79="TEC Rejected","",IF(AV79="","",ROUND(1.3224*Form!$D$10*AV79,2))))</f>
        <v/>
      </c>
      <c r="AX79" s="714" t="str">
        <f t="shared" si="44"/>
        <v/>
      </c>
      <c r="AY79" s="715" t="str">
        <f t="shared" si="45"/>
        <v>NO OFFER</v>
      </c>
      <c r="AZ79" s="716" t="str">
        <f t="shared" si="46"/>
        <v>NO OFFER</v>
      </c>
      <c r="BA79" s="716" t="str">
        <f t="shared" si="47"/>
        <v>&lt;= 20%</v>
      </c>
      <c r="BB79" s="716">
        <f>IF(AY79="EST",ROUND(BD79/1.18,2),IF(AY79="ADRYS",ROUND(BD79/1.18,2),ROUND(BD79/(1.3224*Form!$D$10),2)))</f>
        <v>0</v>
      </c>
      <c r="BC79" s="784">
        <f>IF(OR(AY79="EST",AY79="ADRYS"),ROUND(BE79/1.18,2),ROUND(BE79/(1.3224*Form!$D$10),2))</f>
        <v>0</v>
      </c>
      <c r="BD79" s="717">
        <f>IF(F79="Indg",0,IF(F79="TEC Del",0,IF(AND(IF(G79="",TRUE,G79&lt;=ROUNDUP(1.2*F79,0)),IF(K79="",TRUE,K79&lt;=ROUNDUP(1.2*F79,0)),IF(O79="",TRUE,O79&lt;=ROUNDUP(1.2*F79,0)),IF(S79="",TRUE,S79&lt;=ROUNDUP(1.2*F79,0)),IF(W79="",TRUE,W79&lt;=ROUNDUP(1.2*F79,0)),IF(AA79="",TRUE,AA79&lt;=ROUNDUP(1.2*F79,0)),IF(AE79="",TRUE,AE79&lt;=ROUNDUP(1.2*F79,0)),IF(AI79="",TRUE,AI79&lt;=ROUNDUP(1.2*F79,0)),IF(AM79="",TRUE,AM79&lt;=ROUNDUP(1.2*F79,0)),IF(AQ79="",TRUE,AQ79&lt;=ROUNDUP(1.2*F79,0)),IF(AU79="",TRUE,AU79&lt;=ROUNDUP(1.2*F79,0))),IF(F79=0,0,(IF(SUM(I79,M79,Q79,U79,Y79,AC79,AG79,AK79,AO79,AS79,AW79)=0,0,SMALL((I79,M79,Q79,U79,Y79,AC79,AG79,AK79,AO79,AS79,AW79),COUNTIF((I79:AW79),0)+1)))),IF(BE79=J79,I79,IF(BE79=N79,M79,IF(BE79=R79,Q79,IF(BE79=V79,U79,IF(BE79=Z79,Y79,IF(BE79=AD79,AC79,IF(BE79=AH79,AG79,IF(BE79=AL79,AK79,IF(BE79=AP79,AO79,IF(BE79=AT79,AS79,IF(BE79=AX79,AW79))))))))))))))</f>
        <v>0</v>
      </c>
      <c r="BE79" s="714">
        <f>IF(F79="Indg",0,IF(F79="TEC Del",0,IF(AND(IF(G79="",TRUE,G79&lt;=ROUNDUP(1.2*F79,0)),IF(K79="",TRUE,K79&lt;=ROUNDUP(1.2*F79,0)),IF(O79="",TRUE,O79&lt;=ROUNDUP(1.2*F79,0)),IF(S79="",TRUE,S79&lt;=ROUNDUP(1.2*F79,0)),IF(W79="",TRUE,W79&lt;=ROUNDUP(1.2*F79,0)),IF(AA79="",TRUE,AA79&lt;=ROUNDUP(1.2*F79,0)),IF(AE79="",TRUE,AE79&lt;=ROUNDUP(1.2*F79,0)),IF(AI79="",TRUE,AI79&lt;=ROUNDUP(1.2*F79,0)),IF(AM79="",TRUE,AM79&lt;=ROUNDUP(1.2*F79,0)),IF(AQ79="",TRUE,AQ79&lt;=ROUNDUP(1.2*F79,0)),IF(AU79="",TRUE,AU79&lt;=ROUNDUP(1.2*F79,0))),ROUND(BD79*IF(BD79=I79,G79,IF(BD79=M79,K79,IF(BD79=Q79,O79,IF(BD79=U79,S79,IF(BD79=Y79,W79,IF(BD79=AC79,AA79,IF(BD79=AG79,AE79,IF(BD79=AK79,AI79,IF(BD79=AO79,AM79,IF(BD79=AS79,AQ79,IF(BD79=AW79,AU79))))))))))),2),(IF(SUM(J79,N79,R79,V79,Z79,AD79,AH79,AL79,AP79,AT79,AX79)=0,0,SMALL((J79,N79,R79,V79,Z79,AD79,AH79,AL79,AP79,AT79,AX79),COUNTIF((J79:AX79),0)+1))))))</f>
        <v>0</v>
      </c>
      <c r="BF79" s="714">
        <f>IF('Annexure-I'!L76="",'Annexure-I'!F76,'Annexure-I'!L76)</f>
        <v>890.86</v>
      </c>
      <c r="BG79" s="714" t="str">
        <f>IF('Annexure-I'!M76="",'Annexure-I'!G76,'Annexure-I'!M76)</f>
        <v>CONTRACT-A75</v>
      </c>
      <c r="BH79" s="764">
        <f>IF('Annexure-I'!N76="",'Annexure-I'!H76,'Annexure-I'!N76)</f>
        <v>41789</v>
      </c>
      <c r="BI79" s="717">
        <f>IF('Annexure-I'!P76="",'Annexure-I'!J76,'Annexure-I'!P76)</f>
        <v>1466.39</v>
      </c>
      <c r="BJ79" s="717">
        <f>IF('Annexure-I'!Q76="",'Annexure-I'!K76,'Annexure-I'!Q76)</f>
        <v>160523.17937808001</v>
      </c>
      <c r="BK79" s="714">
        <f>'Annexure-I'!F76</f>
        <v>890.86</v>
      </c>
      <c r="BL79" s="718" t="str">
        <f>'Annexure-I'!G76</f>
        <v>CONTRACT-A75</v>
      </c>
      <c r="BM79" s="764">
        <f>IF('Annexure-I'!H76=0,"",'Annexure-I'!H76)</f>
        <v>41789</v>
      </c>
      <c r="BN79" s="717">
        <f>'Annexure-I'!J76</f>
        <v>1466.39</v>
      </c>
      <c r="BO79" s="717">
        <f>'Annexure-I'!K76</f>
        <v>160523.17937808001</v>
      </c>
      <c r="BP79" s="714">
        <f>IF(OR(AY79="EST",AY79="ADRYS"),ROUND((BC79*1.18)/(1.3224*Form!$D$10),2),BC79)</f>
        <v>0</v>
      </c>
      <c r="BQ79" s="714">
        <f>ROUND(BS79/(1.3224*Form!$D$10),2)</f>
        <v>0</v>
      </c>
      <c r="BR79" s="714">
        <f t="shared" si="48"/>
        <v>0</v>
      </c>
      <c r="BS79" s="714">
        <f t="shared" si="49"/>
        <v>0</v>
      </c>
      <c r="BT79" s="719">
        <f t="shared" si="50"/>
        <v>0</v>
      </c>
      <c r="BU79" s="714"/>
      <c r="BV79" s="714">
        <f t="shared" si="33"/>
        <v>0</v>
      </c>
      <c r="BW79" s="714">
        <f>IF(OR(AY79="EST",AY79="ADRYS"),ROUND(1.18*BU79,2),ROUND(BU79*1.3224*Form!$D$10,2))</f>
        <v>0</v>
      </c>
      <c r="BX79" s="714">
        <f t="shared" si="34"/>
        <v>0</v>
      </c>
      <c r="BY79" s="719">
        <f>IF((BX79)=0,0,(BX79-BS79)/BS79)</f>
        <v>0</v>
      </c>
      <c r="BZ79" s="714">
        <f t="shared" si="35"/>
        <v>1605231.79</v>
      </c>
      <c r="CA79" s="722"/>
      <c r="CB79" s="722"/>
      <c r="CC79" s="4"/>
      <c r="CD79" s="4"/>
      <c r="CE79" s="4"/>
      <c r="CF79" s="4"/>
      <c r="CG79" s="4"/>
      <c r="CH79" s="4"/>
      <c r="CI79" s="721"/>
    </row>
    <row r="80" spans="1:96" s="579" customFormat="1" ht="45" x14ac:dyDescent="0.25">
      <c r="A80" s="712">
        <f>SUBTOTAL(2,$B$5:B80)</f>
        <v>76</v>
      </c>
      <c r="B80" s="754">
        <v>76</v>
      </c>
      <c r="C80" s="756" t="s">
        <v>744</v>
      </c>
      <c r="D80" s="755" t="s">
        <v>622</v>
      </c>
      <c r="E80" s="754">
        <v>3</v>
      </c>
      <c r="F80" s="658">
        <f>'Annexure-I'!E77</f>
        <v>3</v>
      </c>
      <c r="G80" s="784" t="str">
        <f>IF('CST-Calculation'!G80=0,"",'CST-Calculation'!G80)</f>
        <v/>
      </c>
      <c r="H80" s="784" t="str">
        <f>IF('CST-Calculation'!H80=0,"",'CST-Calculation'!H80)</f>
        <v/>
      </c>
      <c r="I80" s="714" t="str">
        <f>IF(G80="","",IF(H80="TEC Rejected","",IF(H80="","",ROUND(1.3224*Form!$D$10*H80,2))))</f>
        <v/>
      </c>
      <c r="J80" s="714" t="str">
        <f t="shared" si="29"/>
        <v/>
      </c>
      <c r="K80" s="713" t="str">
        <f>IF(L80="","",IF('CST-Calculation'!$F80="Indg","",IF('CST-Calculation'!$F80="TEC Del","",IF('CST-Calculation'!K80&gt;0,'CST-Calculation'!K80,IF('CST-Calculation'!$F80=0,"",'CST-Calculation'!$F80)))))</f>
        <v/>
      </c>
      <c r="L80" s="714" t="str">
        <f>IF('CST-Calculation'!L80=0,"",'CST-Calculation'!L80)</f>
        <v/>
      </c>
      <c r="M80" s="714" t="str">
        <f>IF(K80="","",IF(L80="TEC Rejected","",IF(L80="","",ROUND(1.3224*Form!$D$10*L80,2))))</f>
        <v/>
      </c>
      <c r="N80" s="714" t="str">
        <f t="shared" si="30"/>
        <v/>
      </c>
      <c r="O80" s="89" t="str">
        <f>IF(P80="","",IF('CST-Calculation'!$F80="Indg","",IF('CST-Calculation'!$F80="TEC Del","",IF('CST-Calculation'!O80&gt;0,'CST-Calculation'!O80,IF('CST-Calculation'!$F80=0,"",'CST-Calculation'!$F80)))))</f>
        <v/>
      </c>
      <c r="P80" s="714" t="str">
        <f>IF('CST-Calculation'!P80=0,"",'CST-Calculation'!P80)</f>
        <v/>
      </c>
      <c r="Q80" s="714" t="str">
        <f>IF(O80="","",IF(P80="TEC Rejected","",IF(P80="","",ROUND(1.3224*Form!$D$10*P80,2))))</f>
        <v/>
      </c>
      <c r="R80" s="714" t="str">
        <f t="shared" si="31"/>
        <v/>
      </c>
      <c r="S80" s="89" t="str">
        <f>IF(T80="","",IF('CST-Calculation'!$F80="Indg","",IF('CST-Calculation'!$F80="TEC Del","",IF('CST-Calculation'!S80&gt;0,'CST-Calculation'!S80,IF('CST-Calculation'!$F80=0,"",'CST-Calculation'!$F80)))))</f>
        <v/>
      </c>
      <c r="T80" s="714" t="str">
        <f>IF('CST-Calculation'!T80=0,"",'CST-Calculation'!T80)</f>
        <v/>
      </c>
      <c r="U80" s="714" t="str">
        <f>IF(S80="","",IF(T80="TEC Rejected","",IF(T80="","",ROUND(1.3224*Form!$D$10*T80,2))))</f>
        <v/>
      </c>
      <c r="V80" s="714" t="str">
        <f t="shared" si="32"/>
        <v/>
      </c>
      <c r="W80" s="713" t="str">
        <f>IF(X80="","",IF('CST-Calculation'!$F80="Indg","",IF('CST-Calculation'!$F80="TEC Del","",IF('CST-Calculation'!W80&gt;0,'CST-Calculation'!W80,IF('CST-Calculation'!$F80=0,"",'CST-Calculation'!$F80)))))</f>
        <v/>
      </c>
      <c r="X80" s="714" t="str">
        <f>IF('CST-Calculation'!X80=0,"",'CST-Calculation'!X80)</f>
        <v/>
      </c>
      <c r="Y80" s="714" t="str">
        <f>IF(W80="","",IF(X80="TEC Rejected","",IF(X80="","",ROUND(1.3224*Form!$D$10*X80,2))))</f>
        <v/>
      </c>
      <c r="Z80" s="714" t="str">
        <f t="shared" si="36"/>
        <v/>
      </c>
      <c r="AA80" s="713" t="str">
        <f>IF(AB80="","",IF('CST-Calculation'!$F80="Indg","",IF('CST-Calculation'!$F80="TEC Del","",IF('CST-Calculation'!AA80&gt;0,'CST-Calculation'!AA80,IF('CST-Calculation'!$F80=0,"",'CST-Calculation'!$F80)))))</f>
        <v/>
      </c>
      <c r="AB80" s="714" t="str">
        <f>IF('CST-Calculation'!AB80=0,"",'CST-Calculation'!AB80)</f>
        <v/>
      </c>
      <c r="AC80" s="714" t="str">
        <f t="shared" si="37"/>
        <v/>
      </c>
      <c r="AD80" s="714" t="str">
        <f t="shared" si="38"/>
        <v/>
      </c>
      <c r="AE80" s="713" t="str">
        <f>IF(AF80="","",IF('CST-Calculation'!$F80="Indg","",IF('CST-Calculation'!$F80="TEC Del","",IF('CST-Calculation'!AE80&gt;0,'CST-Calculation'!AE80,IF('CST-Calculation'!$F80=0,"",'CST-Calculation'!$F80)))))</f>
        <v/>
      </c>
      <c r="AF80" s="714" t="str">
        <f>IF('CST-Calculation'!AF80=0,"",'CST-Calculation'!AF80)</f>
        <v/>
      </c>
      <c r="AG80" s="714" t="str">
        <f>IF(AE80="","",IF(AF80="TEC Rejected","",IF(AF80="","",ROUND(1.3224*Form!$D$10*AF80,2))))</f>
        <v/>
      </c>
      <c r="AH80" s="714" t="str">
        <f t="shared" si="39"/>
        <v/>
      </c>
      <c r="AI80" s="713" t="str">
        <f>IF(AJ80="","",IF('CST-Calculation'!$F80="Indg","",IF('CST-Calculation'!$F80="TEC Del","",IF('CST-Calculation'!AI80&gt;0,'CST-Calculation'!AI80,IF('CST-Calculation'!$F80=0,"",'CST-Calculation'!$F80)))))</f>
        <v/>
      </c>
      <c r="AJ80" s="714" t="str">
        <f>IF('CST-Calculation'!AJ80=0,"",'CST-Calculation'!AJ80)</f>
        <v/>
      </c>
      <c r="AK80" s="714" t="str">
        <f t="shared" si="40"/>
        <v/>
      </c>
      <c r="AL80" s="714" t="str">
        <f t="shared" si="41"/>
        <v/>
      </c>
      <c r="AM80" s="713" t="str">
        <f>IF(AN80="","",IF('CST-Calculation'!$F80="Indg","",IF('CST-Calculation'!$F80="TEC Del","",IF('CST-Calculation'!AM80&gt;0,'CST-Calculation'!AM80,IF('CST-Calculation'!$F80=0,"",'CST-Calculation'!$F80)))))</f>
        <v/>
      </c>
      <c r="AN80" s="714" t="str">
        <f>IF('CST-Calculation'!AN80=0,"",'CST-Calculation'!AN80)</f>
        <v/>
      </c>
      <c r="AO80" s="714" t="str">
        <f>IF(AM80="","",IF(AN80="TEC Rejected","",IF(AN80="","",ROUND(1.3224*Form!$D$10*AN80,2))))</f>
        <v/>
      </c>
      <c r="AP80" s="714" t="str">
        <f t="shared" si="42"/>
        <v/>
      </c>
      <c r="AQ80" s="727" t="str">
        <f>IF(AR80="","",IF('CST-Calculation'!$F80="Indg","",IF('CST-Calculation'!$F80="TEC Del","",IF('CST-Calculation'!AQ80&gt;0,'CST-Calculation'!AQ80,IF('CST-Calculation'!$F80=0,"",'CST-Calculation'!$F80)))))</f>
        <v/>
      </c>
      <c r="AR80" s="714" t="str">
        <f>IF('CST-Calculation'!AR80=0,"",'CST-Calculation'!AR80)</f>
        <v/>
      </c>
      <c r="AS80" s="714" t="str">
        <f>IF(AQ80="","",IF(AR80="TEC Rejected","",IF(AR80="","",ROUND(1.3224*Form!$D$10*AR80,2))))</f>
        <v/>
      </c>
      <c r="AT80" s="714" t="str">
        <f t="shared" si="43"/>
        <v/>
      </c>
      <c r="AU80" s="713" t="str">
        <f>IF(AV80="","",IF('CST-Calculation'!$F80="Indg","",IF('CST-Calculation'!$F80="TEC Del","",IF('CST-Calculation'!AU80&gt;0,'CST-Calculation'!AU80,IF('CST-Calculation'!$F80=0,"",'CST-Calculation'!$F80)))))</f>
        <v/>
      </c>
      <c r="AV80" s="714" t="str">
        <f>IF('CST-Calculation'!AV80=0,"",'CST-Calculation'!AV80)</f>
        <v/>
      </c>
      <c r="AW80" s="714" t="str">
        <f>IF(AU80="","",IF(AV80="TEC Rejected","",IF(AV80="","",ROUND(1.3224*Form!$D$10*AV80,2))))</f>
        <v/>
      </c>
      <c r="AX80" s="714" t="str">
        <f t="shared" si="44"/>
        <v/>
      </c>
      <c r="AY80" s="715" t="str">
        <f t="shared" si="45"/>
        <v>NO OFFER</v>
      </c>
      <c r="AZ80" s="716" t="str">
        <f t="shared" si="46"/>
        <v>NO OFFER</v>
      </c>
      <c r="BA80" s="716" t="str">
        <f t="shared" si="47"/>
        <v>&lt;= 20%</v>
      </c>
      <c r="BB80" s="716">
        <f>IF(AY80="EST",ROUND(BD80/1.18,2),IF(AY80="ADRYS",ROUND(BD80/1.18,2),ROUND(BD80/(1.3224*Form!$D$10),2)))</f>
        <v>0</v>
      </c>
      <c r="BC80" s="784">
        <f>IF(OR(AY80="EST",AY80="ADRYS"),ROUND(BE80/1.18,2),ROUND(BE80/(1.3224*Form!$D$10),2))</f>
        <v>0</v>
      </c>
      <c r="BD80" s="717">
        <f>IF(F80="Indg",0,IF(F80="TEC Del",0,IF(AND(IF(G80="",TRUE,G80&lt;=ROUNDUP(1.2*F80,0)),IF(K80="",TRUE,K80&lt;=ROUNDUP(1.2*F80,0)),IF(O80="",TRUE,O80&lt;=ROUNDUP(1.2*F80,0)),IF(S80="",TRUE,S80&lt;=ROUNDUP(1.2*F80,0)),IF(W80="",TRUE,W80&lt;=ROUNDUP(1.2*F80,0)),IF(AA80="",TRUE,AA80&lt;=ROUNDUP(1.2*F80,0)),IF(AE80="",TRUE,AE80&lt;=ROUNDUP(1.2*F80,0)),IF(AI80="",TRUE,AI80&lt;=ROUNDUP(1.2*F80,0)),IF(AM80="",TRUE,AM80&lt;=ROUNDUP(1.2*F80,0)),IF(AQ80="",TRUE,AQ80&lt;=ROUNDUP(1.2*F80,0)),IF(AU80="",TRUE,AU80&lt;=ROUNDUP(1.2*F80,0))),IF(F80=0,0,(IF(SUM(I80,M80,Q80,U80,Y80,AC80,AG80,AK80,AO80,AS80,AW80)=0,0,SMALL((I80,M80,Q80,U80,Y80,AC80,AG80,AK80,AO80,AS80,AW80),COUNTIF((I80:AW80),0)+1)))),IF(BE80=J80,I80,IF(BE80=N80,M80,IF(BE80=R80,Q80,IF(BE80=V80,U80,IF(BE80=Z80,Y80,IF(BE80=AD80,AC80,IF(BE80=AH80,AG80,IF(BE80=AL80,AK80,IF(BE80=AP80,AO80,IF(BE80=AT80,AS80,IF(BE80=AX80,AW80))))))))))))))</f>
        <v>0</v>
      </c>
      <c r="BE80" s="714">
        <f>IF(F80="Indg",0,IF(F80="TEC Del",0,IF(AND(IF(G80="",TRUE,G80&lt;=ROUNDUP(1.2*F80,0)),IF(K80="",TRUE,K80&lt;=ROUNDUP(1.2*F80,0)),IF(O80="",TRUE,O80&lt;=ROUNDUP(1.2*F80,0)),IF(S80="",TRUE,S80&lt;=ROUNDUP(1.2*F80,0)),IF(W80="",TRUE,W80&lt;=ROUNDUP(1.2*F80,0)),IF(AA80="",TRUE,AA80&lt;=ROUNDUP(1.2*F80,0)),IF(AE80="",TRUE,AE80&lt;=ROUNDUP(1.2*F80,0)),IF(AI80="",TRUE,AI80&lt;=ROUNDUP(1.2*F80,0)),IF(AM80="",TRUE,AM80&lt;=ROUNDUP(1.2*F80,0)),IF(AQ80="",TRUE,AQ80&lt;=ROUNDUP(1.2*F80,0)),IF(AU80="",TRUE,AU80&lt;=ROUNDUP(1.2*F80,0))),ROUND(BD80*IF(BD80=I80,G80,IF(BD80=M80,K80,IF(BD80=Q80,O80,IF(BD80=U80,S80,IF(BD80=Y80,W80,IF(BD80=AC80,AA80,IF(BD80=AG80,AE80,IF(BD80=AK80,AI80,IF(BD80=AO80,AM80,IF(BD80=AS80,AQ80,IF(BD80=AW80,AU80))))))))))),2),(IF(SUM(J80,N80,R80,V80,Z80,AD80,AH80,AL80,AP80,AT80,AX80)=0,0,SMALL((J80,N80,R80,V80,Z80,AD80,AH80,AL80,AP80,AT80,AX80),COUNTIF((J80:AX80),0)+1))))))</f>
        <v>0</v>
      </c>
      <c r="BF80" s="714">
        <f>IF('Annexure-I'!L77="",'Annexure-I'!F77,'Annexure-I'!L77)</f>
        <v>6293.93</v>
      </c>
      <c r="BG80" s="714" t="str">
        <f>IF('Annexure-I'!M77="",'Annexure-I'!G77,'Annexure-I'!M77)</f>
        <v>CONTRACT-A76</v>
      </c>
      <c r="BH80" s="764">
        <f>IF('Annexure-I'!N77="",'Annexure-I'!H77,'Annexure-I'!N77)</f>
        <v>40967</v>
      </c>
      <c r="BI80" s="717">
        <f>IF('Annexure-I'!P77="",'Annexure-I'!J77,'Annexure-I'!P77)</f>
        <v>11530.99</v>
      </c>
      <c r="BJ80" s="717">
        <f>IF('Annexure-I'!Q77="",'Annexure-I'!K77,'Annexure-I'!Q77)</f>
        <v>1262277.5497492801</v>
      </c>
      <c r="BK80" s="714">
        <f>'Annexure-I'!F77</f>
        <v>6293.93</v>
      </c>
      <c r="BL80" s="718" t="str">
        <f>'Annexure-I'!G77</f>
        <v>CONTRACT-A76</v>
      </c>
      <c r="BM80" s="764">
        <f>IF('Annexure-I'!H77=0,"",'Annexure-I'!H77)</f>
        <v>40967</v>
      </c>
      <c r="BN80" s="717">
        <f>'Annexure-I'!J77</f>
        <v>11530.99</v>
      </c>
      <c r="BO80" s="717">
        <f>'Annexure-I'!K77</f>
        <v>1262277.5497492801</v>
      </c>
      <c r="BP80" s="714">
        <f>IF(OR(AY80="EST",AY80="ADRYS"),ROUND((BC80*1.18)/(1.3224*Form!$D$10),2),BC80)</f>
        <v>0</v>
      </c>
      <c r="BQ80" s="714">
        <f>ROUND(BS80/(1.3224*Form!$D$10),2)</f>
        <v>0</v>
      </c>
      <c r="BR80" s="714">
        <f t="shared" si="48"/>
        <v>0</v>
      </c>
      <c r="BS80" s="714">
        <f t="shared" si="49"/>
        <v>0</v>
      </c>
      <c r="BT80" s="719">
        <f t="shared" si="50"/>
        <v>0</v>
      </c>
      <c r="BU80" s="714"/>
      <c r="BV80" s="714">
        <f t="shared" si="33"/>
        <v>0</v>
      </c>
      <c r="BW80" s="714">
        <f>IF(OR(AY80="EST",AY80="ADRYS"),ROUND(1.18*BU80,2),ROUND(BU80*1.3224*Form!$D$10,2))</f>
        <v>0</v>
      </c>
      <c r="BX80" s="714">
        <f t="shared" si="34"/>
        <v>0</v>
      </c>
      <c r="BY80" s="719">
        <f t="shared" si="51"/>
        <v>0</v>
      </c>
      <c r="BZ80" s="714">
        <f t="shared" si="35"/>
        <v>3786832.65</v>
      </c>
      <c r="CA80" s="720"/>
      <c r="CB80" s="720"/>
      <c r="CC80" s="4"/>
      <c r="CD80" s="4"/>
      <c r="CE80" s="4"/>
      <c r="CF80" s="4"/>
      <c r="CG80" s="4"/>
      <c r="CH80" s="4"/>
      <c r="CI80" s="721"/>
      <c r="CR80" s="643"/>
    </row>
    <row r="81" spans="1:96" s="579" customFormat="1" ht="45" x14ac:dyDescent="0.25">
      <c r="A81" s="712">
        <f>SUBTOTAL(2,$B$5:B81)</f>
        <v>77</v>
      </c>
      <c r="B81" s="754">
        <v>77</v>
      </c>
      <c r="C81" s="755" t="s">
        <v>745</v>
      </c>
      <c r="D81" s="755" t="s">
        <v>623</v>
      </c>
      <c r="E81" s="754">
        <v>11</v>
      </c>
      <c r="F81" s="658">
        <f>'Annexure-I'!E78</f>
        <v>11</v>
      </c>
      <c r="G81" s="784" t="str">
        <f>IF('CST-Calculation'!G81=0,"",'CST-Calculation'!G81)</f>
        <v/>
      </c>
      <c r="H81" s="784" t="str">
        <f>IF('CST-Calculation'!H81=0,"",'CST-Calculation'!H81)</f>
        <v/>
      </c>
      <c r="I81" s="714" t="str">
        <f>IF(G81="","",IF(H81="TEC Rejected","",IF(H81="","",ROUND(1.3224*Form!$D$10*H81,2))))</f>
        <v/>
      </c>
      <c r="J81" s="714" t="str">
        <f t="shared" si="29"/>
        <v/>
      </c>
      <c r="K81" s="713" t="str">
        <f>IF(L81="","",IF('CST-Calculation'!$F81="Indg","",IF('CST-Calculation'!$F81="TEC Del","",IF('CST-Calculation'!K81&gt;0,'CST-Calculation'!K81,IF('CST-Calculation'!$F81=0,"",'CST-Calculation'!$F81)))))</f>
        <v/>
      </c>
      <c r="L81" s="714" t="str">
        <f>IF('CST-Calculation'!L81=0,"",'CST-Calculation'!L81)</f>
        <v/>
      </c>
      <c r="M81" s="714" t="str">
        <f>IF(K81="","",IF(L81="TEC Rejected","",IF(L81="","",ROUND(1.3224*Form!$D$10*L81,2))))</f>
        <v/>
      </c>
      <c r="N81" s="714" t="str">
        <f t="shared" si="30"/>
        <v/>
      </c>
      <c r="O81" s="89" t="str">
        <f>IF(P81="","",IF('CST-Calculation'!$F81="Indg","",IF('CST-Calculation'!$F81="TEC Del","",IF('CST-Calculation'!O81&gt;0,'CST-Calculation'!O81,IF('CST-Calculation'!$F81=0,"",'CST-Calculation'!$F81)))))</f>
        <v/>
      </c>
      <c r="P81" s="714" t="str">
        <f>IF('CST-Calculation'!P81=0,"",'CST-Calculation'!P81)</f>
        <v/>
      </c>
      <c r="Q81" s="714" t="str">
        <f>IF(O81="","",IF(P81="TEC Rejected","",IF(P81="","",ROUND(1.3224*Form!$D$10*P81,2))))</f>
        <v/>
      </c>
      <c r="R81" s="714" t="str">
        <f t="shared" si="31"/>
        <v/>
      </c>
      <c r="S81" s="89" t="str">
        <f>IF(T81="","",IF('CST-Calculation'!$F81="Indg","",IF('CST-Calculation'!$F81="TEC Del","",IF('CST-Calculation'!S81&gt;0,'CST-Calculation'!S81,IF('CST-Calculation'!$F81=0,"",'CST-Calculation'!$F81)))))</f>
        <v/>
      </c>
      <c r="T81" s="714" t="str">
        <f>IF('CST-Calculation'!T81=0,"",'CST-Calculation'!T81)</f>
        <v/>
      </c>
      <c r="U81" s="714" t="str">
        <f>IF(S81="","",IF(T81="TEC Rejected","",IF(T81="","",ROUND(1.3224*Form!$D$10*T81,2))))</f>
        <v/>
      </c>
      <c r="V81" s="714" t="str">
        <f t="shared" si="32"/>
        <v/>
      </c>
      <c r="W81" s="713" t="str">
        <f>IF(X81="","",IF('CST-Calculation'!$F81="Indg","",IF('CST-Calculation'!$F81="TEC Del","",IF('CST-Calculation'!W81&gt;0,'CST-Calculation'!W81,IF('CST-Calculation'!$F81=0,"",'CST-Calculation'!$F81)))))</f>
        <v/>
      </c>
      <c r="X81" s="714" t="str">
        <f>IF('CST-Calculation'!X81=0,"",'CST-Calculation'!X81)</f>
        <v/>
      </c>
      <c r="Y81" s="714" t="str">
        <f>IF(W81="","",IF(X81="TEC Rejected","",IF(X81="","",ROUND(1.3224*Form!$D$10*X81,2))))</f>
        <v/>
      </c>
      <c r="Z81" s="714" t="str">
        <f t="shared" si="36"/>
        <v/>
      </c>
      <c r="AA81" s="713" t="str">
        <f>IF(AB81="","",IF('CST-Calculation'!$F81="Indg","",IF('CST-Calculation'!$F81="TEC Del","",IF('CST-Calculation'!AA81&gt;0,'CST-Calculation'!AA81,IF('CST-Calculation'!$F81=0,"",'CST-Calculation'!$F81)))))</f>
        <v/>
      </c>
      <c r="AB81" s="714" t="str">
        <f>IF('CST-Calculation'!AB81=0,"",'CST-Calculation'!AB81)</f>
        <v/>
      </c>
      <c r="AC81" s="714" t="str">
        <f t="shared" si="37"/>
        <v/>
      </c>
      <c r="AD81" s="714" t="str">
        <f t="shared" si="38"/>
        <v/>
      </c>
      <c r="AE81" s="713" t="str">
        <f>IF(AF81="","",IF('CST-Calculation'!$F81="Indg","",IF('CST-Calculation'!$F81="TEC Del","",IF('CST-Calculation'!AE81&gt;0,'CST-Calculation'!AE81,IF('CST-Calculation'!$F81=0,"",'CST-Calculation'!$F81)))))</f>
        <v/>
      </c>
      <c r="AF81" s="714" t="str">
        <f>IF('CST-Calculation'!AF81=0,"",'CST-Calculation'!AF81)</f>
        <v/>
      </c>
      <c r="AG81" s="714" t="str">
        <f>IF(AE81="","",IF(AF81="TEC Rejected","",IF(AF81="","",ROUND(1.3224*Form!$D$10*AF81,2))))</f>
        <v/>
      </c>
      <c r="AH81" s="714" t="str">
        <f t="shared" si="39"/>
        <v/>
      </c>
      <c r="AI81" s="713" t="str">
        <f>IF(AJ81="","",IF('CST-Calculation'!$F81="Indg","",IF('CST-Calculation'!$F81="TEC Del","",IF('CST-Calculation'!AI81&gt;0,'CST-Calculation'!AI81,IF('CST-Calculation'!$F81=0,"",'CST-Calculation'!$F81)))))</f>
        <v/>
      </c>
      <c r="AJ81" s="714" t="str">
        <f>IF('CST-Calculation'!AJ81=0,"",'CST-Calculation'!AJ81)</f>
        <v/>
      </c>
      <c r="AK81" s="714" t="str">
        <f t="shared" si="40"/>
        <v/>
      </c>
      <c r="AL81" s="714" t="str">
        <f t="shared" si="41"/>
        <v/>
      </c>
      <c r="AM81" s="713" t="str">
        <f>IF(AN81="","",IF('CST-Calculation'!$F81="Indg","",IF('CST-Calculation'!$F81="TEC Del","",IF('CST-Calculation'!AM81&gt;0,'CST-Calculation'!AM81,IF('CST-Calculation'!$F81=0,"",'CST-Calculation'!$F81)))))</f>
        <v/>
      </c>
      <c r="AN81" s="714" t="str">
        <f>IF('CST-Calculation'!AN81=0,"",'CST-Calculation'!AN81)</f>
        <v/>
      </c>
      <c r="AO81" s="714" t="str">
        <f>IF(AM81="","",IF(AN81="TEC Rejected","",IF(AN81="","",ROUND(1.3224*Form!$D$10*AN81,2))))</f>
        <v/>
      </c>
      <c r="AP81" s="714" t="str">
        <f t="shared" si="42"/>
        <v/>
      </c>
      <c r="AQ81" s="713" t="str">
        <f>IF(AR81="","",IF('CST-Calculation'!$F81="Indg","",IF('CST-Calculation'!$F81="TEC Del","",IF('CST-Calculation'!AQ81&gt;0,'CST-Calculation'!AQ81,IF('CST-Calculation'!$F81=0,"",'CST-Calculation'!$F81)))))</f>
        <v/>
      </c>
      <c r="AR81" s="714" t="str">
        <f>IF('CST-Calculation'!AR81=0,"",'CST-Calculation'!AR81)</f>
        <v/>
      </c>
      <c r="AS81" s="714" t="str">
        <f>IF(AQ81="","",IF(AR81="TEC Rejected","",IF(AR81="","",ROUND(1.3224*Form!$D$10*AR81,2))))</f>
        <v/>
      </c>
      <c r="AT81" s="714" t="str">
        <f t="shared" si="43"/>
        <v/>
      </c>
      <c r="AU81" s="713" t="str">
        <f>IF(AV81="","",IF('CST-Calculation'!$F81="Indg","",IF('CST-Calculation'!$F81="TEC Del","",IF('CST-Calculation'!AU81&gt;0,'CST-Calculation'!AU81,IF('CST-Calculation'!$F81=0,"",'CST-Calculation'!$F81)))))</f>
        <v/>
      </c>
      <c r="AV81" s="714" t="str">
        <f>IF('CST-Calculation'!AV81=0,"",'CST-Calculation'!AV81)</f>
        <v/>
      </c>
      <c r="AW81" s="714" t="str">
        <f>IF(AU81="","",IF(AV81="TEC Rejected","",IF(AV81="","",ROUND(1.3224*Form!$D$10*AV81,2))))</f>
        <v/>
      </c>
      <c r="AX81" s="714" t="str">
        <f t="shared" si="44"/>
        <v/>
      </c>
      <c r="AY81" s="715" t="str">
        <f t="shared" si="45"/>
        <v>NO OFFER</v>
      </c>
      <c r="AZ81" s="716" t="str">
        <f t="shared" si="46"/>
        <v>NO OFFER</v>
      </c>
      <c r="BA81" s="716" t="str">
        <f t="shared" si="47"/>
        <v>&lt;= 20%</v>
      </c>
      <c r="BB81" s="716">
        <f>IF(AY81="EST",ROUND(BD81/1.18,2),IF(AY81="ADRYS",ROUND(BD81/1.18,2),ROUND(BD81/(1.3224*Form!$D$10),2)))</f>
        <v>0</v>
      </c>
      <c r="BC81" s="784">
        <f>IF(OR(AY81="EST",AY81="ADRYS"),ROUND(BE81/1.18,2),ROUND(BE81/(1.3224*Form!$D$10),2))</f>
        <v>0</v>
      </c>
      <c r="BD81" s="717">
        <f>IF(F81="Indg",0,IF(F81="TEC Del",0,IF(AND(IF(G81="",TRUE,G81&lt;=ROUNDUP(1.2*F81,0)),IF(K81="",TRUE,K81&lt;=ROUNDUP(1.2*F81,0)),IF(O81="",TRUE,O81&lt;=ROUNDUP(1.2*F81,0)),IF(S81="",TRUE,S81&lt;=ROUNDUP(1.2*F81,0)),IF(W81="",TRUE,W81&lt;=ROUNDUP(1.2*F81,0)),IF(AA81="",TRUE,AA81&lt;=ROUNDUP(1.2*F81,0)),IF(AE81="",TRUE,AE81&lt;=ROUNDUP(1.2*F81,0)),IF(AI81="",TRUE,AI81&lt;=ROUNDUP(1.2*F81,0)),IF(AM81="",TRUE,AM81&lt;=ROUNDUP(1.2*F81,0)),IF(AQ81="",TRUE,AQ81&lt;=ROUNDUP(1.2*F81,0)),IF(AU81="",TRUE,AU81&lt;=ROUNDUP(1.2*F81,0))),IF(F81=0,0,(IF(SUM(I81,M81,Q81,U81,Y81,AC81,AG81,AK81,AO81,AS81,AW81)=0,0,SMALL((I81,M81,Q81,U81,Y81,AC81,AG81,AK81,AO81,AS81,AW81),COUNTIF((I81:AW81),0)+1)))),IF(BE81=J81,I81,IF(BE81=N81,M81,IF(BE81=R81,Q81,IF(BE81=V81,U81,IF(BE81=Z81,Y81,IF(BE81=AD81,AC81,IF(BE81=AH81,AG81,IF(BE81=AL81,AK81,IF(BE81=AP81,AO81,IF(BE81=AT81,AS81,IF(BE81=AX81,AW81))))))))))))))</f>
        <v>0</v>
      </c>
      <c r="BE81" s="714">
        <f>IF(F81="Indg",0,IF(F81="TEC Del",0,IF(AND(IF(G81="",TRUE,G81&lt;=ROUNDUP(1.2*F81,0)),IF(K81="",TRUE,K81&lt;=ROUNDUP(1.2*F81,0)),IF(O81="",TRUE,O81&lt;=ROUNDUP(1.2*F81,0)),IF(S81="",TRUE,S81&lt;=ROUNDUP(1.2*F81,0)),IF(W81="",TRUE,W81&lt;=ROUNDUP(1.2*F81,0)),IF(AA81="",TRUE,AA81&lt;=ROUNDUP(1.2*F81,0)),IF(AE81="",TRUE,AE81&lt;=ROUNDUP(1.2*F81,0)),IF(AI81="",TRUE,AI81&lt;=ROUNDUP(1.2*F81,0)),IF(AM81="",TRUE,AM81&lt;=ROUNDUP(1.2*F81,0)),IF(AQ81="",TRUE,AQ81&lt;=ROUNDUP(1.2*F81,0)),IF(AU81="",TRUE,AU81&lt;=ROUNDUP(1.2*F81,0))),ROUND(BD81*IF(BD81=I81,G81,IF(BD81=M81,K81,IF(BD81=Q81,O81,IF(BD81=U81,S81,IF(BD81=Y81,W81,IF(BD81=AC81,AA81,IF(BD81=AG81,AE81,IF(BD81=AK81,AI81,IF(BD81=AO81,AM81,IF(BD81=AS81,AQ81,IF(BD81=AW81,AU81))))))))))),2),(IF(SUM(J81,N81,R81,V81,Z81,AD81,AH81,AL81,AP81,AT81,AX81)=0,0,SMALL((J81,N81,R81,V81,Z81,AD81,AH81,AL81,AP81,AT81,AX81),COUNTIF((J81:AX81),0)+1))))))</f>
        <v>0</v>
      </c>
      <c r="BF81" s="714">
        <f>IF('Annexure-I'!L78="",'Annexure-I'!F78,'Annexure-I'!L78)</f>
        <v>14.89</v>
      </c>
      <c r="BG81" s="714" t="str">
        <f>IF('Annexure-I'!M78="",'Annexure-I'!G78,'Annexure-I'!M78)</f>
        <v>CONTRACT-A77</v>
      </c>
      <c r="BH81" s="764" t="str">
        <f>IF('Annexure-I'!N78="",'Annexure-I'!H78,'Annexure-I'!N78)</f>
        <v>28-07-2017</v>
      </c>
      <c r="BI81" s="717">
        <f>IF('Annexure-I'!P78="",'Annexure-I'!J78,'Annexure-I'!P78)</f>
        <v>21.09</v>
      </c>
      <c r="BJ81" s="717">
        <f>IF('Annexure-I'!Q78="",'Annexure-I'!K78,'Annexure-I'!Q78)</f>
        <v>2308.68585648</v>
      </c>
      <c r="BK81" s="714">
        <f>'Annexure-I'!F78</f>
        <v>14.89</v>
      </c>
      <c r="BL81" s="718" t="str">
        <f>'Annexure-I'!G78</f>
        <v>CONTRACT-A77</v>
      </c>
      <c r="BM81" s="764" t="str">
        <f>IF('Annexure-I'!H78=0,"",'Annexure-I'!H78)</f>
        <v>28-07-2017</v>
      </c>
      <c r="BN81" s="717">
        <f>'Annexure-I'!J78</f>
        <v>21.09</v>
      </c>
      <c r="BO81" s="717">
        <f>'Annexure-I'!K78</f>
        <v>2308.68585648</v>
      </c>
      <c r="BP81" s="714">
        <f>IF(OR(AY81="EST",AY81="ADRYS"),ROUND((BC81*1.18)/(1.3224*Form!$D$10),2),BC81)</f>
        <v>0</v>
      </c>
      <c r="BQ81" s="714">
        <f>ROUND(BS81/(1.3224*Form!$D$10),2)</f>
        <v>0</v>
      </c>
      <c r="BR81" s="714">
        <f t="shared" si="48"/>
        <v>0</v>
      </c>
      <c r="BS81" s="714">
        <f t="shared" si="49"/>
        <v>0</v>
      </c>
      <c r="BT81" s="719">
        <f t="shared" si="50"/>
        <v>0</v>
      </c>
      <c r="BU81" s="714"/>
      <c r="BV81" s="714">
        <f t="shared" si="33"/>
        <v>0</v>
      </c>
      <c r="BW81" s="714">
        <f>IF(OR(AY81="EST",AY81="ADRYS"),ROUND(1.18*BU81,2),ROUND(BU81*1.3224*Form!$D$10,2))</f>
        <v>0</v>
      </c>
      <c r="BX81" s="714">
        <f t="shared" si="34"/>
        <v>0</v>
      </c>
      <c r="BY81" s="719">
        <f t="shared" si="51"/>
        <v>0</v>
      </c>
      <c r="BZ81" s="714">
        <f t="shared" si="35"/>
        <v>25395.54</v>
      </c>
      <c r="CA81" s="720"/>
      <c r="CB81" s="720"/>
      <c r="CC81" s="4"/>
      <c r="CD81" s="4"/>
      <c r="CE81" s="4"/>
      <c r="CF81" s="4"/>
      <c r="CG81" s="4"/>
      <c r="CH81" s="4"/>
      <c r="CI81" s="721"/>
      <c r="CR81" s="584"/>
    </row>
    <row r="82" spans="1:96" s="579" customFormat="1" ht="45" x14ac:dyDescent="0.25">
      <c r="A82" s="712">
        <f>SUBTOTAL(2,$B$5:B82)</f>
        <v>78</v>
      </c>
      <c r="B82" s="754">
        <v>78</v>
      </c>
      <c r="C82" s="756" t="s">
        <v>746</v>
      </c>
      <c r="D82" s="755" t="s">
        <v>624</v>
      </c>
      <c r="E82" s="754">
        <v>20</v>
      </c>
      <c r="F82" s="658">
        <f>'Annexure-I'!E79</f>
        <v>20</v>
      </c>
      <c r="G82" s="784" t="str">
        <f>IF('CST-Calculation'!G82=0,"",'CST-Calculation'!G82)</f>
        <v/>
      </c>
      <c r="H82" s="784" t="str">
        <f>IF('CST-Calculation'!H82=0,"",'CST-Calculation'!H82)</f>
        <v/>
      </c>
      <c r="I82" s="714" t="str">
        <f>IF(G82="","",IF(H82="TEC Rejected","",IF(H82="","",ROUND(1.3224*Form!$D$10*H82,2))))</f>
        <v/>
      </c>
      <c r="J82" s="714" t="str">
        <f t="shared" si="29"/>
        <v/>
      </c>
      <c r="K82" s="713" t="str">
        <f>IF(L82="","",IF('CST-Calculation'!$F82="Indg","",IF('CST-Calculation'!$F82="TEC Del","",IF('CST-Calculation'!K82&gt;0,'CST-Calculation'!K82,IF('CST-Calculation'!$F82=0,"",'CST-Calculation'!$F82)))))</f>
        <v/>
      </c>
      <c r="L82" s="714" t="str">
        <f>IF('CST-Calculation'!L82=0,"",'CST-Calculation'!L82)</f>
        <v/>
      </c>
      <c r="M82" s="714" t="str">
        <f>IF(K82="","",IF(L82="TEC Rejected","",IF(L82="","",ROUND(1.3224*Form!$D$10*L82,2))))</f>
        <v/>
      </c>
      <c r="N82" s="714" t="str">
        <f t="shared" si="30"/>
        <v/>
      </c>
      <c r="O82" s="89">
        <f>IF(P82="","",IF('CST-Calculation'!$F82="Indg","",IF('CST-Calculation'!$F82="TEC Del","",IF('CST-Calculation'!O82&gt;0,'CST-Calculation'!O82,IF('CST-Calculation'!$F82=0,"",'CST-Calculation'!$F82)))))</f>
        <v>20</v>
      </c>
      <c r="P82" s="714">
        <f>IF('CST-Calculation'!P82=0,"",'CST-Calculation'!P82)</f>
        <v>5100</v>
      </c>
      <c r="Q82" s="714">
        <f>IF(O82="","",IF(P82="TEC Rejected","",IF(P82="","",ROUND(1.3224*Form!$D$10*P82,2))))</f>
        <v>558288.18999999994</v>
      </c>
      <c r="R82" s="714">
        <f t="shared" si="31"/>
        <v>11165763.800000001</v>
      </c>
      <c r="S82" s="89" t="str">
        <f>IF(T82="","",IF('CST-Calculation'!$F82="Indg","",IF('CST-Calculation'!$F82="TEC Del","",IF('CST-Calculation'!S82&gt;0,'CST-Calculation'!S82,IF('CST-Calculation'!$F82=0,"",'CST-Calculation'!$F82)))))</f>
        <v/>
      </c>
      <c r="T82" s="714" t="str">
        <f>IF('CST-Calculation'!T82=0,"",'CST-Calculation'!T82)</f>
        <v/>
      </c>
      <c r="U82" s="714" t="str">
        <f>IF(S82="","",IF(T82="TEC Rejected","",IF(T82="","",ROUND(1.3224*Form!$D$10*T82,2))))</f>
        <v/>
      </c>
      <c r="V82" s="714" t="str">
        <f t="shared" si="32"/>
        <v/>
      </c>
      <c r="W82" s="713" t="str">
        <f>IF(X82="","",IF('CST-Calculation'!$F82="Indg","",IF('CST-Calculation'!$F82="TEC Del","",IF('CST-Calculation'!W82&gt;0,'CST-Calculation'!W82,IF('CST-Calculation'!$F82=0,"",'CST-Calculation'!$F82)))))</f>
        <v/>
      </c>
      <c r="X82" s="714" t="str">
        <f>IF('CST-Calculation'!X82=0,"",'CST-Calculation'!X82)</f>
        <v/>
      </c>
      <c r="Y82" s="714" t="str">
        <f>IF(W82="","",IF(X82="TEC Rejected","",IF(X82="","",ROUND(1.3224*Form!$D$10*X82,2))))</f>
        <v/>
      </c>
      <c r="Z82" s="714" t="str">
        <f t="shared" si="36"/>
        <v/>
      </c>
      <c r="AA82" s="713" t="str">
        <f>IF(AB82="","",IF('CST-Calculation'!$F82="Indg","",IF('CST-Calculation'!$F82="TEC Del","",IF('CST-Calculation'!AA82&gt;0,'CST-Calculation'!AA82,IF('CST-Calculation'!$F82=0,"",'CST-Calculation'!$F82)))))</f>
        <v/>
      </c>
      <c r="AB82" s="714" t="str">
        <f>IF('CST-Calculation'!AB82=0,"",'CST-Calculation'!AB82)</f>
        <v/>
      </c>
      <c r="AC82" s="714" t="str">
        <f t="shared" si="37"/>
        <v/>
      </c>
      <c r="AD82" s="714" t="str">
        <f t="shared" si="38"/>
        <v/>
      </c>
      <c r="AE82" s="713" t="str">
        <f>IF(AF82="","",IF('CST-Calculation'!$F82="Indg","",IF('CST-Calculation'!$F82="TEC Del","",IF('CST-Calculation'!AE82&gt;0,'CST-Calculation'!AE82,IF('CST-Calculation'!$F82=0,"",'CST-Calculation'!$F82)))))</f>
        <v/>
      </c>
      <c r="AF82" s="714" t="str">
        <f>IF('CST-Calculation'!AF82=0,"",'CST-Calculation'!AF82)</f>
        <v/>
      </c>
      <c r="AG82" s="714" t="str">
        <f>IF(AE82="","",IF(AF82="TEC Rejected","",IF(AF82="","",ROUND(1.3224*Form!$D$10*AF82,2))))</f>
        <v/>
      </c>
      <c r="AH82" s="714" t="str">
        <f t="shared" si="39"/>
        <v/>
      </c>
      <c r="AI82" s="713" t="str">
        <f>IF(AJ82="","",IF('CST-Calculation'!$F82="Indg","",IF('CST-Calculation'!$F82="TEC Del","",IF('CST-Calculation'!AI82&gt;0,'CST-Calculation'!AI82,IF('CST-Calculation'!$F82=0,"",'CST-Calculation'!$F82)))))</f>
        <v/>
      </c>
      <c r="AJ82" s="714" t="str">
        <f>IF('CST-Calculation'!AJ82=0,"",'CST-Calculation'!AJ82)</f>
        <v/>
      </c>
      <c r="AK82" s="714" t="str">
        <f t="shared" si="40"/>
        <v/>
      </c>
      <c r="AL82" s="714" t="str">
        <f t="shared" si="41"/>
        <v/>
      </c>
      <c r="AM82" s="713" t="str">
        <f>IF(AN82="","",IF('CST-Calculation'!$F82="Indg","",IF('CST-Calculation'!$F82="TEC Del","",IF('CST-Calculation'!AM82&gt;0,'CST-Calculation'!AM82,IF('CST-Calculation'!$F82=0,"",'CST-Calculation'!$F82)))))</f>
        <v/>
      </c>
      <c r="AN82" s="714" t="str">
        <f>IF('CST-Calculation'!AN82=0,"",'CST-Calculation'!AN82)</f>
        <v/>
      </c>
      <c r="AO82" s="714" t="str">
        <f>IF(AM82="","",IF(AN82="TEC Rejected","",IF(AN82="","",ROUND(1.3224*Form!$D$10*AN82,2))))</f>
        <v/>
      </c>
      <c r="AP82" s="714" t="str">
        <f t="shared" si="42"/>
        <v/>
      </c>
      <c r="AQ82" s="713" t="str">
        <f>IF(AR82="","",IF('CST-Calculation'!$F82="Indg","",IF('CST-Calculation'!$F82="TEC Del","",IF('CST-Calculation'!AQ82&gt;0,'CST-Calculation'!AQ82,IF('CST-Calculation'!$F82=0,"",'CST-Calculation'!$F82)))))</f>
        <v/>
      </c>
      <c r="AR82" s="714" t="str">
        <f>IF('CST-Calculation'!AR82=0,"",'CST-Calculation'!AR82)</f>
        <v/>
      </c>
      <c r="AS82" s="714" t="str">
        <f>IF(AQ82="","",IF(AR82="TEC Rejected","",IF(AR82="","",ROUND(1.3224*Form!$D$10*AR82,2))))</f>
        <v/>
      </c>
      <c r="AT82" s="714" t="str">
        <f t="shared" si="43"/>
        <v/>
      </c>
      <c r="AU82" s="713" t="str">
        <f>IF(AV82="","",IF('CST-Calculation'!$F82="Indg","",IF('CST-Calculation'!$F82="TEC Del","",IF('CST-Calculation'!AU82&gt;0,'CST-Calculation'!AU82,IF('CST-Calculation'!$F82=0,"",'CST-Calculation'!$F82)))))</f>
        <v/>
      </c>
      <c r="AV82" s="714" t="str">
        <f>IF('CST-Calculation'!AV82=0,"",'CST-Calculation'!AV82)</f>
        <v/>
      </c>
      <c r="AW82" s="714" t="str">
        <f>IF(AU82="","",IF(AV82="TEC Rejected","",IF(AV82="","",ROUND(1.3224*Form!$D$10*AV82,2))))</f>
        <v/>
      </c>
      <c r="AX82" s="714" t="str">
        <f t="shared" si="44"/>
        <v/>
      </c>
      <c r="AY82" s="715" t="str">
        <f t="shared" si="45"/>
        <v>GIS</v>
      </c>
      <c r="AZ82" s="716" t="str">
        <f t="shared" si="46"/>
        <v>SINGLE</v>
      </c>
      <c r="BA82" s="716" t="str">
        <f t="shared" si="47"/>
        <v>&lt;= 20%</v>
      </c>
      <c r="BB82" s="716">
        <f>IF(AY82="EST",ROUND(BD82/1.18,2),IF(AY82="ADRYS",ROUND(BD82/1.18,2),ROUND(BD82/(1.3224*Form!$D$10),2)))</f>
        <v>5100</v>
      </c>
      <c r="BC82" s="784">
        <f>IF(OR(AY82="EST",AY82="ADRYS"),ROUND(BE82/1.18,2),ROUND(BE82/(1.3224*Form!$D$10),2))</f>
        <v>102000</v>
      </c>
      <c r="BD82" s="717">
        <f>IF(F82="Indg",0,IF(F82="TEC Del",0,IF(AND(IF(G82="",TRUE,G82&lt;=ROUNDUP(1.2*F82,0)),IF(K82="",TRUE,K82&lt;=ROUNDUP(1.2*F82,0)),IF(O82="",TRUE,O82&lt;=ROUNDUP(1.2*F82,0)),IF(S82="",TRUE,S82&lt;=ROUNDUP(1.2*F82,0)),IF(W82="",TRUE,W82&lt;=ROUNDUP(1.2*F82,0)),IF(AA82="",TRUE,AA82&lt;=ROUNDUP(1.2*F82,0)),IF(AE82="",TRUE,AE82&lt;=ROUNDUP(1.2*F82,0)),IF(AI82="",TRUE,AI82&lt;=ROUNDUP(1.2*F82,0)),IF(AM82="",TRUE,AM82&lt;=ROUNDUP(1.2*F82,0)),IF(AQ82="",TRUE,AQ82&lt;=ROUNDUP(1.2*F82,0)),IF(AU82="",TRUE,AU82&lt;=ROUNDUP(1.2*F82,0))),IF(F82=0,0,(IF(SUM(I82,M82,Q82,U82,Y82,AC82,AG82,AK82,AO82,AS82,AW82)=0,0,SMALL((I82,M82,Q82,U82,Y82,AC82,AG82,AK82,AO82,AS82,AW82),COUNTIF((I82:AW82),0)+1)))),IF(BE82=J82,I82,IF(BE82=N82,M82,IF(BE82=R82,Q82,IF(BE82=V82,U82,IF(BE82=Z82,Y82,IF(BE82=AD82,AC82,IF(BE82=AH82,AG82,IF(BE82=AL82,AK82,IF(BE82=AP82,AO82,IF(BE82=AT82,AS82,IF(BE82=AX82,AW82))))))))))))))</f>
        <v>558288.18999999994</v>
      </c>
      <c r="BE82" s="714">
        <f>IF(F82="Indg",0,IF(F82="TEC Del",0,IF(AND(IF(G82="",TRUE,G82&lt;=ROUNDUP(1.2*F82,0)),IF(K82="",TRUE,K82&lt;=ROUNDUP(1.2*F82,0)),IF(O82="",TRUE,O82&lt;=ROUNDUP(1.2*F82,0)),IF(S82="",TRUE,S82&lt;=ROUNDUP(1.2*F82,0)),IF(W82="",TRUE,W82&lt;=ROUNDUP(1.2*F82,0)),IF(AA82="",TRUE,AA82&lt;=ROUNDUP(1.2*F82,0)),IF(AE82="",TRUE,AE82&lt;=ROUNDUP(1.2*F82,0)),IF(AI82="",TRUE,AI82&lt;=ROUNDUP(1.2*F82,0)),IF(AM82="",TRUE,AM82&lt;=ROUNDUP(1.2*F82,0)),IF(AQ82="",TRUE,AQ82&lt;=ROUNDUP(1.2*F82,0)),IF(AU82="",TRUE,AU82&lt;=ROUNDUP(1.2*F82,0))),ROUND(BD82*IF(BD82=I82,G82,IF(BD82=M82,K82,IF(BD82=Q82,O82,IF(BD82=U82,S82,IF(BD82=Y82,W82,IF(BD82=AC82,AA82,IF(BD82=AG82,AE82,IF(BD82=AK82,AI82,IF(BD82=AO82,AM82,IF(BD82=AS82,AQ82,IF(BD82=AW82,AU82))))))))))),2),(IF(SUM(J82,N82,R82,V82,Z82,AD82,AH82,AL82,AP82,AT82,AX82)=0,0,SMALL((J82,N82,R82,V82,Z82,AD82,AH82,AL82,AP82,AT82,AX82),COUNTIF((J82:AX82),0)+1))))))</f>
        <v>11165763.800000001</v>
      </c>
      <c r="BF82" s="714">
        <f>IF('Annexure-I'!L79="",'Annexure-I'!F79,'Annexure-I'!L79)</f>
        <v>46.18</v>
      </c>
      <c r="BG82" s="714" t="str">
        <f>IF('Annexure-I'!M79="",'Annexure-I'!G79,'Annexure-I'!M79)</f>
        <v>CONTRACT-A78</v>
      </c>
      <c r="BH82" s="764">
        <f>IF('Annexure-I'!N79="",'Annexure-I'!H79,'Annexure-I'!N79)</f>
        <v>40967</v>
      </c>
      <c r="BI82" s="717">
        <f>IF('Annexure-I'!P79="",'Annexure-I'!J79,'Annexure-I'!P79)</f>
        <v>84.61</v>
      </c>
      <c r="BJ82" s="717">
        <f>IF('Annexure-I'!Q79="",'Annexure-I'!K79,'Annexure-I'!Q79)</f>
        <v>9262.1104939200013</v>
      </c>
      <c r="BK82" s="714">
        <f>'Annexure-I'!F79</f>
        <v>46.18</v>
      </c>
      <c r="BL82" s="718" t="str">
        <f>'Annexure-I'!G79</f>
        <v>CONTRACT-A78</v>
      </c>
      <c r="BM82" s="764">
        <f>IF('Annexure-I'!H79=0,"",'Annexure-I'!H79)</f>
        <v>40967</v>
      </c>
      <c r="BN82" s="717">
        <f>'Annexure-I'!J79</f>
        <v>84.61</v>
      </c>
      <c r="BO82" s="717">
        <f>'Annexure-I'!K79</f>
        <v>9262.1104939200013</v>
      </c>
      <c r="BP82" s="714">
        <f>IF(OR(AY82="EST",AY82="ADRYS"),ROUND((BC82*1.18)/(1.3224*Form!$D$10),2),BC82)</f>
        <v>102000</v>
      </c>
      <c r="BQ82" s="714">
        <f>ROUND(BS82/(1.3224*Form!$D$10),2)</f>
        <v>1692.2</v>
      </c>
      <c r="BR82" s="714">
        <f t="shared" si="48"/>
        <v>11165763.800000001</v>
      </c>
      <c r="BS82" s="714">
        <f t="shared" si="49"/>
        <v>185242.21</v>
      </c>
      <c r="BT82" s="719">
        <f t="shared" si="50"/>
        <v>59.27656331675162</v>
      </c>
      <c r="BU82" s="714"/>
      <c r="BV82" s="714">
        <f t="shared" si="33"/>
        <v>0</v>
      </c>
      <c r="BW82" s="714">
        <f>IF(OR(AY82="EST",AY82="ADRYS"),ROUND(1.18*BU82,2),ROUND(BU82*1.3224*Form!$D$10,2))</f>
        <v>0</v>
      </c>
      <c r="BX82" s="714">
        <f t="shared" si="34"/>
        <v>0</v>
      </c>
      <c r="BY82" s="719">
        <f t="shared" si="51"/>
        <v>0</v>
      </c>
      <c r="BZ82" s="714">
        <f t="shared" si="35"/>
        <v>185242.21</v>
      </c>
      <c r="CA82" s="720"/>
      <c r="CB82" s="720"/>
      <c r="CC82" s="4"/>
      <c r="CD82" s="4"/>
      <c r="CE82" s="4"/>
      <c r="CF82" s="4"/>
      <c r="CG82" s="4"/>
      <c r="CH82" s="4"/>
      <c r="CI82" s="721"/>
      <c r="CJ82" s="645"/>
      <c r="CK82" s="592"/>
    </row>
    <row r="83" spans="1:96" s="579" customFormat="1" ht="45" x14ac:dyDescent="0.25">
      <c r="A83" s="712">
        <f>SUBTOTAL(2,$B$5:B83)</f>
        <v>79</v>
      </c>
      <c r="B83" s="754">
        <v>79</v>
      </c>
      <c r="C83" s="755" t="s">
        <v>747</v>
      </c>
      <c r="D83" s="755" t="s">
        <v>621</v>
      </c>
      <c r="E83" s="754">
        <v>16</v>
      </c>
      <c r="F83" s="658">
        <f>'Annexure-I'!E80</f>
        <v>16</v>
      </c>
      <c r="G83" s="784" t="str">
        <f>IF('CST-Calculation'!G83=0,"",'CST-Calculation'!G83)</f>
        <v/>
      </c>
      <c r="H83" s="784" t="str">
        <f>IF('CST-Calculation'!H83=0,"",'CST-Calculation'!H83)</f>
        <v/>
      </c>
      <c r="I83" s="714" t="str">
        <f>IF(G83="","",IF(H83="TEC Rejected","",IF(H83="","",ROUND(1.3224*Form!$D$10*H83,2))))</f>
        <v/>
      </c>
      <c r="J83" s="714" t="str">
        <f t="shared" si="29"/>
        <v/>
      </c>
      <c r="K83" s="713" t="str">
        <f>IF(L83="","",IF('CST-Calculation'!$F83="Indg","",IF('CST-Calculation'!$F83="TEC Del","",IF('CST-Calculation'!K83&gt;0,'CST-Calculation'!K83,IF('CST-Calculation'!$F83=0,"",'CST-Calculation'!$F83)))))</f>
        <v/>
      </c>
      <c r="L83" s="714" t="str">
        <f>IF('CST-Calculation'!L83=0,"",'CST-Calculation'!L83)</f>
        <v/>
      </c>
      <c r="M83" s="714" t="str">
        <f>IF(K83="","",IF(L83="TEC Rejected","",IF(L83="","",ROUND(1.3224*Form!$D$10*L83,2))))</f>
        <v/>
      </c>
      <c r="N83" s="714" t="str">
        <f t="shared" si="30"/>
        <v/>
      </c>
      <c r="O83" s="89">
        <f>IF(P83="","",IF('CST-Calculation'!$F83="Indg","",IF('CST-Calculation'!$F83="TEC Del","",IF('CST-Calculation'!O83&gt;0,'CST-Calculation'!O83,IF('CST-Calculation'!$F83=0,"",'CST-Calculation'!$F83)))))</f>
        <v>16</v>
      </c>
      <c r="P83" s="714">
        <f>IF('CST-Calculation'!P83=0,"",'CST-Calculation'!P83)</f>
        <v>85</v>
      </c>
      <c r="Q83" s="714">
        <f>IF(O83="","",IF(P83="TEC Rejected","",IF(P83="","",ROUND(1.3224*Form!$D$10*P83,2))))</f>
        <v>9304.7999999999993</v>
      </c>
      <c r="R83" s="714">
        <f t="shared" si="31"/>
        <v>148876.79999999999</v>
      </c>
      <c r="S83" s="89">
        <f>IF(T83="","",IF('CST-Calculation'!$F83="Indg","",IF('CST-Calculation'!$F83="TEC Del","",IF('CST-Calculation'!S83&gt;0,'CST-Calculation'!S83,IF('CST-Calculation'!$F83=0,"",'CST-Calculation'!$F83)))))</f>
        <v>16</v>
      </c>
      <c r="T83" s="714">
        <f>IF('CST-Calculation'!T83=0,"",'CST-Calculation'!T83)</f>
        <v>95</v>
      </c>
      <c r="U83" s="714">
        <f>IF(S83="","",IF(T83="TEC Rejected","",IF(T83="","",ROUND(1.3224*Form!$D$10*T83,2))))</f>
        <v>10399.49</v>
      </c>
      <c r="V83" s="714">
        <f t="shared" si="32"/>
        <v>166391.84</v>
      </c>
      <c r="W83" s="713" t="str">
        <f>IF(X83="","",IF('CST-Calculation'!$F83="Indg","",IF('CST-Calculation'!$F83="TEC Del","",IF('CST-Calculation'!W83&gt;0,'CST-Calculation'!W83,IF('CST-Calculation'!$F83=0,"",'CST-Calculation'!$F83)))))</f>
        <v/>
      </c>
      <c r="X83" s="714" t="str">
        <f>IF('CST-Calculation'!X83=0,"",'CST-Calculation'!X83)</f>
        <v/>
      </c>
      <c r="Y83" s="714" t="str">
        <f>IF(W83="","",IF(X83="TEC Rejected","",IF(X83="","",ROUND(1.3224*Form!$D$10*X83,2))))</f>
        <v/>
      </c>
      <c r="Z83" s="714" t="str">
        <f t="shared" si="36"/>
        <v/>
      </c>
      <c r="AA83" s="713" t="str">
        <f>IF(AB83="","",IF('CST-Calculation'!$F83="Indg","",IF('CST-Calculation'!$F83="TEC Del","",IF('CST-Calculation'!AA83&gt;0,'CST-Calculation'!AA83,IF('CST-Calculation'!$F83=0,"",'CST-Calculation'!$F83)))))</f>
        <v/>
      </c>
      <c r="AB83" s="714" t="str">
        <f>IF('CST-Calculation'!AB83=0,"",'CST-Calculation'!AB83)</f>
        <v/>
      </c>
      <c r="AC83" s="714" t="str">
        <f t="shared" si="37"/>
        <v/>
      </c>
      <c r="AD83" s="714" t="str">
        <f t="shared" si="38"/>
        <v/>
      </c>
      <c r="AE83" s="713" t="str">
        <f>IF(AF83="","",IF('CST-Calculation'!$F83="Indg","",IF('CST-Calculation'!$F83="TEC Del","",IF('CST-Calculation'!AE83&gt;0,'CST-Calculation'!AE83,IF('CST-Calculation'!$F83=0,"",'CST-Calculation'!$F83)))))</f>
        <v/>
      </c>
      <c r="AF83" s="714" t="str">
        <f>IF('CST-Calculation'!AF83=0,"",'CST-Calculation'!AF83)</f>
        <v/>
      </c>
      <c r="AG83" s="714" t="str">
        <f>IF(AE83="","",IF(AF83="TEC Rejected","",IF(AF83="","",ROUND(1.3224*Form!$D$10*AF83,2))))</f>
        <v/>
      </c>
      <c r="AH83" s="714" t="str">
        <f t="shared" si="39"/>
        <v/>
      </c>
      <c r="AI83" s="713" t="str">
        <f>IF(AJ83="","",IF('CST-Calculation'!$F83="Indg","",IF('CST-Calculation'!$F83="TEC Del","",IF('CST-Calculation'!AI83&gt;0,'CST-Calculation'!AI83,IF('CST-Calculation'!$F83=0,"",'CST-Calculation'!$F83)))))</f>
        <v/>
      </c>
      <c r="AJ83" s="714" t="str">
        <f>IF('CST-Calculation'!AJ83=0,"",'CST-Calculation'!AJ83)</f>
        <v/>
      </c>
      <c r="AK83" s="714" t="str">
        <f t="shared" si="40"/>
        <v/>
      </c>
      <c r="AL83" s="714" t="str">
        <f t="shared" si="41"/>
        <v/>
      </c>
      <c r="AM83" s="713" t="str">
        <f>IF(AN83="","",IF('CST-Calculation'!$F83="Indg","",IF('CST-Calculation'!$F83="TEC Del","",IF('CST-Calculation'!AM83&gt;0,'CST-Calculation'!AM83,IF('CST-Calculation'!$F83=0,"",'CST-Calculation'!$F83)))))</f>
        <v/>
      </c>
      <c r="AN83" s="714" t="str">
        <f>IF('CST-Calculation'!AN83=0,"",'CST-Calculation'!AN83)</f>
        <v/>
      </c>
      <c r="AO83" s="714" t="str">
        <f>IF(AM83="","",IF(AN83="TEC Rejected","",IF(AN83="","",ROUND(1.3224*Form!$D$10*AN83,2))))</f>
        <v/>
      </c>
      <c r="AP83" s="714" t="str">
        <f t="shared" si="42"/>
        <v/>
      </c>
      <c r="AQ83" s="713" t="str">
        <f>IF(AR83="","",IF('CST-Calculation'!$F83="Indg","",IF('CST-Calculation'!$F83="TEC Del","",IF('CST-Calculation'!AQ83&gt;0,'CST-Calculation'!AQ83,IF('CST-Calculation'!$F83=0,"",'CST-Calculation'!$F83)))))</f>
        <v/>
      </c>
      <c r="AR83" s="714" t="str">
        <f>IF('CST-Calculation'!AR83=0,"",'CST-Calculation'!AR83)</f>
        <v/>
      </c>
      <c r="AS83" s="714" t="str">
        <f>IF(AQ83="","",IF(AR83="TEC Rejected","",IF(AR83="","",ROUND(1.3224*Form!$D$10*AR83,2))))</f>
        <v/>
      </c>
      <c r="AT83" s="714" t="str">
        <f t="shared" si="43"/>
        <v/>
      </c>
      <c r="AU83" s="713" t="str">
        <f>IF(AV83="","",IF('CST-Calculation'!$F83="Indg","",IF('CST-Calculation'!$F83="TEC Del","",IF('CST-Calculation'!AU83&gt;0,'CST-Calculation'!AU83,IF('CST-Calculation'!$F83=0,"",'CST-Calculation'!$F83)))))</f>
        <v/>
      </c>
      <c r="AV83" s="714" t="str">
        <f>IF('CST-Calculation'!AV83=0,"",'CST-Calculation'!AV83)</f>
        <v/>
      </c>
      <c r="AW83" s="714" t="str">
        <f>IF(AU83="","",IF(AV83="TEC Rejected","",IF(AV83="","",ROUND(1.3224*Form!$D$10*AV83,2))))</f>
        <v/>
      </c>
      <c r="AX83" s="714" t="str">
        <f t="shared" si="44"/>
        <v/>
      </c>
      <c r="AY83" s="715" t="str">
        <f t="shared" si="45"/>
        <v>GIS</v>
      </c>
      <c r="AZ83" s="716" t="str">
        <f t="shared" si="46"/>
        <v>MULTIPLE</v>
      </c>
      <c r="BA83" s="716" t="str">
        <f t="shared" si="47"/>
        <v>&lt;= 20%</v>
      </c>
      <c r="BB83" s="716">
        <f>IF(AY83="EST",ROUND(BD83/1.18,2),IF(AY83="ADRYS",ROUND(BD83/1.18,2),ROUND(BD83/(1.3224*Form!$D$10),2)))</f>
        <v>85</v>
      </c>
      <c r="BC83" s="784">
        <f>IF(OR(AY83="EST",AY83="ADRYS"),ROUND(BE83/1.18,2),ROUND(BE83/(1.3224*Form!$D$10),2))</f>
        <v>1360</v>
      </c>
      <c r="BD83" s="717">
        <f>IF(F83="Indg",0,IF(F83="TEC Del",0,IF(AND(IF(G83="",TRUE,G83&lt;=ROUNDUP(1.2*F83,0)),IF(K83="",TRUE,K83&lt;=ROUNDUP(1.2*F83,0)),IF(O83="",TRUE,O83&lt;=ROUNDUP(1.2*F83,0)),IF(S83="",TRUE,S83&lt;=ROUNDUP(1.2*F83,0)),IF(W83="",TRUE,W83&lt;=ROUNDUP(1.2*F83,0)),IF(AA83="",TRUE,AA83&lt;=ROUNDUP(1.2*F83,0)),IF(AE83="",TRUE,AE83&lt;=ROUNDUP(1.2*F83,0)),IF(AI83="",TRUE,AI83&lt;=ROUNDUP(1.2*F83,0)),IF(AM83="",TRUE,AM83&lt;=ROUNDUP(1.2*F83,0)),IF(AQ83="",TRUE,AQ83&lt;=ROUNDUP(1.2*F83,0)),IF(AU83="",TRUE,AU83&lt;=ROUNDUP(1.2*F83,0))),IF(F83=0,0,(IF(SUM(I83,M83,Q83,U83,Y83,AC83,AG83,AK83,AO83,AS83,AW83)=0,0,SMALL((I83,M83,Q83,U83,Y83,AC83,AG83,AK83,AO83,AS83,AW83),COUNTIF((I83:AW83),0)+1)))),IF(BE83=J83,I83,IF(BE83=N83,M83,IF(BE83=R83,Q83,IF(BE83=V83,U83,IF(BE83=Z83,Y83,IF(BE83=AD83,AC83,IF(BE83=AH83,AG83,IF(BE83=AL83,AK83,IF(BE83=AP83,AO83,IF(BE83=AT83,AS83,IF(BE83=AX83,AW83))))))))))))))</f>
        <v>9304.7999999999993</v>
      </c>
      <c r="BE83" s="714">
        <f>IF(F83="Indg",0,IF(F83="TEC Del",0,IF(AND(IF(G83="",TRUE,G83&lt;=ROUNDUP(1.2*F83,0)),IF(K83="",TRUE,K83&lt;=ROUNDUP(1.2*F83,0)),IF(O83="",TRUE,O83&lt;=ROUNDUP(1.2*F83,0)),IF(S83="",TRUE,S83&lt;=ROUNDUP(1.2*F83,0)),IF(W83="",TRUE,W83&lt;=ROUNDUP(1.2*F83,0)),IF(AA83="",TRUE,AA83&lt;=ROUNDUP(1.2*F83,0)),IF(AE83="",TRUE,AE83&lt;=ROUNDUP(1.2*F83,0)),IF(AI83="",TRUE,AI83&lt;=ROUNDUP(1.2*F83,0)),IF(AM83="",TRUE,AM83&lt;=ROUNDUP(1.2*F83,0)),IF(AQ83="",TRUE,AQ83&lt;=ROUNDUP(1.2*F83,0)),IF(AU83="",TRUE,AU83&lt;=ROUNDUP(1.2*F83,0))),ROUND(BD83*IF(BD83=I83,G83,IF(BD83=M83,K83,IF(BD83=Q83,O83,IF(BD83=U83,S83,IF(BD83=Y83,W83,IF(BD83=AC83,AA83,IF(BD83=AG83,AE83,IF(BD83=AK83,AI83,IF(BD83=AO83,AM83,IF(BD83=AS83,AQ83,IF(BD83=AW83,AU83))))))))))),2),(IF(SUM(J83,N83,R83,V83,Z83,AD83,AH83,AL83,AP83,AT83,AX83)=0,0,SMALL((J83,N83,R83,V83,Z83,AD83,AH83,AL83,AP83,AT83,AX83),COUNTIF((J83:AX83),0)+1))))))</f>
        <v>148876.79999999999</v>
      </c>
      <c r="BF83" s="714">
        <f>IF('Annexure-I'!L80="",'Annexure-I'!F80,'Annexure-I'!L80)</f>
        <v>19.09</v>
      </c>
      <c r="BG83" s="714" t="str">
        <f>IF('Annexure-I'!M80="",'Annexure-I'!G80,'Annexure-I'!M80)</f>
        <v>CONTRACT-A79</v>
      </c>
      <c r="BH83" s="764">
        <f>IF('Annexure-I'!N80="",'Annexure-I'!H80,'Annexure-I'!N80)</f>
        <v>40967</v>
      </c>
      <c r="BI83" s="717">
        <f>IF('Annexure-I'!P80="",'Annexure-I'!J80,'Annexure-I'!P80)</f>
        <v>34.97</v>
      </c>
      <c r="BJ83" s="717">
        <f>IF('Annexure-I'!Q80="",'Annexure-I'!K80,'Annexure-I'!Q80)</f>
        <v>3828.1054718399996</v>
      </c>
      <c r="BK83" s="714">
        <f>'Annexure-I'!F80</f>
        <v>19.09</v>
      </c>
      <c r="BL83" s="718" t="str">
        <f>'Annexure-I'!G80</f>
        <v>CONTRACT-A79</v>
      </c>
      <c r="BM83" s="764">
        <f>IF('Annexure-I'!H80=0,"",'Annexure-I'!H80)</f>
        <v>40967</v>
      </c>
      <c r="BN83" s="717">
        <f>'Annexure-I'!J80</f>
        <v>34.97</v>
      </c>
      <c r="BO83" s="717">
        <f>'Annexure-I'!K80</f>
        <v>3828.1054718399996</v>
      </c>
      <c r="BP83" s="714">
        <f>IF(OR(AY83="EST",AY83="ADRYS"),ROUND((BC83*1.18)/(1.3224*Form!$D$10),2),BC83)</f>
        <v>1360</v>
      </c>
      <c r="BQ83" s="714">
        <f>ROUND(BS83/(1.3224*Form!$D$10),2)</f>
        <v>559.52</v>
      </c>
      <c r="BR83" s="714">
        <f t="shared" si="48"/>
        <v>148876.79999999999</v>
      </c>
      <c r="BS83" s="714">
        <f t="shared" si="49"/>
        <v>61249.69</v>
      </c>
      <c r="BT83" s="719">
        <f t="shared" si="50"/>
        <v>1.4306539347382816</v>
      </c>
      <c r="BU83" s="714"/>
      <c r="BV83" s="714">
        <f t="shared" si="33"/>
        <v>0</v>
      </c>
      <c r="BW83" s="714">
        <f>IF(OR(AY83="EST",AY83="ADRYS"),ROUND(1.18*BU83,2),ROUND(BU83*1.3224*Form!$D$10,2))</f>
        <v>0</v>
      </c>
      <c r="BX83" s="714">
        <f t="shared" si="34"/>
        <v>0</v>
      </c>
      <c r="BY83" s="719">
        <f t="shared" si="51"/>
        <v>0</v>
      </c>
      <c r="BZ83" s="714">
        <f t="shared" si="35"/>
        <v>61249.69</v>
      </c>
      <c r="CA83" s="720"/>
      <c r="CB83" s="720"/>
      <c r="CC83" s="4"/>
      <c r="CD83" s="4"/>
      <c r="CE83" s="4"/>
      <c r="CF83" s="4"/>
      <c r="CG83" s="4"/>
      <c r="CH83" s="4"/>
      <c r="CI83" s="721"/>
      <c r="CR83" s="584"/>
    </row>
    <row r="84" spans="1:96" s="579" customFormat="1" ht="45" x14ac:dyDescent="0.25">
      <c r="A84" s="712">
        <f>SUBTOTAL(2,$B$5:B84)</f>
        <v>80</v>
      </c>
      <c r="B84" s="754">
        <v>80</v>
      </c>
      <c r="C84" s="756" t="s">
        <v>748</v>
      </c>
      <c r="D84" s="755" t="s">
        <v>625</v>
      </c>
      <c r="E84" s="754">
        <v>4</v>
      </c>
      <c r="F84" s="658">
        <f>'Annexure-I'!E81</f>
        <v>4</v>
      </c>
      <c r="G84" s="784" t="str">
        <f>IF('CST-Calculation'!G84=0,"",'CST-Calculation'!G84)</f>
        <v/>
      </c>
      <c r="H84" s="784" t="str">
        <f>IF('CST-Calculation'!H84=0,"",'CST-Calculation'!H84)</f>
        <v/>
      </c>
      <c r="I84" s="714" t="str">
        <f>IF(G84="","",IF(H84="TEC Rejected","",IF(H84="","",ROUND(1.3224*Form!$D$10*H84,2))))</f>
        <v/>
      </c>
      <c r="J84" s="714" t="str">
        <f t="shared" si="29"/>
        <v/>
      </c>
      <c r="K84" s="713" t="str">
        <f>IF(L84="","",IF('CST-Calculation'!$F84="Indg","",IF('CST-Calculation'!$F84="TEC Del","",IF('CST-Calculation'!K84&gt;0,'CST-Calculation'!K84,IF('CST-Calculation'!$F84=0,"",'CST-Calculation'!$F84)))))</f>
        <v/>
      </c>
      <c r="L84" s="714" t="str">
        <f>IF('CST-Calculation'!L84=0,"",'CST-Calculation'!L84)</f>
        <v/>
      </c>
      <c r="M84" s="714" t="str">
        <f>IF(K84="","",IF(L84="TEC Rejected","",IF(L84="","",ROUND(1.3224*Form!$D$10*L84,2))))</f>
        <v/>
      </c>
      <c r="N84" s="714" t="str">
        <f t="shared" si="30"/>
        <v/>
      </c>
      <c r="O84" s="89" t="str">
        <f>IF(P84="","",IF('CST-Calculation'!$F84="Indg","",IF('CST-Calculation'!$F84="TEC Del","",IF('CST-Calculation'!O84&gt;0,'CST-Calculation'!O84,IF('CST-Calculation'!$F84=0,"",'CST-Calculation'!$F84)))))</f>
        <v/>
      </c>
      <c r="P84" s="714" t="str">
        <f>IF('CST-Calculation'!P84=0,"",'CST-Calculation'!P84)</f>
        <v/>
      </c>
      <c r="Q84" s="714" t="str">
        <f>IF(O84="","",IF(P84="TEC Rejected","",IF(P84="","",ROUND(1.3224*Form!$D$10*P84,2))))</f>
        <v/>
      </c>
      <c r="R84" s="714" t="str">
        <f t="shared" si="31"/>
        <v/>
      </c>
      <c r="S84" s="89" t="str">
        <f>IF(T84="","",IF('CST-Calculation'!$F84="Indg","",IF('CST-Calculation'!$F84="TEC Del","",IF('CST-Calculation'!S84&gt;0,'CST-Calculation'!S84,IF('CST-Calculation'!$F84=0,"",'CST-Calculation'!$F84)))))</f>
        <v/>
      </c>
      <c r="T84" s="714" t="str">
        <f>IF('CST-Calculation'!T84=0,"",'CST-Calculation'!T84)</f>
        <v/>
      </c>
      <c r="U84" s="714" t="str">
        <f>IF(S84="","",IF(T84="TEC Rejected","",IF(T84="","",ROUND(1.3224*Form!$D$10*T84,2))))</f>
        <v/>
      </c>
      <c r="V84" s="714" t="str">
        <f t="shared" si="32"/>
        <v/>
      </c>
      <c r="W84" s="713" t="str">
        <f>IF(X84="","",IF('CST-Calculation'!$F84="Indg","",IF('CST-Calculation'!$F84="TEC Del","",IF('CST-Calculation'!W84&gt;0,'CST-Calculation'!W84,IF('CST-Calculation'!$F84=0,"",'CST-Calculation'!$F84)))))</f>
        <v/>
      </c>
      <c r="X84" s="714" t="str">
        <f>IF('CST-Calculation'!X84=0,"",'CST-Calculation'!X84)</f>
        <v/>
      </c>
      <c r="Y84" s="714" t="str">
        <f>IF(W84="","",IF(X84="TEC Rejected","",IF(X84="","",ROUND(1.3224*Form!$D$10*X84,2))))</f>
        <v/>
      </c>
      <c r="Z84" s="714" t="str">
        <f t="shared" si="36"/>
        <v/>
      </c>
      <c r="AA84" s="713" t="str">
        <f>IF(AB84="","",IF('CST-Calculation'!$F84="Indg","",IF('CST-Calculation'!$F84="TEC Del","",IF('CST-Calculation'!AA84&gt;0,'CST-Calculation'!AA84,IF('CST-Calculation'!$F84=0,"",'CST-Calculation'!$F84)))))</f>
        <v/>
      </c>
      <c r="AB84" s="714" t="str">
        <f>IF('CST-Calculation'!AB84=0,"",'CST-Calculation'!AB84)</f>
        <v/>
      </c>
      <c r="AC84" s="714" t="str">
        <f t="shared" si="37"/>
        <v/>
      </c>
      <c r="AD84" s="714" t="str">
        <f t="shared" si="38"/>
        <v/>
      </c>
      <c r="AE84" s="713" t="str">
        <f>IF(AF84="","",IF('CST-Calculation'!$F84="Indg","",IF('CST-Calculation'!$F84="TEC Del","",IF('CST-Calculation'!AE84&gt;0,'CST-Calculation'!AE84,IF('CST-Calculation'!$F84=0,"",'CST-Calculation'!$F84)))))</f>
        <v/>
      </c>
      <c r="AF84" s="714" t="str">
        <f>IF('CST-Calculation'!AF84=0,"",'CST-Calculation'!AF84)</f>
        <v/>
      </c>
      <c r="AG84" s="714" t="str">
        <f>IF(AE84="","",IF(AF84="TEC Rejected","",IF(AF84="","",ROUND(1.3224*Form!$D$10*AF84,2))))</f>
        <v/>
      </c>
      <c r="AH84" s="714" t="str">
        <f t="shared" si="39"/>
        <v/>
      </c>
      <c r="AI84" s="713" t="str">
        <f>IF(AJ84="","",IF('CST-Calculation'!$F84="Indg","",IF('CST-Calculation'!$F84="TEC Del","",IF('CST-Calculation'!AI84&gt;0,'CST-Calculation'!AI84,IF('CST-Calculation'!$F84=0,"",'CST-Calculation'!$F84)))))</f>
        <v/>
      </c>
      <c r="AJ84" s="714" t="str">
        <f>IF('CST-Calculation'!AJ84=0,"",'CST-Calculation'!AJ84)</f>
        <v/>
      </c>
      <c r="AK84" s="714" t="str">
        <f t="shared" si="40"/>
        <v/>
      </c>
      <c r="AL84" s="714" t="str">
        <f t="shared" si="41"/>
        <v/>
      </c>
      <c r="AM84" s="713" t="str">
        <f>IF(AN84="","",IF('CST-Calculation'!$F84="Indg","",IF('CST-Calculation'!$F84="TEC Del","",IF('CST-Calculation'!AM84&gt;0,'CST-Calculation'!AM84,IF('CST-Calculation'!$F84=0,"",'CST-Calculation'!$F84)))))</f>
        <v/>
      </c>
      <c r="AN84" s="714" t="str">
        <f>IF('CST-Calculation'!AN84=0,"",'CST-Calculation'!AN84)</f>
        <v/>
      </c>
      <c r="AO84" s="714" t="str">
        <f>IF(AM84="","",IF(AN84="TEC Rejected","",IF(AN84="","",ROUND(1.3224*Form!$D$10*AN84,2))))</f>
        <v/>
      </c>
      <c r="AP84" s="714" t="str">
        <f t="shared" si="42"/>
        <v/>
      </c>
      <c r="AQ84" s="713" t="str">
        <f>IF(AR84="","",IF('CST-Calculation'!$F84="Indg","",IF('CST-Calculation'!$F84="TEC Del","",IF('CST-Calculation'!AQ84&gt;0,'CST-Calculation'!AQ84,IF('CST-Calculation'!$F84=0,"",'CST-Calculation'!$F84)))))</f>
        <v/>
      </c>
      <c r="AR84" s="714" t="str">
        <f>IF('CST-Calculation'!AR84=0,"",'CST-Calculation'!AR84)</f>
        <v/>
      </c>
      <c r="AS84" s="714" t="str">
        <f>IF(AQ84="","",IF(AR84="TEC Rejected","",IF(AR84="","",ROUND(1.3224*Form!$D$10*AR84,2))))</f>
        <v/>
      </c>
      <c r="AT84" s="714" t="str">
        <f t="shared" si="43"/>
        <v/>
      </c>
      <c r="AU84" s="713" t="str">
        <f>IF(AV84="","",IF('CST-Calculation'!$F84="Indg","",IF('CST-Calculation'!$F84="TEC Del","",IF('CST-Calculation'!AU84&gt;0,'CST-Calculation'!AU84,IF('CST-Calculation'!$F84=0,"",'CST-Calculation'!$F84)))))</f>
        <v/>
      </c>
      <c r="AV84" s="714" t="str">
        <f>IF('CST-Calculation'!AV84=0,"",'CST-Calculation'!AV84)</f>
        <v/>
      </c>
      <c r="AW84" s="714" t="str">
        <f>IF(AU84="","",IF(AV84="TEC Rejected","",IF(AV84="","",ROUND(1.3224*Form!$D$10*AV84,2))))</f>
        <v/>
      </c>
      <c r="AX84" s="714" t="str">
        <f t="shared" si="44"/>
        <v/>
      </c>
      <c r="AY84" s="715" t="str">
        <f t="shared" si="45"/>
        <v>NO OFFER</v>
      </c>
      <c r="AZ84" s="716" t="str">
        <f t="shared" si="46"/>
        <v>NO OFFER</v>
      </c>
      <c r="BA84" s="716" t="str">
        <f t="shared" si="47"/>
        <v>&lt;= 20%</v>
      </c>
      <c r="BB84" s="716">
        <f>IF(AY84="EST",ROUND(BD84/1.18,2),IF(AY84="ADRYS",ROUND(BD84/1.18,2),ROUND(BD84/(1.3224*Form!$D$10),2)))</f>
        <v>0</v>
      </c>
      <c r="BC84" s="784">
        <f>IF(OR(AY84="EST",AY84="ADRYS"),ROUND(BE84/1.18,2),ROUND(BE84/(1.3224*Form!$D$10),2))</f>
        <v>0</v>
      </c>
      <c r="BD84" s="717">
        <f>IF(F84="Indg",0,IF(F84="TEC Del",0,IF(AND(IF(G84="",TRUE,G84&lt;=ROUNDUP(1.2*F84,0)),IF(K84="",TRUE,K84&lt;=ROUNDUP(1.2*F84,0)),IF(O84="",TRUE,O84&lt;=ROUNDUP(1.2*F84,0)),IF(S84="",TRUE,S84&lt;=ROUNDUP(1.2*F84,0)),IF(W84="",TRUE,W84&lt;=ROUNDUP(1.2*F84,0)),IF(AA84="",TRUE,AA84&lt;=ROUNDUP(1.2*F84,0)),IF(AE84="",TRUE,AE84&lt;=ROUNDUP(1.2*F84,0)),IF(AI84="",TRUE,AI84&lt;=ROUNDUP(1.2*F84,0)),IF(AM84="",TRUE,AM84&lt;=ROUNDUP(1.2*F84,0)),IF(AQ84="",TRUE,AQ84&lt;=ROUNDUP(1.2*F84,0)),IF(AU84="",TRUE,AU84&lt;=ROUNDUP(1.2*F84,0))),IF(F84=0,0,(IF(SUM(I84,M84,Q84,U84,Y84,AC84,AG84,AK84,AO84,AS84,AW84)=0,0,SMALL((I84,M84,Q84,U84,Y84,AC84,AG84,AK84,AO84,AS84,AW84),COUNTIF((I84:AW84),0)+1)))),IF(BE84=J84,I84,IF(BE84=N84,M84,IF(BE84=R84,Q84,IF(BE84=V84,U84,IF(BE84=Z84,Y84,IF(BE84=AD84,AC84,IF(BE84=AH84,AG84,IF(BE84=AL84,AK84,IF(BE84=AP84,AO84,IF(BE84=AT84,AS84,IF(BE84=AX84,AW84))))))))))))))</f>
        <v>0</v>
      </c>
      <c r="BE84" s="714">
        <f>IF(F84="Indg",0,IF(F84="TEC Del",0,IF(AND(IF(G84="",TRUE,G84&lt;=ROUNDUP(1.2*F84,0)),IF(K84="",TRUE,K84&lt;=ROUNDUP(1.2*F84,0)),IF(O84="",TRUE,O84&lt;=ROUNDUP(1.2*F84,0)),IF(S84="",TRUE,S84&lt;=ROUNDUP(1.2*F84,0)),IF(W84="",TRUE,W84&lt;=ROUNDUP(1.2*F84,0)),IF(AA84="",TRUE,AA84&lt;=ROUNDUP(1.2*F84,0)),IF(AE84="",TRUE,AE84&lt;=ROUNDUP(1.2*F84,0)),IF(AI84="",TRUE,AI84&lt;=ROUNDUP(1.2*F84,0)),IF(AM84="",TRUE,AM84&lt;=ROUNDUP(1.2*F84,0)),IF(AQ84="",TRUE,AQ84&lt;=ROUNDUP(1.2*F84,0)),IF(AU84="",TRUE,AU84&lt;=ROUNDUP(1.2*F84,0))),ROUND(BD84*IF(BD84=I84,G84,IF(BD84=M84,K84,IF(BD84=Q84,O84,IF(BD84=U84,S84,IF(BD84=Y84,W84,IF(BD84=AC84,AA84,IF(BD84=AG84,AE84,IF(BD84=AK84,AI84,IF(BD84=AO84,AM84,IF(BD84=AS84,AQ84,IF(BD84=AW84,AU84))))))))))),2),(IF(SUM(J84,N84,R84,V84,Z84,AD84,AH84,AL84,AP84,AT84,AX84)=0,0,SMALL((J84,N84,R84,V84,Z84,AD84,AH84,AL84,AP84,AT84,AX84),COUNTIF((J84:AX84),0)+1))))))</f>
        <v>0</v>
      </c>
      <c r="BF84" s="714">
        <f>IF('Annexure-I'!L81="",'Annexure-I'!F81,'Annexure-I'!L81)</f>
        <v>23941.759999999998</v>
      </c>
      <c r="BG84" s="714" t="str">
        <f>IF('Annexure-I'!M81="",'Annexure-I'!G81,'Annexure-I'!M81)</f>
        <v>CONTRACT-A80</v>
      </c>
      <c r="BH84" s="764">
        <f>IF('Annexure-I'!N81="",'Annexure-I'!H81,'Annexure-I'!N81)</f>
        <v>41789</v>
      </c>
      <c r="BI84" s="717">
        <f>IF('Annexure-I'!P81="",'Annexure-I'!J81,'Annexure-I'!P81)</f>
        <v>39409.08</v>
      </c>
      <c r="BJ84" s="717">
        <f>IF('Annexure-I'!Q81="",'Annexure-I'!K81,'Annexure-I'!Q81)</f>
        <v>4314043.8887097603</v>
      </c>
      <c r="BK84" s="714">
        <f>'Annexure-I'!F81</f>
        <v>23941.759999999998</v>
      </c>
      <c r="BL84" s="718" t="str">
        <f>'Annexure-I'!G81</f>
        <v>CONTRACT-A80</v>
      </c>
      <c r="BM84" s="764">
        <f>IF('Annexure-I'!H81=0,"",'Annexure-I'!H81)</f>
        <v>41789</v>
      </c>
      <c r="BN84" s="717">
        <f>'Annexure-I'!J81</f>
        <v>39409.08</v>
      </c>
      <c r="BO84" s="717">
        <f>'Annexure-I'!K81</f>
        <v>4314043.8887097603</v>
      </c>
      <c r="BP84" s="714">
        <f>IF(OR(AY84="EST",AY84="ADRYS"),ROUND((BC84*1.18)/(1.3224*Form!$D$10),2),BC84)</f>
        <v>0</v>
      </c>
      <c r="BQ84" s="714">
        <f>ROUND(BS84/(1.3224*Form!$D$10),2)</f>
        <v>0</v>
      </c>
      <c r="BR84" s="714">
        <f t="shared" si="48"/>
        <v>0</v>
      </c>
      <c r="BS84" s="714">
        <f t="shared" si="49"/>
        <v>0</v>
      </c>
      <c r="BT84" s="719">
        <f t="shared" si="50"/>
        <v>0</v>
      </c>
      <c r="BU84" s="714"/>
      <c r="BV84" s="714">
        <f t="shared" si="33"/>
        <v>0</v>
      </c>
      <c r="BW84" s="714">
        <f>IF(OR(AY84="EST",AY84="ADRYS"),ROUND(1.18*BU84,2),ROUND(BU84*1.3224*Form!$D$10,2))</f>
        <v>0</v>
      </c>
      <c r="BX84" s="714">
        <f t="shared" si="34"/>
        <v>0</v>
      </c>
      <c r="BY84" s="719">
        <f t="shared" si="51"/>
        <v>0</v>
      </c>
      <c r="BZ84" s="714">
        <f t="shared" si="35"/>
        <v>17256175.550000001</v>
      </c>
      <c r="CA84" s="720"/>
      <c r="CB84" s="720"/>
      <c r="CC84" s="4"/>
      <c r="CD84" s="4"/>
      <c r="CE84" s="4"/>
      <c r="CF84" s="4"/>
      <c r="CG84" s="4"/>
      <c r="CH84" s="4"/>
      <c r="CI84" s="721"/>
      <c r="CR84" s="584"/>
    </row>
    <row r="85" spans="1:96" s="579" customFormat="1" ht="45" x14ac:dyDescent="0.25">
      <c r="A85" s="712">
        <f>SUBTOTAL(2,$B$5:B85)</f>
        <v>81</v>
      </c>
      <c r="B85" s="754">
        <v>81</v>
      </c>
      <c r="C85" s="755" t="s">
        <v>749</v>
      </c>
      <c r="D85" s="755" t="s">
        <v>626</v>
      </c>
      <c r="E85" s="754">
        <v>5</v>
      </c>
      <c r="F85" s="658">
        <f>'Annexure-I'!E82</f>
        <v>5</v>
      </c>
      <c r="G85" s="784" t="str">
        <f>IF('CST-Calculation'!G85=0,"",'CST-Calculation'!G85)</f>
        <v/>
      </c>
      <c r="H85" s="784" t="str">
        <f>IF('CST-Calculation'!H85=0,"",'CST-Calculation'!H85)</f>
        <v/>
      </c>
      <c r="I85" s="714" t="str">
        <f>IF(G85="","",IF(H85="TEC Rejected","",IF(H85="","",ROUND(1.3224*Form!$D$10*H85,2))))</f>
        <v/>
      </c>
      <c r="J85" s="714" t="str">
        <f t="shared" si="29"/>
        <v/>
      </c>
      <c r="K85" s="713" t="str">
        <f>IF(L85="","",IF('CST-Calculation'!$F85="Indg","",IF('CST-Calculation'!$F85="TEC Del","",IF('CST-Calculation'!K85&gt;0,'CST-Calculation'!K85,IF('CST-Calculation'!$F85=0,"",'CST-Calculation'!$F85)))))</f>
        <v/>
      </c>
      <c r="L85" s="714" t="str">
        <f>IF('CST-Calculation'!L85=0,"",'CST-Calculation'!L85)</f>
        <v/>
      </c>
      <c r="M85" s="714" t="str">
        <f>IF(K85="","",IF(L85="TEC Rejected","",IF(L85="","",ROUND(1.3224*Form!$D$10*L85,2))))</f>
        <v/>
      </c>
      <c r="N85" s="714" t="str">
        <f t="shared" si="30"/>
        <v/>
      </c>
      <c r="O85" s="89">
        <f>IF(P85="","",IF('CST-Calculation'!$F85="Indg","",IF('CST-Calculation'!$F85="TEC Del","",IF('CST-Calculation'!O85&gt;0,'CST-Calculation'!O85,IF('CST-Calculation'!$F85=0,"",'CST-Calculation'!$F85)))))</f>
        <v>5</v>
      </c>
      <c r="P85" s="714">
        <f>IF('CST-Calculation'!P85=0,"",'CST-Calculation'!P85)</f>
        <v>7500</v>
      </c>
      <c r="Q85" s="714">
        <f>IF(O85="","",IF(P85="TEC Rejected","",IF(P85="","",ROUND(1.3224*Form!$D$10*P85,2))))</f>
        <v>821012.04</v>
      </c>
      <c r="R85" s="714">
        <f t="shared" si="31"/>
        <v>4105060.2</v>
      </c>
      <c r="S85" s="89" t="str">
        <f>IF(T85="","",IF('CST-Calculation'!$F85="Indg","",IF('CST-Calculation'!$F85="TEC Del","",IF('CST-Calculation'!S85&gt;0,'CST-Calculation'!S85,IF('CST-Calculation'!$F85=0,"",'CST-Calculation'!$F85)))))</f>
        <v/>
      </c>
      <c r="T85" s="714" t="str">
        <f>IF('CST-Calculation'!T85=0,"",'CST-Calculation'!T85)</f>
        <v/>
      </c>
      <c r="U85" s="714" t="str">
        <f>IF(S85="","",IF(T85="TEC Rejected","",IF(T85="","",ROUND(1.3224*Form!$D$10*T85,2))))</f>
        <v/>
      </c>
      <c r="V85" s="714" t="str">
        <f t="shared" si="32"/>
        <v/>
      </c>
      <c r="W85" s="713" t="str">
        <f>IF(X85="","",IF('CST-Calculation'!$F85="Indg","",IF('CST-Calculation'!$F85="TEC Del","",IF('CST-Calculation'!W85&gt;0,'CST-Calculation'!W85,IF('CST-Calculation'!$F85=0,"",'CST-Calculation'!$F85)))))</f>
        <v/>
      </c>
      <c r="X85" s="714" t="str">
        <f>IF('CST-Calculation'!X85=0,"",'CST-Calculation'!X85)</f>
        <v/>
      </c>
      <c r="Y85" s="714" t="str">
        <f>IF(W85="","",IF(X85="TEC Rejected","",IF(X85="","",ROUND(1.3224*Form!$D$10*X85,2))))</f>
        <v/>
      </c>
      <c r="Z85" s="714" t="str">
        <f t="shared" si="36"/>
        <v/>
      </c>
      <c r="AA85" s="713" t="str">
        <f>IF(AB85="","",IF('CST-Calculation'!$F85="Indg","",IF('CST-Calculation'!$F85="TEC Del","",IF('CST-Calculation'!AA85&gt;0,'CST-Calculation'!AA85,IF('CST-Calculation'!$F85=0,"",'CST-Calculation'!$F85)))))</f>
        <v/>
      </c>
      <c r="AB85" s="714" t="str">
        <f>IF('CST-Calculation'!AB85=0,"",'CST-Calculation'!AB85)</f>
        <v/>
      </c>
      <c r="AC85" s="714" t="str">
        <f t="shared" si="37"/>
        <v/>
      </c>
      <c r="AD85" s="714" t="str">
        <f t="shared" si="38"/>
        <v/>
      </c>
      <c r="AE85" s="713" t="str">
        <f>IF(AF85="","",IF('CST-Calculation'!$F85="Indg","",IF('CST-Calculation'!$F85="TEC Del","",IF('CST-Calculation'!AE85&gt;0,'CST-Calculation'!AE85,IF('CST-Calculation'!$F85=0,"",'CST-Calculation'!$F85)))))</f>
        <v/>
      </c>
      <c r="AF85" s="714" t="str">
        <f>IF('CST-Calculation'!AF85=0,"",'CST-Calculation'!AF85)</f>
        <v/>
      </c>
      <c r="AG85" s="714" t="str">
        <f>IF(AE85="","",IF(AF85="TEC Rejected","",IF(AF85="","",ROUND(1.3224*Form!$D$10*AF85,2))))</f>
        <v/>
      </c>
      <c r="AH85" s="714" t="str">
        <f t="shared" si="39"/>
        <v/>
      </c>
      <c r="AI85" s="713" t="str">
        <f>IF(AJ85="","",IF('CST-Calculation'!$F85="Indg","",IF('CST-Calculation'!$F85="TEC Del","",IF('CST-Calculation'!AI85&gt;0,'CST-Calculation'!AI85,IF('CST-Calculation'!$F85=0,"",'CST-Calculation'!$F85)))))</f>
        <v/>
      </c>
      <c r="AJ85" s="714" t="str">
        <f>IF('CST-Calculation'!AJ85=0,"",'CST-Calculation'!AJ85)</f>
        <v/>
      </c>
      <c r="AK85" s="714" t="str">
        <f t="shared" si="40"/>
        <v/>
      </c>
      <c r="AL85" s="714" t="str">
        <f t="shared" si="41"/>
        <v/>
      </c>
      <c r="AM85" s="713" t="str">
        <f>IF(AN85="","",IF('CST-Calculation'!$F85="Indg","",IF('CST-Calculation'!$F85="TEC Del","",IF('CST-Calculation'!AM85&gt;0,'CST-Calculation'!AM85,IF('CST-Calculation'!$F85=0,"",'CST-Calculation'!$F85)))))</f>
        <v/>
      </c>
      <c r="AN85" s="714" t="str">
        <f>IF('CST-Calculation'!AN85=0,"",'CST-Calculation'!AN85)</f>
        <v/>
      </c>
      <c r="AO85" s="714" t="str">
        <f>IF(AM85="","",IF(AN85="TEC Rejected","",IF(AN85="","",ROUND(1.3224*Form!$D$10*AN85,2))))</f>
        <v/>
      </c>
      <c r="AP85" s="714" t="str">
        <f t="shared" si="42"/>
        <v/>
      </c>
      <c r="AQ85" s="713" t="str">
        <f>IF(AR85="","",IF('CST-Calculation'!$F85="Indg","",IF('CST-Calculation'!$F85="TEC Del","",IF('CST-Calculation'!AQ85&gt;0,'CST-Calculation'!AQ85,IF('CST-Calculation'!$F85=0,"",'CST-Calculation'!$F85)))))</f>
        <v/>
      </c>
      <c r="AR85" s="714" t="str">
        <f>IF('CST-Calculation'!AR85=0,"",'CST-Calculation'!AR85)</f>
        <v/>
      </c>
      <c r="AS85" s="714" t="str">
        <f>IF(AQ85="","",IF(AR85="TEC Rejected","",IF(AR85="","",ROUND(1.3224*Form!$D$10*AR85,2))))</f>
        <v/>
      </c>
      <c r="AT85" s="714" t="str">
        <f t="shared" si="43"/>
        <v/>
      </c>
      <c r="AU85" s="713" t="str">
        <f>IF(AV85="","",IF('CST-Calculation'!$F85="Indg","",IF('CST-Calculation'!$F85="TEC Del","",IF('CST-Calculation'!AU85&gt;0,'CST-Calculation'!AU85,IF('CST-Calculation'!$F85=0,"",'CST-Calculation'!$F85)))))</f>
        <v/>
      </c>
      <c r="AV85" s="714" t="str">
        <f>IF('CST-Calculation'!AV85=0,"",'CST-Calculation'!AV85)</f>
        <v/>
      </c>
      <c r="AW85" s="714" t="str">
        <f>IF(AU85="","",IF(AV85="TEC Rejected","",IF(AV85="","",ROUND(1.3224*Form!$D$10*AV85,2))))</f>
        <v/>
      </c>
      <c r="AX85" s="714" t="str">
        <f t="shared" si="44"/>
        <v/>
      </c>
      <c r="AY85" s="715" t="str">
        <f t="shared" si="45"/>
        <v>GIS</v>
      </c>
      <c r="AZ85" s="716" t="str">
        <f t="shared" si="46"/>
        <v>SINGLE</v>
      </c>
      <c r="BA85" s="716" t="str">
        <f t="shared" si="47"/>
        <v>&lt;= 20%</v>
      </c>
      <c r="BB85" s="716">
        <f>IF(AY85="EST",ROUND(BD85/1.18,2),IF(AY85="ADRYS",ROUND(BD85/1.18,2),ROUND(BD85/(1.3224*Form!$D$10),2)))</f>
        <v>7500</v>
      </c>
      <c r="BC85" s="784">
        <f>IF(OR(AY85="EST",AY85="ADRYS"),ROUND(BE85/1.18,2),ROUND(BE85/(1.3224*Form!$D$10),2))</f>
        <v>37500</v>
      </c>
      <c r="BD85" s="717">
        <f>IF(F85="Indg",0,IF(F85="TEC Del",0,IF(AND(IF(G85="",TRUE,G85&lt;=ROUNDUP(1.2*F85,0)),IF(K85="",TRUE,K85&lt;=ROUNDUP(1.2*F85,0)),IF(O85="",TRUE,O85&lt;=ROUNDUP(1.2*F85,0)),IF(S85="",TRUE,S85&lt;=ROUNDUP(1.2*F85,0)),IF(W85="",TRUE,W85&lt;=ROUNDUP(1.2*F85,0)),IF(AA85="",TRUE,AA85&lt;=ROUNDUP(1.2*F85,0)),IF(AE85="",TRUE,AE85&lt;=ROUNDUP(1.2*F85,0)),IF(AI85="",TRUE,AI85&lt;=ROUNDUP(1.2*F85,0)),IF(AM85="",TRUE,AM85&lt;=ROUNDUP(1.2*F85,0)),IF(AQ85="",TRUE,AQ85&lt;=ROUNDUP(1.2*F85,0)),IF(AU85="",TRUE,AU85&lt;=ROUNDUP(1.2*F85,0))),IF(F85=0,0,(IF(SUM(I85,M85,Q85,U85,Y85,AC85,AG85,AK85,AO85,AS85,AW85)=0,0,SMALL((I85,M85,Q85,U85,Y85,AC85,AG85,AK85,AO85,AS85,AW85),COUNTIF((I85:AW85),0)+1)))),IF(BE85=J85,I85,IF(BE85=N85,M85,IF(BE85=R85,Q85,IF(BE85=V85,U85,IF(BE85=Z85,Y85,IF(BE85=AD85,AC85,IF(BE85=AH85,AG85,IF(BE85=AL85,AK85,IF(BE85=AP85,AO85,IF(BE85=AT85,AS85,IF(BE85=AX85,AW85))))))))))))))</f>
        <v>821012.04</v>
      </c>
      <c r="BE85" s="714">
        <f>IF(F85="Indg",0,IF(F85="TEC Del",0,IF(AND(IF(G85="",TRUE,G85&lt;=ROUNDUP(1.2*F85,0)),IF(K85="",TRUE,K85&lt;=ROUNDUP(1.2*F85,0)),IF(O85="",TRUE,O85&lt;=ROUNDUP(1.2*F85,0)),IF(S85="",TRUE,S85&lt;=ROUNDUP(1.2*F85,0)),IF(W85="",TRUE,W85&lt;=ROUNDUP(1.2*F85,0)),IF(AA85="",TRUE,AA85&lt;=ROUNDUP(1.2*F85,0)),IF(AE85="",TRUE,AE85&lt;=ROUNDUP(1.2*F85,0)),IF(AI85="",TRUE,AI85&lt;=ROUNDUP(1.2*F85,0)),IF(AM85="",TRUE,AM85&lt;=ROUNDUP(1.2*F85,0)),IF(AQ85="",TRUE,AQ85&lt;=ROUNDUP(1.2*F85,0)),IF(AU85="",TRUE,AU85&lt;=ROUNDUP(1.2*F85,0))),ROUND(BD85*IF(BD85=I85,G85,IF(BD85=M85,K85,IF(BD85=Q85,O85,IF(BD85=U85,S85,IF(BD85=Y85,W85,IF(BD85=AC85,AA85,IF(BD85=AG85,AE85,IF(BD85=AK85,AI85,IF(BD85=AO85,AM85,IF(BD85=AS85,AQ85,IF(BD85=AW85,AU85))))))))))),2),(IF(SUM(J85,N85,R85,V85,Z85,AD85,AH85,AL85,AP85,AT85,AX85)=0,0,SMALL((J85,N85,R85,V85,Z85,AD85,AH85,AL85,AP85,AT85,AX85),COUNTIF((J85:AX85),0)+1))))))</f>
        <v>4105060.2</v>
      </c>
      <c r="BF85" s="714">
        <f>IF('Annexure-I'!L82="",'Annexure-I'!F82,'Annexure-I'!L82)</f>
        <v>12393.83</v>
      </c>
      <c r="BG85" s="714" t="str">
        <f>IF('Annexure-I'!M82="",'Annexure-I'!G82,'Annexure-I'!M82)</f>
        <v>CONTRACT-A81</v>
      </c>
      <c r="BH85" s="764">
        <f>IF('Annexure-I'!N82="",'Annexure-I'!H82,'Annexure-I'!N82)</f>
        <v>39196</v>
      </c>
      <c r="BI85" s="717">
        <f>IF('Annexure-I'!P82="",'Annexure-I'!J82,'Annexure-I'!P82)</f>
        <v>20400.73</v>
      </c>
      <c r="BJ85" s="717">
        <f>IF('Annexure-I'!Q82="",'Annexure-I'!K82,'Annexure-I'!Q82)</f>
        <v>2233232.6606385601</v>
      </c>
      <c r="BK85" s="714">
        <f>'Annexure-I'!F82</f>
        <v>12393.83</v>
      </c>
      <c r="BL85" s="718" t="str">
        <f>'Annexure-I'!G82</f>
        <v>CONTRACT-A81</v>
      </c>
      <c r="BM85" s="764">
        <f>IF('Annexure-I'!H82=0,"",'Annexure-I'!H82)</f>
        <v>39196</v>
      </c>
      <c r="BN85" s="717">
        <f>'Annexure-I'!J82</f>
        <v>20400.73</v>
      </c>
      <c r="BO85" s="717">
        <f>'Annexure-I'!K82</f>
        <v>2233232.6606385601</v>
      </c>
      <c r="BP85" s="714">
        <f>IF(OR(AY85="EST",AY85="ADRYS"),ROUND((BC85*1.18)/(1.3224*Form!$D$10),2),BC85)</f>
        <v>37500</v>
      </c>
      <c r="BQ85" s="714">
        <f>ROUND(BS85/(1.3224*Form!$D$10),2)</f>
        <v>102003.65</v>
      </c>
      <c r="BR85" s="714">
        <f t="shared" si="48"/>
        <v>4105060.2</v>
      </c>
      <c r="BS85" s="714">
        <f t="shared" si="49"/>
        <v>11166163.300000001</v>
      </c>
      <c r="BT85" s="719">
        <f t="shared" si="50"/>
        <v>-0.6323660965982828</v>
      </c>
      <c r="BU85" s="714"/>
      <c r="BV85" s="714">
        <f t="shared" si="33"/>
        <v>0</v>
      </c>
      <c r="BW85" s="714">
        <f>IF(OR(AY85="EST",AY85="ADRYS"),ROUND(1.18*BU85,2),ROUND(BU85*1.3224*Form!$D$10,2))</f>
        <v>0</v>
      </c>
      <c r="BX85" s="714">
        <f t="shared" si="34"/>
        <v>0</v>
      </c>
      <c r="BY85" s="719">
        <f t="shared" si="51"/>
        <v>0</v>
      </c>
      <c r="BZ85" s="714">
        <f t="shared" si="35"/>
        <v>11166163.300000001</v>
      </c>
      <c r="CA85" s="720"/>
      <c r="CB85" s="720"/>
      <c r="CC85" s="4"/>
      <c r="CD85" s="4"/>
      <c r="CE85" s="4"/>
      <c r="CF85" s="4"/>
      <c r="CG85" s="4"/>
      <c r="CH85" s="4"/>
      <c r="CI85" s="721"/>
      <c r="CR85" s="584"/>
    </row>
    <row r="86" spans="1:96" s="579" customFormat="1" ht="45" x14ac:dyDescent="0.25">
      <c r="A86" s="712">
        <f>SUBTOTAL(2,$B$5:B86)</f>
        <v>82</v>
      </c>
      <c r="B86" s="754">
        <v>82</v>
      </c>
      <c r="C86" s="756" t="s">
        <v>750</v>
      </c>
      <c r="D86" s="755" t="s">
        <v>627</v>
      </c>
      <c r="E86" s="754">
        <v>6</v>
      </c>
      <c r="F86" s="658">
        <f>'Annexure-I'!E83</f>
        <v>6</v>
      </c>
      <c r="G86" s="784" t="str">
        <f>IF('CST-Calculation'!G86=0,"",'CST-Calculation'!G86)</f>
        <v/>
      </c>
      <c r="H86" s="784" t="str">
        <f>IF('CST-Calculation'!H86=0,"",'CST-Calculation'!H86)</f>
        <v/>
      </c>
      <c r="I86" s="714" t="str">
        <f>IF(G86="","",IF(H86="TEC Rejected","",IF(H86="","",ROUND(1.3224*Form!$D$10*H86,2))))</f>
        <v/>
      </c>
      <c r="J86" s="714" t="str">
        <f t="shared" si="29"/>
        <v/>
      </c>
      <c r="K86" s="713" t="str">
        <f>IF(L86="","",IF('CST-Calculation'!$F86="Indg","",IF('CST-Calculation'!$F86="TEC Del","",IF('CST-Calculation'!K86&gt;0,'CST-Calculation'!K86,IF('CST-Calculation'!$F86=0,"",'CST-Calculation'!$F86)))))</f>
        <v/>
      </c>
      <c r="L86" s="714" t="str">
        <f>IF('CST-Calculation'!L86=0,"",'CST-Calculation'!L86)</f>
        <v/>
      </c>
      <c r="M86" s="714" t="str">
        <f>IF(K86="","",IF(L86="TEC Rejected","",IF(L86="","",ROUND(1.3224*Form!$D$10*L86,2))))</f>
        <v/>
      </c>
      <c r="N86" s="714" t="str">
        <f t="shared" si="30"/>
        <v/>
      </c>
      <c r="O86" s="89" t="str">
        <f>IF(P86="","",IF('CST-Calculation'!$F86="Indg","",IF('CST-Calculation'!$F86="TEC Del","",IF('CST-Calculation'!O86&gt;0,'CST-Calculation'!O86,IF('CST-Calculation'!$F86=0,"",'CST-Calculation'!$F86)))))</f>
        <v/>
      </c>
      <c r="P86" s="714" t="str">
        <f>IF('CST-Calculation'!P86=0,"",'CST-Calculation'!P86)</f>
        <v/>
      </c>
      <c r="Q86" s="714" t="str">
        <f>IF(O86="","",IF(P86="TEC Rejected","",IF(P86="","",ROUND(1.3224*Form!$D$10*P86,2))))</f>
        <v/>
      </c>
      <c r="R86" s="714" t="str">
        <f t="shared" si="31"/>
        <v/>
      </c>
      <c r="S86" s="89" t="str">
        <f>IF(T86="","",IF('CST-Calculation'!$F86="Indg","",IF('CST-Calculation'!$F86="TEC Del","",IF('CST-Calculation'!S86&gt;0,'CST-Calculation'!S86,IF('CST-Calculation'!$F86=0,"",'CST-Calculation'!$F86)))))</f>
        <v/>
      </c>
      <c r="T86" s="714" t="str">
        <f>IF('CST-Calculation'!T86=0,"",'CST-Calculation'!T86)</f>
        <v/>
      </c>
      <c r="U86" s="714" t="str">
        <f>IF(S86="","",IF(T86="TEC Rejected","",IF(T86="","",ROUND(1.3224*Form!$D$10*T86,2))))</f>
        <v/>
      </c>
      <c r="V86" s="714" t="str">
        <f t="shared" si="32"/>
        <v/>
      </c>
      <c r="W86" s="713" t="str">
        <f>IF(X86="","",IF('CST-Calculation'!$F86="Indg","",IF('CST-Calculation'!$F86="TEC Del","",IF('CST-Calculation'!W86&gt;0,'CST-Calculation'!W86,IF('CST-Calculation'!$F86=0,"",'CST-Calculation'!$F86)))))</f>
        <v/>
      </c>
      <c r="X86" s="714" t="str">
        <f>IF('CST-Calculation'!X86=0,"",'CST-Calculation'!X86)</f>
        <v/>
      </c>
      <c r="Y86" s="714" t="str">
        <f>IF(W86="","",IF(X86="TEC Rejected","",IF(X86="","",ROUND(1.3224*Form!$D$10*X86,2))))</f>
        <v/>
      </c>
      <c r="Z86" s="714" t="str">
        <f t="shared" si="36"/>
        <v/>
      </c>
      <c r="AA86" s="713" t="str">
        <f>IF(AB86="","",IF('CST-Calculation'!$F86="Indg","",IF('CST-Calculation'!$F86="TEC Del","",IF('CST-Calculation'!AA86&gt;0,'CST-Calculation'!AA86,IF('CST-Calculation'!$F86=0,"",'CST-Calculation'!$F86)))))</f>
        <v/>
      </c>
      <c r="AB86" s="714" t="str">
        <f>IF('CST-Calculation'!AB86=0,"",'CST-Calculation'!AB86)</f>
        <v/>
      </c>
      <c r="AC86" s="714" t="str">
        <f t="shared" si="37"/>
        <v/>
      </c>
      <c r="AD86" s="714" t="str">
        <f t="shared" si="38"/>
        <v/>
      </c>
      <c r="AE86" s="713" t="str">
        <f>IF(AF86="","",IF('CST-Calculation'!$F86="Indg","",IF('CST-Calculation'!$F86="TEC Del","",IF('CST-Calculation'!AE86&gt;0,'CST-Calculation'!AE86,IF('CST-Calculation'!$F86=0,"",'CST-Calculation'!$F86)))))</f>
        <v/>
      </c>
      <c r="AF86" s="714" t="str">
        <f>IF('CST-Calculation'!AF86=0,"",'CST-Calculation'!AF86)</f>
        <v/>
      </c>
      <c r="AG86" s="714" t="str">
        <f>IF(AE86="","",IF(AF86="TEC Rejected","",IF(AF86="","",ROUND(1.3224*Form!$D$10*AF86,2))))</f>
        <v/>
      </c>
      <c r="AH86" s="714" t="str">
        <f t="shared" si="39"/>
        <v/>
      </c>
      <c r="AI86" s="713" t="str">
        <f>IF(AJ86="","",IF('CST-Calculation'!$F86="Indg","",IF('CST-Calculation'!$F86="TEC Del","",IF('CST-Calculation'!AI86&gt;0,'CST-Calculation'!AI86,IF('CST-Calculation'!$F86=0,"",'CST-Calculation'!$F86)))))</f>
        <v/>
      </c>
      <c r="AJ86" s="714" t="str">
        <f>IF('CST-Calculation'!AJ86=0,"",'CST-Calculation'!AJ86)</f>
        <v/>
      </c>
      <c r="AK86" s="714" t="str">
        <f t="shared" si="40"/>
        <v/>
      </c>
      <c r="AL86" s="714" t="str">
        <f t="shared" si="41"/>
        <v/>
      </c>
      <c r="AM86" s="713" t="str">
        <f>IF(AN86="","",IF('CST-Calculation'!$F86="Indg","",IF('CST-Calculation'!$F86="TEC Del","",IF('CST-Calculation'!AM86&gt;0,'CST-Calculation'!AM86,IF('CST-Calculation'!$F86=0,"",'CST-Calculation'!$F86)))))</f>
        <v/>
      </c>
      <c r="AN86" s="714" t="str">
        <f>IF('CST-Calculation'!AN86=0,"",'CST-Calculation'!AN86)</f>
        <v/>
      </c>
      <c r="AO86" s="714" t="str">
        <f>IF(AM86="","",IF(AN86="TEC Rejected","",IF(AN86="","",ROUND(1.3224*Form!$D$10*AN86,2))))</f>
        <v/>
      </c>
      <c r="AP86" s="714" t="str">
        <f t="shared" si="42"/>
        <v/>
      </c>
      <c r="AQ86" s="713" t="str">
        <f>IF(AR86="","",IF('CST-Calculation'!$F86="Indg","",IF('CST-Calculation'!$F86="TEC Del","",IF('CST-Calculation'!AQ86&gt;0,'CST-Calculation'!AQ86,IF('CST-Calculation'!$F86=0,"",'CST-Calculation'!$F86)))))</f>
        <v/>
      </c>
      <c r="AR86" s="714" t="str">
        <f>IF('CST-Calculation'!AR86=0,"",'CST-Calculation'!AR86)</f>
        <v/>
      </c>
      <c r="AS86" s="714" t="str">
        <f>IF(AQ86="","",IF(AR86="TEC Rejected","",IF(AR86="","",ROUND(1.3224*Form!$D$10*AR86,2))))</f>
        <v/>
      </c>
      <c r="AT86" s="714" t="str">
        <f t="shared" si="43"/>
        <v/>
      </c>
      <c r="AU86" s="713" t="str">
        <f>IF(AV86="","",IF('CST-Calculation'!$F86="Indg","",IF('CST-Calculation'!$F86="TEC Del","",IF('CST-Calculation'!AU86&gt;0,'CST-Calculation'!AU86,IF('CST-Calculation'!$F86=0,"",'CST-Calculation'!$F86)))))</f>
        <v/>
      </c>
      <c r="AV86" s="714" t="str">
        <f>IF('CST-Calculation'!AV86=0,"",'CST-Calculation'!AV86)</f>
        <v/>
      </c>
      <c r="AW86" s="714" t="str">
        <f>IF(AU86="","",IF(AV86="TEC Rejected","",IF(AV86="","",ROUND(1.3224*Form!$D$10*AV86,2))))</f>
        <v/>
      </c>
      <c r="AX86" s="714" t="str">
        <f t="shared" si="44"/>
        <v/>
      </c>
      <c r="AY86" s="715" t="str">
        <f t="shared" si="45"/>
        <v>NO OFFER</v>
      </c>
      <c r="AZ86" s="716" t="str">
        <f t="shared" si="46"/>
        <v>NO OFFER</v>
      </c>
      <c r="BA86" s="716" t="str">
        <f t="shared" si="47"/>
        <v>&lt;= 20%</v>
      </c>
      <c r="BB86" s="716">
        <f>IF(AY86="EST",ROUND(BD86/1.18,2),IF(AY86="ADRYS",ROUND(BD86/1.18,2),ROUND(BD86/(1.3224*Form!$D$10),2)))</f>
        <v>0</v>
      </c>
      <c r="BC86" s="784">
        <f>IF(OR(AY86="EST",AY86="ADRYS"),ROUND(BE86/1.18,2),ROUND(BE86/(1.3224*Form!$D$10),2))</f>
        <v>0</v>
      </c>
      <c r="BD86" s="717">
        <f>IF(F86="Indg",0,IF(F86="TEC Del",0,IF(AND(IF(G86="",TRUE,G86&lt;=ROUNDUP(1.2*F86,0)),IF(K86="",TRUE,K86&lt;=ROUNDUP(1.2*F86,0)),IF(O86="",TRUE,O86&lt;=ROUNDUP(1.2*F86,0)),IF(S86="",TRUE,S86&lt;=ROUNDUP(1.2*F86,0)),IF(W86="",TRUE,W86&lt;=ROUNDUP(1.2*F86,0)),IF(AA86="",TRUE,AA86&lt;=ROUNDUP(1.2*F86,0)),IF(AE86="",TRUE,AE86&lt;=ROUNDUP(1.2*F86,0)),IF(AI86="",TRUE,AI86&lt;=ROUNDUP(1.2*F86,0)),IF(AM86="",TRUE,AM86&lt;=ROUNDUP(1.2*F86,0)),IF(AQ86="",TRUE,AQ86&lt;=ROUNDUP(1.2*F86,0)),IF(AU86="",TRUE,AU86&lt;=ROUNDUP(1.2*F86,0))),IF(F86=0,0,(IF(SUM(I86,M86,Q86,U86,Y86,AC86,AG86,AK86,AO86,AS86,AW86)=0,0,SMALL((I86,M86,Q86,U86,Y86,AC86,AG86,AK86,AO86,AS86,AW86),COUNTIF((I86:AW86),0)+1)))),IF(BE86=J86,I86,IF(BE86=N86,M86,IF(BE86=R86,Q86,IF(BE86=V86,U86,IF(BE86=Z86,Y86,IF(BE86=AD86,AC86,IF(BE86=AH86,AG86,IF(BE86=AL86,AK86,IF(BE86=AP86,AO86,IF(BE86=AT86,AS86,IF(BE86=AX86,AW86))))))))))))))</f>
        <v>0</v>
      </c>
      <c r="BE86" s="714">
        <f>IF(F86="Indg",0,IF(F86="TEC Del",0,IF(AND(IF(G86="",TRUE,G86&lt;=ROUNDUP(1.2*F86,0)),IF(K86="",TRUE,K86&lt;=ROUNDUP(1.2*F86,0)),IF(O86="",TRUE,O86&lt;=ROUNDUP(1.2*F86,0)),IF(S86="",TRUE,S86&lt;=ROUNDUP(1.2*F86,0)),IF(W86="",TRUE,W86&lt;=ROUNDUP(1.2*F86,0)),IF(AA86="",TRUE,AA86&lt;=ROUNDUP(1.2*F86,0)),IF(AE86="",TRUE,AE86&lt;=ROUNDUP(1.2*F86,0)),IF(AI86="",TRUE,AI86&lt;=ROUNDUP(1.2*F86,0)),IF(AM86="",TRUE,AM86&lt;=ROUNDUP(1.2*F86,0)),IF(AQ86="",TRUE,AQ86&lt;=ROUNDUP(1.2*F86,0)),IF(AU86="",TRUE,AU86&lt;=ROUNDUP(1.2*F86,0))),ROUND(BD86*IF(BD86=I86,G86,IF(BD86=M86,K86,IF(BD86=Q86,O86,IF(BD86=U86,S86,IF(BD86=Y86,W86,IF(BD86=AC86,AA86,IF(BD86=AG86,AE86,IF(BD86=AK86,AI86,IF(BD86=AO86,AM86,IF(BD86=AS86,AQ86,IF(BD86=AW86,AU86))))))))))),2),(IF(SUM(J86,N86,R86,V86,Z86,AD86,AH86,AL86,AP86,AT86,AX86)=0,0,SMALL((J86,N86,R86,V86,Z86,AD86,AH86,AL86,AP86,AT86,AX86),COUNTIF((J86:AX86),0)+1))))))</f>
        <v>0</v>
      </c>
      <c r="BF86" s="714">
        <f>IF('Annexure-I'!L83="",'Annexure-I'!F83,'Annexure-I'!L83)</f>
        <v>56.66</v>
      </c>
      <c r="BG86" s="714" t="str">
        <f>IF('Annexure-I'!M83="",'Annexure-I'!G83,'Annexure-I'!M83)</f>
        <v>CONTRACT-A82</v>
      </c>
      <c r="BH86" s="764">
        <f>IF('Annexure-I'!N83="",'Annexure-I'!H83,'Annexure-I'!N83)</f>
        <v>40967</v>
      </c>
      <c r="BI86" s="717">
        <f>IF('Annexure-I'!P83="",'Annexure-I'!J83,'Annexure-I'!P83)</f>
        <v>103.81</v>
      </c>
      <c r="BJ86" s="717">
        <f>IF('Annexure-I'!Q83="",'Annexure-I'!K83,'Annexure-I'!Q83)</f>
        <v>11363.90131632</v>
      </c>
      <c r="BK86" s="714">
        <f>'Annexure-I'!F83</f>
        <v>56.66</v>
      </c>
      <c r="BL86" s="718" t="str">
        <f>'Annexure-I'!G83</f>
        <v>CONTRACT-A82</v>
      </c>
      <c r="BM86" s="764">
        <f>IF('Annexure-I'!H83=0,"",'Annexure-I'!H83)</f>
        <v>40967</v>
      </c>
      <c r="BN86" s="717">
        <f>'Annexure-I'!J83</f>
        <v>103.81</v>
      </c>
      <c r="BO86" s="717">
        <f>'Annexure-I'!K83</f>
        <v>11363.90131632</v>
      </c>
      <c r="BP86" s="714">
        <f>IF(OR(AY86="EST",AY86="ADRYS"),ROUND((BC86*1.18)/(1.3224*Form!$D$10),2),BC86)</f>
        <v>0</v>
      </c>
      <c r="BQ86" s="714">
        <f>ROUND(BS86/(1.3224*Form!$D$10),2)</f>
        <v>0</v>
      </c>
      <c r="BR86" s="714">
        <f t="shared" si="48"/>
        <v>0</v>
      </c>
      <c r="BS86" s="714">
        <f t="shared" si="49"/>
        <v>0</v>
      </c>
      <c r="BT86" s="719">
        <f t="shared" si="50"/>
        <v>0</v>
      </c>
      <c r="BU86" s="714"/>
      <c r="BV86" s="714">
        <f t="shared" si="33"/>
        <v>0</v>
      </c>
      <c r="BW86" s="714">
        <f>IF(OR(AY86="EST",AY86="ADRYS"),ROUND(1.18*BU86,2),ROUND(BU86*1.3224*Form!$D$10,2))</f>
        <v>0</v>
      </c>
      <c r="BX86" s="714">
        <f t="shared" si="34"/>
        <v>0</v>
      </c>
      <c r="BY86" s="719">
        <f t="shared" si="51"/>
        <v>0</v>
      </c>
      <c r="BZ86" s="714">
        <f t="shared" si="35"/>
        <v>68183.41</v>
      </c>
      <c r="CA86" s="720" t="s">
        <v>641</v>
      </c>
      <c r="CB86" s="720"/>
      <c r="CC86" s="4"/>
      <c r="CD86" s="4"/>
      <c r="CE86" s="4"/>
      <c r="CF86" s="4"/>
      <c r="CG86" s="4"/>
      <c r="CH86" s="4"/>
      <c r="CI86" s="721"/>
      <c r="CR86" s="584"/>
    </row>
    <row r="87" spans="1:96" s="579" customFormat="1" ht="78.75" x14ac:dyDescent="0.25">
      <c r="A87" s="712">
        <f>SUBTOTAL(2,$B$5:B87)</f>
        <v>83</v>
      </c>
      <c r="B87" s="754">
        <v>83</v>
      </c>
      <c r="C87" s="755" t="s">
        <v>751</v>
      </c>
      <c r="D87" s="755" t="s">
        <v>628</v>
      </c>
      <c r="E87" s="754">
        <v>9</v>
      </c>
      <c r="F87" s="658">
        <f>'Annexure-I'!E84</f>
        <v>0</v>
      </c>
      <c r="G87" s="784" t="str">
        <f>IF('CST-Calculation'!G87=0,"",'CST-Calculation'!G87)</f>
        <v>TEC Rejected</v>
      </c>
      <c r="H87" s="784" t="str">
        <f>IF('CST-Calculation'!H87=0,"",'CST-Calculation'!H87)</f>
        <v>TEC Rejected</v>
      </c>
      <c r="I87" s="714" t="str">
        <f>IF(G87="","",IF(H87="TEC Rejected","",IF(H87="","",ROUND(1.3224*Form!$D$10*H87,2))))</f>
        <v/>
      </c>
      <c r="J87" s="714" t="str">
        <f t="shared" si="29"/>
        <v/>
      </c>
      <c r="K87" s="713" t="str">
        <f>IF(L87="","",IF('CST-Calculation'!$F87="Indg","",IF('CST-Calculation'!$F87="TEC Del","",IF('CST-Calculation'!K87&gt;0,'CST-Calculation'!K87,IF('CST-Calculation'!$F87=0,"",'CST-Calculation'!$F87)))))</f>
        <v>TEC Rejected</v>
      </c>
      <c r="L87" s="714" t="str">
        <f>IF('CST-Calculation'!L87=0,"",'CST-Calculation'!L87)</f>
        <v>TEC Rejected</v>
      </c>
      <c r="M87" s="714" t="str">
        <f>IF(K87="","",IF(L87="TEC Rejected","",IF(L87="","",ROUND(1.3224*Form!$D$10*L87,2))))</f>
        <v/>
      </c>
      <c r="N87" s="714" t="str">
        <f t="shared" si="30"/>
        <v/>
      </c>
      <c r="O87" s="89" t="str">
        <f>IF(P87="","",IF('CST-Calculation'!$F87="Indg","",IF('CST-Calculation'!$F87="TEC Del","",IF('CST-Calculation'!O87&gt;0,'CST-Calculation'!O87,IF('CST-Calculation'!$F87=0,"",'CST-Calculation'!$F87)))))</f>
        <v/>
      </c>
      <c r="P87" s="714" t="str">
        <f>IF('CST-Calculation'!P87=0,"",'CST-Calculation'!P87)</f>
        <v/>
      </c>
      <c r="Q87" s="714" t="str">
        <f>IF(O87="","",IF(P87="TEC Rejected","",IF(P87="","",ROUND(1.3224*Form!$D$10*P87,2))))</f>
        <v/>
      </c>
      <c r="R87" s="714" t="str">
        <f t="shared" si="31"/>
        <v/>
      </c>
      <c r="S87" s="89" t="str">
        <f>IF(T87="","",IF('CST-Calculation'!$F87="Indg","",IF('CST-Calculation'!$F87="TEC Del","",IF('CST-Calculation'!S87&gt;0,'CST-Calculation'!S87,IF('CST-Calculation'!$F87=0,"",'CST-Calculation'!$F87)))))</f>
        <v/>
      </c>
      <c r="T87" s="714" t="str">
        <f>IF('CST-Calculation'!T87=0,"",'CST-Calculation'!T87)</f>
        <v/>
      </c>
      <c r="U87" s="714" t="str">
        <f>IF(S87="","",IF(T87="TEC Rejected","",IF(T87="","",ROUND(1.3224*Form!$D$10*T87,2))))</f>
        <v/>
      </c>
      <c r="V87" s="714" t="str">
        <f t="shared" si="32"/>
        <v/>
      </c>
      <c r="W87" s="713" t="str">
        <f>IF(X87="","",IF('CST-Calculation'!$F87="Indg","",IF('CST-Calculation'!$F87="TEC Del","",IF('CST-Calculation'!W87&gt;0,'CST-Calculation'!W87,IF('CST-Calculation'!$F87=0,"",'CST-Calculation'!$F87)))))</f>
        <v/>
      </c>
      <c r="X87" s="714" t="str">
        <f>IF('CST-Calculation'!X87=0,"",'CST-Calculation'!X87)</f>
        <v/>
      </c>
      <c r="Y87" s="714" t="str">
        <f>IF(W87="","",IF(X87="TEC Rejected","",IF(X87="","",ROUND(1.3224*Form!$D$10*X87,2))))</f>
        <v/>
      </c>
      <c r="Z87" s="714" t="str">
        <f t="shared" si="36"/>
        <v/>
      </c>
      <c r="AA87" s="713" t="str">
        <f>IF(AB87="","",IF('CST-Calculation'!$F87="Indg","",IF('CST-Calculation'!$F87="TEC Del","",IF('CST-Calculation'!AA87&gt;0,'CST-Calculation'!AA87,IF('CST-Calculation'!$F87=0,"",'CST-Calculation'!$F87)))))</f>
        <v/>
      </c>
      <c r="AB87" s="714" t="str">
        <f>IF('CST-Calculation'!AB87=0,"",'CST-Calculation'!AB87)</f>
        <v/>
      </c>
      <c r="AC87" s="714" t="str">
        <f t="shared" si="37"/>
        <v/>
      </c>
      <c r="AD87" s="714" t="str">
        <f t="shared" si="38"/>
        <v/>
      </c>
      <c r="AE87" s="713" t="str">
        <f>IF(AF87="","",IF('CST-Calculation'!$F87="Indg","",IF('CST-Calculation'!$F87="TEC Del","",IF('CST-Calculation'!AE87&gt;0,'CST-Calculation'!AE87,IF('CST-Calculation'!$F87=0,"",'CST-Calculation'!$F87)))))</f>
        <v/>
      </c>
      <c r="AF87" s="714" t="str">
        <f>IF('CST-Calculation'!AF87=0,"",'CST-Calculation'!AF87)</f>
        <v/>
      </c>
      <c r="AG87" s="714" t="str">
        <f>IF(AE87="","",IF(AF87="TEC Rejected","",IF(AF87="","",ROUND(1.3224*Form!$D$10*AF87,2))))</f>
        <v/>
      </c>
      <c r="AH87" s="714" t="str">
        <f t="shared" si="39"/>
        <v/>
      </c>
      <c r="AI87" s="713" t="str">
        <f>IF(AJ87="","",IF('CST-Calculation'!$F87="Indg","",IF('CST-Calculation'!$F87="TEC Del","",IF('CST-Calculation'!AI87&gt;0,'CST-Calculation'!AI87,IF('CST-Calculation'!$F87=0,"",'CST-Calculation'!$F87)))))</f>
        <v/>
      </c>
      <c r="AJ87" s="714" t="str">
        <f>IF('CST-Calculation'!AJ87=0,"",'CST-Calculation'!AJ87)</f>
        <v/>
      </c>
      <c r="AK87" s="714" t="str">
        <f t="shared" si="40"/>
        <v/>
      </c>
      <c r="AL87" s="714" t="str">
        <f t="shared" si="41"/>
        <v/>
      </c>
      <c r="AM87" s="713" t="str">
        <f>IF(AN87="","",IF('CST-Calculation'!$F87="Indg","",IF('CST-Calculation'!$F87="TEC Del","",IF('CST-Calculation'!AM87&gt;0,'CST-Calculation'!AM87,IF('CST-Calculation'!$F87=0,"",'CST-Calculation'!$F87)))))</f>
        <v/>
      </c>
      <c r="AN87" s="714" t="str">
        <f>IF('CST-Calculation'!AN87=0,"",'CST-Calculation'!AN87)</f>
        <v/>
      </c>
      <c r="AO87" s="714" t="str">
        <f>IF(AM87="","",IF(AN87="TEC Rejected","",IF(AN87="","",ROUND(1.3224*Form!$D$10*AN87,2))))</f>
        <v/>
      </c>
      <c r="AP87" s="714" t="str">
        <f t="shared" si="42"/>
        <v/>
      </c>
      <c r="AQ87" s="713" t="str">
        <f>IF(AR87="","",IF('CST-Calculation'!$F87="Indg","",IF('CST-Calculation'!$F87="TEC Del","",IF('CST-Calculation'!AQ87&gt;0,'CST-Calculation'!AQ87,IF('CST-Calculation'!$F87=0,"",'CST-Calculation'!$F87)))))</f>
        <v/>
      </c>
      <c r="AR87" s="714" t="str">
        <f>IF('CST-Calculation'!AR87=0,"",'CST-Calculation'!AR87)</f>
        <v/>
      </c>
      <c r="AS87" s="714" t="str">
        <f>IF(AQ87="","",IF(AR87="TEC Rejected","",IF(AR87="","",ROUND(1.3224*Form!$D$10*AR87,2))))</f>
        <v/>
      </c>
      <c r="AT87" s="714" t="str">
        <f t="shared" si="43"/>
        <v/>
      </c>
      <c r="AU87" s="713" t="str">
        <f>IF(AV87="","",IF('CST-Calculation'!$F87="Indg","",IF('CST-Calculation'!$F87="TEC Del","",IF('CST-Calculation'!AU87&gt;0,'CST-Calculation'!AU87,IF('CST-Calculation'!$F87=0,"",'CST-Calculation'!$F87)))))</f>
        <v/>
      </c>
      <c r="AV87" s="714" t="str">
        <f>IF('CST-Calculation'!AV87=0,"",'CST-Calculation'!AV87)</f>
        <v/>
      </c>
      <c r="AW87" s="714" t="str">
        <f>IF(AU87="","",IF(AV87="TEC Rejected","",IF(AV87="","",ROUND(1.3224*Form!$D$10*AV87,2))))</f>
        <v/>
      </c>
      <c r="AX87" s="714" t="str">
        <f t="shared" si="44"/>
        <v/>
      </c>
      <c r="AY87" s="715" t="str">
        <f t="shared" si="45"/>
        <v>DELETED</v>
      </c>
      <c r="AZ87" s="716" t="str">
        <f t="shared" si="46"/>
        <v>DELETED</v>
      </c>
      <c r="BA87" s="716" t="str">
        <f t="shared" si="47"/>
        <v>&gt; 20%</v>
      </c>
      <c r="BB87" s="716">
        <f>IF(AY87="EST",ROUND(BD87/1.18,2),IF(AY87="ADRYS",ROUND(BD87/1.18,2),ROUND(BD87/(1.3224*Form!$D$10),2)))</f>
        <v>0</v>
      </c>
      <c r="BC87" s="784">
        <f>IF(OR(AY87="EST",AY87="ADRYS"),ROUND(BE87/1.18,2),ROUND(BE87/(1.3224*Form!$D$10),2))</f>
        <v>0</v>
      </c>
      <c r="BD87" s="717" t="b">
        <f>IF(F87="Indg",0,IF(F87="TEC Del",0,IF(AND(IF(G87="",TRUE,G87&lt;=ROUNDUP(1.2*F87,0)),IF(K87="",TRUE,K87&lt;=ROUNDUP(1.2*F87,0)),IF(O87="",TRUE,O87&lt;=ROUNDUP(1.2*F87,0)),IF(S87="",TRUE,S87&lt;=ROUNDUP(1.2*F87,0)),IF(W87="",TRUE,W87&lt;=ROUNDUP(1.2*F87,0)),IF(AA87="",TRUE,AA87&lt;=ROUNDUP(1.2*F87,0)),IF(AE87="",TRUE,AE87&lt;=ROUNDUP(1.2*F87,0)),IF(AI87="",TRUE,AI87&lt;=ROUNDUP(1.2*F87,0)),IF(AM87="",TRUE,AM87&lt;=ROUNDUP(1.2*F87,0)),IF(AQ87="",TRUE,AQ87&lt;=ROUNDUP(1.2*F87,0)),IF(AU87="",TRUE,AU87&lt;=ROUNDUP(1.2*F87,0))),IF(F87=0,0,(IF(SUM(I87,M87,Q87,U87,Y87,AC87,AG87,AK87,AO87,AS87,AW87)=0,0,SMALL((I87,M87,Q87,U87,Y87,AC87,AG87,AK87,AO87,AS87,AW87),COUNTIF((I87:AW87),0)+1)))),IF(BE87=J87,I87,IF(BE87=N87,M87,IF(BE87=R87,Q87,IF(BE87=V87,U87,IF(BE87=Z87,Y87,IF(BE87=AD87,AC87,IF(BE87=AH87,AG87,IF(BE87=AL87,AK87,IF(BE87=AP87,AO87,IF(BE87=AT87,AS87,IF(BE87=AX87,AW87))))))))))))))</f>
        <v>0</v>
      </c>
      <c r="BE87" s="714">
        <f>IF(F87="Indg",0,IF(F87="TEC Del",0,IF(AND(IF(G87="",TRUE,G87&lt;=ROUNDUP(1.2*F87,0)),IF(K87="",TRUE,K87&lt;=ROUNDUP(1.2*F87,0)),IF(O87="",TRUE,O87&lt;=ROUNDUP(1.2*F87,0)),IF(S87="",TRUE,S87&lt;=ROUNDUP(1.2*F87,0)),IF(W87="",TRUE,W87&lt;=ROUNDUP(1.2*F87,0)),IF(AA87="",TRUE,AA87&lt;=ROUNDUP(1.2*F87,0)),IF(AE87="",TRUE,AE87&lt;=ROUNDUP(1.2*F87,0)),IF(AI87="",TRUE,AI87&lt;=ROUNDUP(1.2*F87,0)),IF(AM87="",TRUE,AM87&lt;=ROUNDUP(1.2*F87,0)),IF(AQ87="",TRUE,AQ87&lt;=ROUNDUP(1.2*F87,0)),IF(AU87="",TRUE,AU87&lt;=ROUNDUP(1.2*F87,0))),ROUND(BD87*IF(BD87=I87,G87,IF(BD87=M87,K87,IF(BD87=Q87,O87,IF(BD87=U87,S87,IF(BD87=Y87,W87,IF(BD87=AC87,AA87,IF(BD87=AG87,AE87,IF(BD87=AK87,AI87,IF(BD87=AO87,AM87,IF(BD87=AS87,AQ87,IF(BD87=AW87,AU87))))))))))),2),(IF(SUM(J87,N87,R87,V87,Z87,AD87,AH87,AL87,AP87,AT87,AX87)=0,0,SMALL((J87,N87,R87,V87,Z87,AD87,AH87,AL87,AP87,AT87,AX87),COUNTIF((J87:AX87),0)+1))))))</f>
        <v>0</v>
      </c>
      <c r="BF87" s="714">
        <f>IF('Annexure-I'!L84="",'Annexure-I'!F84,'Annexure-I'!L84)</f>
        <v>311.05</v>
      </c>
      <c r="BG87" s="714" t="str">
        <f>IF('Annexure-I'!M84="",'Annexure-I'!G84,'Annexure-I'!M84)</f>
        <v>CONTRACT-A83</v>
      </c>
      <c r="BH87" s="764">
        <f>IF('Annexure-I'!N84="",'Annexure-I'!H84,'Annexure-I'!N84)</f>
        <v>40967</v>
      </c>
      <c r="BI87" s="717">
        <f>IF('Annexure-I'!P84="",'Annexure-I'!J84,'Annexure-I'!P84)</f>
        <v>569.87</v>
      </c>
      <c r="BJ87" s="717">
        <f>IF('Annexure-I'!Q84="",'Annexure-I'!K84,'Annexure-I'!Q84)</f>
        <v>62382.684164639999</v>
      </c>
      <c r="BK87" s="714">
        <f>'Annexure-I'!F84</f>
        <v>311.05</v>
      </c>
      <c r="BL87" s="718" t="str">
        <f>'Annexure-I'!G84</f>
        <v>CONTRACT-A83</v>
      </c>
      <c r="BM87" s="764">
        <f>IF('Annexure-I'!H84=0,"",'Annexure-I'!H84)</f>
        <v>40967</v>
      </c>
      <c r="BN87" s="717">
        <f>'Annexure-I'!J84</f>
        <v>569.87</v>
      </c>
      <c r="BO87" s="717">
        <f>'Annexure-I'!K84</f>
        <v>62382.684164639999</v>
      </c>
      <c r="BP87" s="714">
        <f>IF(OR(AY87="EST",AY87="ADRYS"),ROUND((BC87*1.18)/(1.3224*Form!$D$10),2),BC87)</f>
        <v>0</v>
      </c>
      <c r="BQ87" s="714">
        <f>ROUND(BS87/(1.3224*Form!$D$10),2)</f>
        <v>0</v>
      </c>
      <c r="BR87" s="714">
        <f t="shared" si="48"/>
        <v>0</v>
      </c>
      <c r="BS87" s="714">
        <f t="shared" si="49"/>
        <v>0</v>
      </c>
      <c r="BT87" s="719">
        <f t="shared" si="50"/>
        <v>0</v>
      </c>
      <c r="BU87" s="714"/>
      <c r="BV87" s="714">
        <f t="shared" si="33"/>
        <v>0</v>
      </c>
      <c r="BW87" s="714">
        <f>IF(OR(AY87="EST",AY87="ADRYS"),ROUND(1.18*BU87,2),ROUND(BU87*1.3224*Form!$D$10,2))</f>
        <v>0</v>
      </c>
      <c r="BX87" s="714">
        <f t="shared" si="34"/>
        <v>0</v>
      </c>
      <c r="BY87" s="719">
        <f t="shared" si="51"/>
        <v>0</v>
      </c>
      <c r="BZ87" s="714">
        <f t="shared" si="35"/>
        <v>0</v>
      </c>
      <c r="CA87" s="720"/>
      <c r="CB87" s="720"/>
      <c r="CC87" s="4"/>
      <c r="CD87" s="4"/>
      <c r="CE87" s="4"/>
      <c r="CF87" s="4"/>
      <c r="CG87" s="4"/>
      <c r="CH87" s="4"/>
      <c r="CI87" s="721"/>
      <c r="CJ87" s="645"/>
      <c r="CK87" s="592"/>
    </row>
    <row r="88" spans="1:96" s="579" customFormat="1" ht="45" x14ac:dyDescent="0.25">
      <c r="A88" s="712">
        <f>SUBTOTAL(2,$B$5:B88)</f>
        <v>84</v>
      </c>
      <c r="B88" s="754">
        <v>84</v>
      </c>
      <c r="C88" s="756" t="s">
        <v>752</v>
      </c>
      <c r="D88" s="755" t="s">
        <v>629</v>
      </c>
      <c r="E88" s="754">
        <v>9</v>
      </c>
      <c r="F88" s="658">
        <f>'Annexure-I'!E85</f>
        <v>0</v>
      </c>
      <c r="G88" s="784" t="str">
        <f>IF('CST-Calculation'!G88=0,"",'CST-Calculation'!G88)</f>
        <v/>
      </c>
      <c r="H88" s="784" t="str">
        <f>IF('CST-Calculation'!H88=0,"",'CST-Calculation'!H88)</f>
        <v/>
      </c>
      <c r="I88" s="714" t="str">
        <f>IF(G88="","",IF(H88="TEC Rejected","",IF(H88="","",ROUND(1.3224*Form!$D$10*H88,2))))</f>
        <v/>
      </c>
      <c r="J88" s="714" t="str">
        <f t="shared" si="29"/>
        <v/>
      </c>
      <c r="K88" s="713" t="str">
        <f>IF(L88="","",IF('CST-Calculation'!$F88="Indg","",IF('CST-Calculation'!$F88="TEC Del","",IF('CST-Calculation'!K88&gt;0,'CST-Calculation'!K88,IF('CST-Calculation'!$F88=0,"",'CST-Calculation'!$F88)))))</f>
        <v/>
      </c>
      <c r="L88" s="714" t="str">
        <f>IF('CST-Calculation'!L88=0,"",'CST-Calculation'!L88)</f>
        <v/>
      </c>
      <c r="M88" s="714" t="str">
        <f>IF(K88="","",IF(L88="TEC Rejected","",IF(L88="","",ROUND(1.3224*Form!$D$10*L88,2))))</f>
        <v/>
      </c>
      <c r="N88" s="714" t="str">
        <f t="shared" si="30"/>
        <v/>
      </c>
      <c r="O88" s="89" t="str">
        <f>IF(P88="","",IF('CST-Calculation'!$F88="Indg","",IF('CST-Calculation'!$F88="TEC Del","",IF('CST-Calculation'!O88&gt;0,'CST-Calculation'!O88,IF('CST-Calculation'!$F88=0,"",'CST-Calculation'!$F88)))))</f>
        <v/>
      </c>
      <c r="P88" s="714" t="str">
        <f>IF('CST-Calculation'!P88=0,"",'CST-Calculation'!P88)</f>
        <v/>
      </c>
      <c r="Q88" s="714" t="str">
        <f>IF(O88="","",IF(P88="TEC Rejected","",IF(P88="","",ROUND(1.3224*Form!$D$10*P88,2))))</f>
        <v/>
      </c>
      <c r="R88" s="714" t="str">
        <f t="shared" si="31"/>
        <v/>
      </c>
      <c r="S88" s="89" t="str">
        <f>IF(T88="","",IF('CST-Calculation'!$F88="Indg","",IF('CST-Calculation'!$F88="TEC Del","",IF('CST-Calculation'!S88&gt;0,'CST-Calculation'!S88,IF('CST-Calculation'!$F88=0,"",'CST-Calculation'!$F88)))))</f>
        <v/>
      </c>
      <c r="T88" s="714" t="str">
        <f>IF('CST-Calculation'!T88=0,"",'CST-Calculation'!T88)</f>
        <v/>
      </c>
      <c r="U88" s="714" t="str">
        <f>IF(S88="","",IF(T88="TEC Rejected","",IF(T88="","",ROUND(1.3224*Form!$D$10*T88,2))))</f>
        <v/>
      </c>
      <c r="V88" s="714" t="str">
        <f t="shared" si="32"/>
        <v/>
      </c>
      <c r="W88" s="713" t="str">
        <f>IF(X88="","",IF('CST-Calculation'!$F88="Indg","",IF('CST-Calculation'!$F88="TEC Del","",IF('CST-Calculation'!W88&gt;0,'CST-Calculation'!W88,IF('CST-Calculation'!$F88=0,"",'CST-Calculation'!$F88)))))</f>
        <v/>
      </c>
      <c r="X88" s="714" t="str">
        <f>IF('CST-Calculation'!X88=0,"",'CST-Calculation'!X88)</f>
        <v/>
      </c>
      <c r="Y88" s="714" t="str">
        <f>IF(W88="","",IF(X88="TEC Rejected","",IF(X88="","",ROUND(1.3224*Form!$D$10*X88,2))))</f>
        <v/>
      </c>
      <c r="Z88" s="714" t="str">
        <f t="shared" si="36"/>
        <v/>
      </c>
      <c r="AA88" s="713" t="str">
        <f>IF(AB88="","",IF('CST-Calculation'!$F88="Indg","",IF('CST-Calculation'!$F88="TEC Del","",IF('CST-Calculation'!AA88&gt;0,'CST-Calculation'!AA88,IF('CST-Calculation'!$F88=0,"",'CST-Calculation'!$F88)))))</f>
        <v/>
      </c>
      <c r="AB88" s="714" t="str">
        <f>IF('CST-Calculation'!AB88=0,"",'CST-Calculation'!AB88)</f>
        <v/>
      </c>
      <c r="AC88" s="714" t="str">
        <f t="shared" si="37"/>
        <v/>
      </c>
      <c r="AD88" s="714" t="str">
        <f t="shared" si="38"/>
        <v/>
      </c>
      <c r="AE88" s="713" t="str">
        <f>IF(AF88="","",IF('CST-Calculation'!$F88="Indg","",IF('CST-Calculation'!$F88="TEC Del","",IF('CST-Calculation'!AE88&gt;0,'CST-Calculation'!AE88,IF('CST-Calculation'!$F88=0,"",'CST-Calculation'!$F88)))))</f>
        <v/>
      </c>
      <c r="AF88" s="714" t="str">
        <f>IF('CST-Calculation'!AF88=0,"",'CST-Calculation'!AF88)</f>
        <v/>
      </c>
      <c r="AG88" s="714" t="str">
        <f>IF(AE88="","",IF(AF88="TEC Rejected","",IF(AF88="","",ROUND(1.3224*Form!$D$10*AF88,2))))</f>
        <v/>
      </c>
      <c r="AH88" s="714" t="str">
        <f t="shared" si="39"/>
        <v/>
      </c>
      <c r="AI88" s="713" t="str">
        <f>IF(AJ88="","",IF('CST-Calculation'!$F88="Indg","",IF('CST-Calculation'!$F88="TEC Del","",IF('CST-Calculation'!AI88&gt;0,'CST-Calculation'!AI88,IF('CST-Calculation'!$F88=0,"",'CST-Calculation'!$F88)))))</f>
        <v/>
      </c>
      <c r="AJ88" s="714" t="str">
        <f>IF('CST-Calculation'!AJ88=0,"",'CST-Calculation'!AJ88)</f>
        <v/>
      </c>
      <c r="AK88" s="714" t="str">
        <f t="shared" si="40"/>
        <v/>
      </c>
      <c r="AL88" s="714" t="str">
        <f t="shared" si="41"/>
        <v/>
      </c>
      <c r="AM88" s="713" t="str">
        <f>IF(AN88="","",IF('CST-Calculation'!$F88="Indg","",IF('CST-Calculation'!$F88="TEC Del","",IF('CST-Calculation'!AM88&gt;0,'CST-Calculation'!AM88,IF('CST-Calculation'!$F88=0,"",'CST-Calculation'!$F88)))))</f>
        <v/>
      </c>
      <c r="AN88" s="714" t="str">
        <f>IF('CST-Calculation'!AN88=0,"",'CST-Calculation'!AN88)</f>
        <v/>
      </c>
      <c r="AO88" s="714" t="str">
        <f>IF(AM88="","",IF(AN88="TEC Rejected","",IF(AN88="","",ROUND(1.3224*Form!$D$10*AN88,2))))</f>
        <v/>
      </c>
      <c r="AP88" s="714" t="str">
        <f t="shared" si="42"/>
        <v/>
      </c>
      <c r="AQ88" s="713" t="str">
        <f>IF(AR88="","",IF('CST-Calculation'!$F88="Indg","",IF('CST-Calculation'!$F88="TEC Del","",IF('CST-Calculation'!AQ88&gt;0,'CST-Calculation'!AQ88,IF('CST-Calculation'!$F88=0,"",'CST-Calculation'!$F88)))))</f>
        <v/>
      </c>
      <c r="AR88" s="714" t="str">
        <f>IF('CST-Calculation'!AR88=0,"",'CST-Calculation'!AR88)</f>
        <v/>
      </c>
      <c r="AS88" s="714" t="str">
        <f>IF(AQ88="","",IF(AR88="TEC Rejected","",IF(AR88="","",ROUND(1.3224*Form!$D$10*AR88,2))))</f>
        <v/>
      </c>
      <c r="AT88" s="714" t="str">
        <f t="shared" si="43"/>
        <v/>
      </c>
      <c r="AU88" s="713" t="str">
        <f>IF(AV88="","",IF('CST-Calculation'!$F88="Indg","",IF('CST-Calculation'!$F88="TEC Del","",IF('CST-Calculation'!AU88&gt;0,'CST-Calculation'!AU88,IF('CST-Calculation'!$F88=0,"",'CST-Calculation'!$F88)))))</f>
        <v/>
      </c>
      <c r="AV88" s="714" t="str">
        <f>IF('CST-Calculation'!AV88=0,"",'CST-Calculation'!AV88)</f>
        <v/>
      </c>
      <c r="AW88" s="714" t="str">
        <f>IF(AU88="","",IF(AV88="TEC Rejected","",IF(AV88="","",ROUND(1.3224*Form!$D$10*AV88,2))))</f>
        <v/>
      </c>
      <c r="AX88" s="714" t="str">
        <f t="shared" si="44"/>
        <v/>
      </c>
      <c r="AY88" s="715" t="str">
        <f t="shared" si="45"/>
        <v>DELETED</v>
      </c>
      <c r="AZ88" s="716" t="str">
        <f t="shared" si="46"/>
        <v>DELETED</v>
      </c>
      <c r="BA88" s="716" t="str">
        <f t="shared" si="47"/>
        <v>&lt;= 20%</v>
      </c>
      <c r="BB88" s="716">
        <f>IF(AY88="EST",ROUND(BD88/1.18,2),IF(AY88="ADRYS",ROUND(BD88/1.18,2),ROUND(BD88/(1.3224*Form!$D$10),2)))</f>
        <v>0</v>
      </c>
      <c r="BC88" s="784">
        <f>IF(OR(AY88="EST",AY88="ADRYS"),ROUND(BE88/1.18,2),ROUND(BE88/(1.3224*Form!$D$10),2))</f>
        <v>0</v>
      </c>
      <c r="BD88" s="717">
        <f>IF(F88="Indg",0,IF(F88="TEC Del",0,IF(AND(IF(G88="",TRUE,G88&lt;=ROUNDUP(1.2*F88,0)),IF(K88="",TRUE,K88&lt;=ROUNDUP(1.2*F88,0)),IF(O88="",TRUE,O88&lt;=ROUNDUP(1.2*F88,0)),IF(S88="",TRUE,S88&lt;=ROUNDUP(1.2*F88,0)),IF(W88="",TRUE,W88&lt;=ROUNDUP(1.2*F88,0)),IF(AA88="",TRUE,AA88&lt;=ROUNDUP(1.2*F88,0)),IF(AE88="",TRUE,AE88&lt;=ROUNDUP(1.2*F88,0)),IF(AI88="",TRUE,AI88&lt;=ROUNDUP(1.2*F88,0)),IF(AM88="",TRUE,AM88&lt;=ROUNDUP(1.2*F88,0)),IF(AQ88="",TRUE,AQ88&lt;=ROUNDUP(1.2*F88,0)),IF(AU88="",TRUE,AU88&lt;=ROUNDUP(1.2*F88,0))),IF(F88=0,0,(IF(SUM(I88,M88,Q88,U88,Y88,AC88,AG88,AK88,AO88,AS88,AW88)=0,0,SMALL((I88,M88,Q88,U88,Y88,AC88,AG88,AK88,AO88,AS88,AW88),COUNTIF((I88:AW88),0)+1)))),IF(BE88=J88,I88,IF(BE88=N88,M88,IF(BE88=R88,Q88,IF(BE88=V88,U88,IF(BE88=Z88,Y88,IF(BE88=AD88,AC88,IF(BE88=AH88,AG88,IF(BE88=AL88,AK88,IF(BE88=AP88,AO88,IF(BE88=AT88,AS88,IF(BE88=AX88,AW88))))))))))))))</f>
        <v>0</v>
      </c>
      <c r="BE88" s="714">
        <f>IF(F88="Indg",0,IF(F88="TEC Del",0,IF(AND(IF(G88="",TRUE,G88&lt;=ROUNDUP(1.2*F88,0)),IF(K88="",TRUE,K88&lt;=ROUNDUP(1.2*F88,0)),IF(O88="",TRUE,O88&lt;=ROUNDUP(1.2*F88,0)),IF(S88="",TRUE,S88&lt;=ROUNDUP(1.2*F88,0)),IF(W88="",TRUE,W88&lt;=ROUNDUP(1.2*F88,0)),IF(AA88="",TRUE,AA88&lt;=ROUNDUP(1.2*F88,0)),IF(AE88="",TRUE,AE88&lt;=ROUNDUP(1.2*F88,0)),IF(AI88="",TRUE,AI88&lt;=ROUNDUP(1.2*F88,0)),IF(AM88="",TRUE,AM88&lt;=ROUNDUP(1.2*F88,0)),IF(AQ88="",TRUE,AQ88&lt;=ROUNDUP(1.2*F88,0)),IF(AU88="",TRUE,AU88&lt;=ROUNDUP(1.2*F88,0))),ROUND(BD88*IF(BD88=I88,G88,IF(BD88=M88,K88,IF(BD88=Q88,O88,IF(BD88=U88,S88,IF(BD88=Y88,W88,IF(BD88=AC88,AA88,IF(BD88=AG88,AE88,IF(BD88=AK88,AI88,IF(BD88=AO88,AM88,IF(BD88=AS88,AQ88,IF(BD88=AW88,AU88))))))))))),2),(IF(SUM(J88,N88,R88,V88,Z88,AD88,AH88,AL88,AP88,AT88,AX88)=0,0,SMALL((J88,N88,R88,V88,Z88,AD88,AH88,AL88,AP88,AT88,AX88),COUNTIF((J88:AX88),0)+1))))))</f>
        <v>0</v>
      </c>
      <c r="BF88" s="714">
        <f>IF('Annexure-I'!L85="",'Annexure-I'!F85,'Annexure-I'!L85)</f>
        <v>233.29</v>
      </c>
      <c r="BG88" s="714" t="str">
        <f>IF('Annexure-I'!M85="",'Annexure-I'!G85,'Annexure-I'!M85)</f>
        <v>CONTRACT-A84</v>
      </c>
      <c r="BH88" s="764">
        <f>IF('Annexure-I'!N85="",'Annexure-I'!H85,'Annexure-I'!N85)</f>
        <v>40967</v>
      </c>
      <c r="BI88" s="717">
        <f>IF('Annexure-I'!P85="",'Annexure-I'!J85,'Annexure-I'!P85)</f>
        <v>427.41</v>
      </c>
      <c r="BJ88" s="717">
        <f>IF('Annexure-I'!Q85="",'Annexure-I'!K85,'Annexure-I'!Q85)</f>
        <v>46787.834135520003</v>
      </c>
      <c r="BK88" s="714">
        <f>'Annexure-I'!F85</f>
        <v>233.29</v>
      </c>
      <c r="BL88" s="718" t="str">
        <f>'Annexure-I'!G85</f>
        <v>CONTRACT-A84</v>
      </c>
      <c r="BM88" s="764">
        <f>IF('Annexure-I'!H85=0,"",'Annexure-I'!H85)</f>
        <v>40967</v>
      </c>
      <c r="BN88" s="717">
        <f>'Annexure-I'!J85</f>
        <v>427.41</v>
      </c>
      <c r="BO88" s="717">
        <f>'Annexure-I'!K85</f>
        <v>46787.834135520003</v>
      </c>
      <c r="BP88" s="714">
        <f>IF(OR(AY88="EST",AY88="ADRYS"),ROUND((BC88*1.18)/(1.3224*Form!$D$10),2),BC88)</f>
        <v>0</v>
      </c>
      <c r="BQ88" s="714">
        <f>ROUND(BS88/(1.3224*Form!$D$10),2)</f>
        <v>0</v>
      </c>
      <c r="BR88" s="714">
        <f t="shared" si="48"/>
        <v>0</v>
      </c>
      <c r="BS88" s="714">
        <f t="shared" si="49"/>
        <v>0</v>
      </c>
      <c r="BT88" s="719">
        <f t="shared" si="50"/>
        <v>0</v>
      </c>
      <c r="BU88" s="714"/>
      <c r="BV88" s="714">
        <f t="shared" si="33"/>
        <v>0</v>
      </c>
      <c r="BW88" s="714">
        <f>IF(OR(AY88="EST",AY88="ADRYS"),ROUND(1.18*BU88,2),ROUND(BU88*1.3224*Form!$D$10,2))</f>
        <v>0</v>
      </c>
      <c r="BX88" s="714">
        <f t="shared" si="34"/>
        <v>0</v>
      </c>
      <c r="BY88" s="719">
        <f t="shared" si="51"/>
        <v>0</v>
      </c>
      <c r="BZ88" s="714">
        <f t="shared" si="35"/>
        <v>0</v>
      </c>
      <c r="CA88" s="720"/>
      <c r="CB88" s="720"/>
      <c r="CC88" s="4"/>
      <c r="CD88" s="4"/>
      <c r="CE88" s="4"/>
      <c r="CF88" s="4"/>
      <c r="CG88" s="4"/>
      <c r="CH88" s="4"/>
      <c r="CI88" s="721"/>
      <c r="CR88" s="584"/>
    </row>
    <row r="89" spans="1:96" s="579" customFormat="1" ht="45" x14ac:dyDescent="0.25">
      <c r="A89" s="712">
        <f>SUBTOTAL(2,$B$5:B89)</f>
        <v>85</v>
      </c>
      <c r="B89" s="754">
        <v>85</v>
      </c>
      <c r="C89" s="755" t="s">
        <v>753</v>
      </c>
      <c r="D89" s="755" t="s">
        <v>122</v>
      </c>
      <c r="E89" s="754">
        <v>10</v>
      </c>
      <c r="F89" s="658">
        <f>'Annexure-I'!E86</f>
        <v>10</v>
      </c>
      <c r="G89" s="784" t="str">
        <f>IF('CST-Calculation'!G89=0,"",'CST-Calculation'!G89)</f>
        <v/>
      </c>
      <c r="H89" s="784" t="str">
        <f>IF('CST-Calculation'!H89=0,"",'CST-Calculation'!H89)</f>
        <v/>
      </c>
      <c r="I89" s="714" t="str">
        <f>IF(G89="","",IF(H89="TEC Rejected","",IF(H89="","",ROUND(1.3224*Form!$D$10*H89,2))))</f>
        <v/>
      </c>
      <c r="J89" s="714" t="str">
        <f t="shared" si="29"/>
        <v/>
      </c>
      <c r="K89" s="713" t="str">
        <f>IF(L89="","",IF('CST-Calculation'!$F89="Indg","",IF('CST-Calculation'!$F89="TEC Del","",IF('CST-Calculation'!K89&gt;0,'CST-Calculation'!K89,IF('CST-Calculation'!$F89=0,"",'CST-Calculation'!$F89)))))</f>
        <v/>
      </c>
      <c r="L89" s="714" t="str">
        <f>IF('CST-Calculation'!L89=0,"",'CST-Calculation'!L89)</f>
        <v/>
      </c>
      <c r="M89" s="714" t="str">
        <f>IF(K89="","",IF(L89="TEC Rejected","",IF(L89="","",ROUND(1.3224*Form!$D$10*L89,2))))</f>
        <v/>
      </c>
      <c r="N89" s="714" t="str">
        <f t="shared" si="30"/>
        <v/>
      </c>
      <c r="O89" s="89" t="str">
        <f>IF(P89="","",IF('CST-Calculation'!$F89="Indg","",IF('CST-Calculation'!$F89="TEC Del","",IF('CST-Calculation'!O89&gt;0,'CST-Calculation'!O89,IF('CST-Calculation'!$F89=0,"",'CST-Calculation'!$F89)))))</f>
        <v/>
      </c>
      <c r="P89" s="714" t="str">
        <f>IF('CST-Calculation'!P89=0,"",'CST-Calculation'!P89)</f>
        <v/>
      </c>
      <c r="Q89" s="714" t="str">
        <f>IF(O89="","",IF(P89="TEC Rejected","",IF(P89="","",ROUND(1.3224*Form!$D$10*P89,2))))</f>
        <v/>
      </c>
      <c r="R89" s="714" t="str">
        <f t="shared" si="31"/>
        <v/>
      </c>
      <c r="S89" s="89" t="str">
        <f>IF(T89="","",IF('CST-Calculation'!$F89="Indg","",IF('CST-Calculation'!$F89="TEC Del","",IF('CST-Calculation'!S89&gt;0,'CST-Calculation'!S89,IF('CST-Calculation'!$F89=0,"",'CST-Calculation'!$F89)))))</f>
        <v/>
      </c>
      <c r="T89" s="714" t="str">
        <f>IF('CST-Calculation'!T89=0,"",'CST-Calculation'!T89)</f>
        <v/>
      </c>
      <c r="U89" s="714" t="str">
        <f>IF(S89="","",IF(T89="TEC Rejected","",IF(T89="","",ROUND(1.3224*Form!$D$10*T89,2))))</f>
        <v/>
      </c>
      <c r="V89" s="714" t="str">
        <f t="shared" si="32"/>
        <v/>
      </c>
      <c r="W89" s="713" t="str">
        <f>IF(X89="","",IF('CST-Calculation'!$F89="Indg","",IF('CST-Calculation'!$F89="TEC Del","",IF('CST-Calculation'!W89&gt;0,'CST-Calculation'!W89,IF('CST-Calculation'!$F89=0,"",'CST-Calculation'!$F89)))))</f>
        <v/>
      </c>
      <c r="X89" s="714" t="str">
        <f>IF('CST-Calculation'!X89=0,"",'CST-Calculation'!X89)</f>
        <v/>
      </c>
      <c r="Y89" s="714" t="str">
        <f>IF(W89="","",IF(X89="TEC Rejected","",IF(X89="","",ROUND(1.3224*Form!$D$10*X89,2))))</f>
        <v/>
      </c>
      <c r="Z89" s="714" t="str">
        <f t="shared" si="36"/>
        <v/>
      </c>
      <c r="AA89" s="713" t="str">
        <f>IF(AB89="","",IF('CST-Calculation'!$F89="Indg","",IF('CST-Calculation'!$F89="TEC Del","",IF('CST-Calculation'!AA89&gt;0,'CST-Calculation'!AA89,IF('CST-Calculation'!$F89=0,"",'CST-Calculation'!$F89)))))</f>
        <v/>
      </c>
      <c r="AB89" s="714" t="str">
        <f>IF('CST-Calculation'!AB89=0,"",'CST-Calculation'!AB89)</f>
        <v/>
      </c>
      <c r="AC89" s="714" t="str">
        <f t="shared" si="37"/>
        <v/>
      </c>
      <c r="AD89" s="714" t="str">
        <f t="shared" si="38"/>
        <v/>
      </c>
      <c r="AE89" s="713" t="str">
        <f>IF(AF89="","",IF('CST-Calculation'!$F89="Indg","",IF('CST-Calculation'!$F89="TEC Del","",IF('CST-Calculation'!AE89&gt;0,'CST-Calculation'!AE89,IF('CST-Calculation'!$F89=0,"",'CST-Calculation'!$F89)))))</f>
        <v/>
      </c>
      <c r="AF89" s="714" t="str">
        <f>IF('CST-Calculation'!AF89=0,"",'CST-Calculation'!AF89)</f>
        <v/>
      </c>
      <c r="AG89" s="714" t="str">
        <f>IF(AE89="","",IF(AF89="TEC Rejected","",IF(AF89="","",ROUND(1.3224*Form!$D$10*AF89,2))))</f>
        <v/>
      </c>
      <c r="AH89" s="714" t="str">
        <f t="shared" si="39"/>
        <v/>
      </c>
      <c r="AI89" s="713" t="str">
        <f>IF(AJ89="","",IF('CST-Calculation'!$F89="Indg","",IF('CST-Calculation'!$F89="TEC Del","",IF('CST-Calculation'!AI89&gt;0,'CST-Calculation'!AI89,IF('CST-Calculation'!$F89=0,"",'CST-Calculation'!$F89)))))</f>
        <v/>
      </c>
      <c r="AJ89" s="714" t="str">
        <f>IF('CST-Calculation'!AJ89=0,"",'CST-Calculation'!AJ89)</f>
        <v/>
      </c>
      <c r="AK89" s="714" t="str">
        <f t="shared" si="40"/>
        <v/>
      </c>
      <c r="AL89" s="714" t="str">
        <f t="shared" si="41"/>
        <v/>
      </c>
      <c r="AM89" s="713" t="str">
        <f>IF(AN89="","",IF('CST-Calculation'!$F89="Indg","",IF('CST-Calculation'!$F89="TEC Del","",IF('CST-Calculation'!AM89&gt;0,'CST-Calculation'!AM89,IF('CST-Calculation'!$F89=0,"",'CST-Calculation'!$F89)))))</f>
        <v/>
      </c>
      <c r="AN89" s="714" t="str">
        <f>IF('CST-Calculation'!AN89=0,"",'CST-Calculation'!AN89)</f>
        <v/>
      </c>
      <c r="AO89" s="714" t="str">
        <f>IF(AM89="","",IF(AN89="TEC Rejected","",IF(AN89="","",ROUND(1.3224*Form!$D$10*AN89,2))))</f>
        <v/>
      </c>
      <c r="AP89" s="714" t="str">
        <f t="shared" si="42"/>
        <v/>
      </c>
      <c r="AQ89" s="713" t="str">
        <f>IF(AR89="","",IF('CST-Calculation'!$F89="Indg","",IF('CST-Calculation'!$F89="TEC Del","",IF('CST-Calculation'!AQ89&gt;0,'CST-Calculation'!AQ89,IF('CST-Calculation'!$F89=0,"",'CST-Calculation'!$F89)))))</f>
        <v/>
      </c>
      <c r="AR89" s="714" t="str">
        <f>IF('CST-Calculation'!AR89=0,"",'CST-Calculation'!AR89)</f>
        <v/>
      </c>
      <c r="AS89" s="714" t="str">
        <f>IF(AQ89="","",IF(AR89="TEC Rejected","",IF(AR89="","",ROUND(1.3224*Form!$D$10*AR89,2))))</f>
        <v/>
      </c>
      <c r="AT89" s="714" t="str">
        <f t="shared" si="43"/>
        <v/>
      </c>
      <c r="AU89" s="713" t="str">
        <f>IF(AV89="","",IF('CST-Calculation'!$F89="Indg","",IF('CST-Calculation'!$F89="TEC Del","",IF('CST-Calculation'!AU89&gt;0,'CST-Calculation'!AU89,IF('CST-Calculation'!$F89=0,"",'CST-Calculation'!$F89)))))</f>
        <v/>
      </c>
      <c r="AV89" s="714" t="str">
        <f>IF('CST-Calculation'!AV89=0,"",'CST-Calculation'!AV89)</f>
        <v/>
      </c>
      <c r="AW89" s="714" t="str">
        <f>IF(AU89="","",IF(AV89="TEC Rejected","",IF(AV89="","",ROUND(1.3224*Form!$D$10*AV89,2))))</f>
        <v/>
      </c>
      <c r="AX89" s="714" t="str">
        <f t="shared" si="44"/>
        <v/>
      </c>
      <c r="AY89" s="715" t="str">
        <f t="shared" si="45"/>
        <v>NO OFFER</v>
      </c>
      <c r="AZ89" s="716" t="str">
        <f t="shared" si="46"/>
        <v>NO OFFER</v>
      </c>
      <c r="BA89" s="716" t="str">
        <f t="shared" si="47"/>
        <v>&lt;= 20%</v>
      </c>
      <c r="BB89" s="716">
        <f>IF(AY89="EST",ROUND(BD89/1.18,2),IF(AY89="ADRYS",ROUND(BD89/1.18,2),ROUND(BD89/(1.3224*Form!$D$10),2)))</f>
        <v>0</v>
      </c>
      <c r="BC89" s="784">
        <f>IF(OR(AY89="EST",AY89="ADRYS"),ROUND(BE89/1.18,2),ROUND(BE89/(1.3224*Form!$D$10),2))</f>
        <v>0</v>
      </c>
      <c r="BD89" s="717">
        <f>IF(F89="Indg",0,IF(F89="TEC Del",0,IF(AND(IF(G89="",TRUE,G89&lt;=ROUNDUP(1.2*F89,0)),IF(K89="",TRUE,K89&lt;=ROUNDUP(1.2*F89,0)),IF(O89="",TRUE,O89&lt;=ROUNDUP(1.2*F89,0)),IF(S89="",TRUE,S89&lt;=ROUNDUP(1.2*F89,0)),IF(W89="",TRUE,W89&lt;=ROUNDUP(1.2*F89,0)),IF(AA89="",TRUE,AA89&lt;=ROUNDUP(1.2*F89,0)),IF(AE89="",TRUE,AE89&lt;=ROUNDUP(1.2*F89,0)),IF(AI89="",TRUE,AI89&lt;=ROUNDUP(1.2*F89,0)),IF(AM89="",TRUE,AM89&lt;=ROUNDUP(1.2*F89,0)),IF(AQ89="",TRUE,AQ89&lt;=ROUNDUP(1.2*F89,0)),IF(AU89="",TRUE,AU89&lt;=ROUNDUP(1.2*F89,0))),IF(F89=0,0,(IF(SUM(I89,M89,Q89,U89,Y89,AC89,AG89,AK89,AO89,AS89,AW89)=0,0,SMALL((I89,M89,Q89,U89,Y89,AC89,AG89,AK89,AO89,AS89,AW89),COUNTIF((I89:AW89),0)+1)))),IF(BE89=J89,I89,IF(BE89=N89,M89,IF(BE89=R89,Q89,IF(BE89=V89,U89,IF(BE89=Z89,Y89,IF(BE89=AD89,AC89,IF(BE89=AH89,AG89,IF(BE89=AL89,AK89,IF(BE89=AP89,AO89,IF(BE89=AT89,AS89,IF(BE89=AX89,AW89))))))))))))))</f>
        <v>0</v>
      </c>
      <c r="BE89" s="714">
        <f>IF(F89="Indg",0,IF(F89="TEC Del",0,IF(AND(IF(G89="",TRUE,G89&lt;=ROUNDUP(1.2*F89,0)),IF(K89="",TRUE,K89&lt;=ROUNDUP(1.2*F89,0)),IF(O89="",TRUE,O89&lt;=ROUNDUP(1.2*F89,0)),IF(S89="",TRUE,S89&lt;=ROUNDUP(1.2*F89,0)),IF(W89="",TRUE,W89&lt;=ROUNDUP(1.2*F89,0)),IF(AA89="",TRUE,AA89&lt;=ROUNDUP(1.2*F89,0)),IF(AE89="",TRUE,AE89&lt;=ROUNDUP(1.2*F89,0)),IF(AI89="",TRUE,AI89&lt;=ROUNDUP(1.2*F89,0)),IF(AM89="",TRUE,AM89&lt;=ROUNDUP(1.2*F89,0)),IF(AQ89="",TRUE,AQ89&lt;=ROUNDUP(1.2*F89,0)),IF(AU89="",TRUE,AU89&lt;=ROUNDUP(1.2*F89,0))),ROUND(BD89*IF(BD89=I89,G89,IF(BD89=M89,K89,IF(BD89=Q89,O89,IF(BD89=U89,S89,IF(BD89=Y89,W89,IF(BD89=AC89,AA89,IF(BD89=AG89,AE89,IF(BD89=AK89,AI89,IF(BD89=AO89,AM89,IF(BD89=AS89,AQ89,IF(BD89=AW89,AU89))))))))))),2),(IF(SUM(J89,N89,R89,V89,Z89,AD89,AH89,AL89,AP89,AT89,AX89)=0,0,SMALL((J89,N89,R89,V89,Z89,AD89,AH89,AL89,AP89,AT89,AX89),COUNTIF((J89:AX89),0)+1))))))</f>
        <v>0</v>
      </c>
      <c r="BF89" s="714">
        <f>IF('Annexure-I'!L86="",'Annexure-I'!F86,'Annexure-I'!L86)</f>
        <v>1.1000000000000001</v>
      </c>
      <c r="BG89" s="714" t="str">
        <f>IF('Annexure-I'!M86="",'Annexure-I'!G86,'Annexure-I'!M86)</f>
        <v>CONTRACT-A85</v>
      </c>
      <c r="BH89" s="764">
        <f>IF('Annexure-I'!N86="",'Annexure-I'!H86,'Annexure-I'!N86)</f>
        <v>39386</v>
      </c>
      <c r="BI89" s="717">
        <f>IF('Annexure-I'!P86="",'Annexure-I'!J86,'Annexure-I'!P86)</f>
        <v>2.52</v>
      </c>
      <c r="BJ89" s="717">
        <f>IF('Annexure-I'!Q86="",'Annexure-I'!K86,'Annexure-I'!Q86)</f>
        <v>275.86004543999996</v>
      </c>
      <c r="BK89" s="714">
        <f>'Annexure-I'!F86</f>
        <v>1.1000000000000001</v>
      </c>
      <c r="BL89" s="718" t="str">
        <f>'Annexure-I'!G86</f>
        <v>CONTRACT-A85</v>
      </c>
      <c r="BM89" s="764">
        <f>IF('Annexure-I'!H86=0,"",'Annexure-I'!H86)</f>
        <v>39386</v>
      </c>
      <c r="BN89" s="717">
        <f>'Annexure-I'!J86</f>
        <v>2.52</v>
      </c>
      <c r="BO89" s="717">
        <f>'Annexure-I'!K86</f>
        <v>275.86004543999996</v>
      </c>
      <c r="BP89" s="714">
        <f>IF(OR(AY89="EST",AY89="ADRYS"),ROUND((BC89*1.18)/(1.3224*Form!$D$10),2),BC89)</f>
        <v>0</v>
      </c>
      <c r="BQ89" s="714">
        <f>ROUND(BS89/(1.3224*Form!$D$10),2)</f>
        <v>0</v>
      </c>
      <c r="BR89" s="714">
        <f t="shared" si="48"/>
        <v>0</v>
      </c>
      <c r="BS89" s="714">
        <f t="shared" si="49"/>
        <v>0</v>
      </c>
      <c r="BT89" s="719">
        <f t="shared" si="50"/>
        <v>0</v>
      </c>
      <c r="BU89" s="714"/>
      <c r="BV89" s="714">
        <f t="shared" si="33"/>
        <v>0</v>
      </c>
      <c r="BW89" s="714">
        <f>IF(OR(AY89="EST",AY89="ADRYS"),ROUND(1.18*BU89,2),ROUND(BU89*1.3224*Form!$D$10,2))</f>
        <v>0</v>
      </c>
      <c r="BX89" s="714">
        <f t="shared" si="34"/>
        <v>0</v>
      </c>
      <c r="BY89" s="719">
        <f t="shared" si="51"/>
        <v>0</v>
      </c>
      <c r="BZ89" s="714">
        <f t="shared" si="35"/>
        <v>2758.6</v>
      </c>
      <c r="CA89" s="720"/>
      <c r="CB89" s="720"/>
      <c r="CC89" s="4"/>
      <c r="CD89" s="4"/>
      <c r="CE89" s="4"/>
      <c r="CF89" s="4"/>
      <c r="CG89" s="4"/>
      <c r="CH89" s="4"/>
      <c r="CI89" s="721"/>
      <c r="CR89" s="584"/>
    </row>
    <row r="90" spans="1:96" s="579" customFormat="1" ht="44.25" customHeight="1" x14ac:dyDescent="0.25">
      <c r="A90" s="10"/>
      <c r="B90" s="730"/>
      <c r="C90" s="10"/>
      <c r="D90" s="10"/>
      <c r="E90" s="10"/>
      <c r="F90" s="10"/>
      <c r="G90" s="10"/>
      <c r="H90" s="99"/>
      <c r="I90" s="99"/>
      <c r="J90" s="731"/>
      <c r="K90" s="19"/>
      <c r="L90" s="19"/>
      <c r="M90" s="19"/>
      <c r="N90" s="731"/>
      <c r="O90" s="100"/>
      <c r="P90" s="19"/>
      <c r="Q90" s="19"/>
      <c r="R90" s="19"/>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4"/>
      <c r="AY90" s="732"/>
      <c r="AZ90" s="733"/>
      <c r="BA90" s="734"/>
      <c r="BB90" s="735"/>
      <c r="BC90" s="736">
        <f>SUBTOTAL(9,BC5:BC89)</f>
        <v>2044437</v>
      </c>
      <c r="BD90" s="733"/>
      <c r="BE90" s="737"/>
      <c r="BF90" s="857" t="s">
        <v>17</v>
      </c>
      <c r="BG90" s="858"/>
      <c r="BH90" s="858"/>
      <c r="BI90" s="858"/>
      <c r="BJ90" s="858"/>
      <c r="BK90" s="858"/>
      <c r="BL90" s="858"/>
      <c r="BM90" s="858"/>
      <c r="BN90" s="858"/>
      <c r="BO90" s="858"/>
      <c r="BP90" s="714">
        <f>SUBTOTAL(109,BP5:BP89)</f>
        <v>894532.32</v>
      </c>
      <c r="BQ90" s="714">
        <f>SUBTOTAL(109,BQ5:BQ89)</f>
        <v>1077673.2</v>
      </c>
      <c r="BR90" s="714">
        <f>SUBTOTAL(109,BR5:BR89)</f>
        <v>97922908.099999979</v>
      </c>
      <c r="BS90" s="714">
        <f>SUBTOTAL(109,BS5:BS89)</f>
        <v>117971023.36999999</v>
      </c>
      <c r="BT90" s="719">
        <f>IF(SUM(BR90:BS90)=0,0,(BR90-BS90)/BS90)</f>
        <v>-0.16994101345651497</v>
      </c>
      <c r="BU90" s="714"/>
      <c r="BV90" s="714">
        <f>SUBTOTAL(109,BV5:BV89)</f>
        <v>0</v>
      </c>
      <c r="BW90" s="714"/>
      <c r="BX90" s="714">
        <f>SUBTOTAL(109,BX5:BX89)</f>
        <v>0</v>
      </c>
      <c r="BY90" s="719">
        <f>IF((BX90)=0,0,(BX90-BS90)/BS90)</f>
        <v>0</v>
      </c>
      <c r="BZ90" s="714">
        <f>SUBTOTAL(109,BZ5:BZ89)</f>
        <v>462296327.92999995</v>
      </c>
      <c r="CA90" s="722"/>
      <c r="CB90" s="728"/>
      <c r="CC90" s="4"/>
      <c r="CD90" s="4"/>
      <c r="CE90" s="4"/>
      <c r="CF90" s="4"/>
      <c r="CG90" s="4"/>
      <c r="CH90" s="4"/>
      <c r="CI90" s="4"/>
      <c r="CR90" s="643"/>
    </row>
    <row r="91" spans="1:96" s="579" customFormat="1" ht="68.25" customHeight="1" x14ac:dyDescent="0.25">
      <c r="A91" s="10"/>
      <c r="B91" s="730"/>
      <c r="C91" s="10"/>
      <c r="D91" s="739"/>
      <c r="E91" s="10"/>
      <c r="F91" s="10"/>
      <c r="G91" s="10"/>
      <c r="H91" s="99"/>
      <c r="I91" s="99"/>
      <c r="J91" s="731"/>
      <c r="K91" s="19"/>
      <c r="L91" s="19"/>
      <c r="M91" s="19"/>
      <c r="N91" s="851"/>
      <c r="O91" s="851"/>
      <c r="P91" s="19"/>
      <c r="Q91" s="19"/>
      <c r="R91" s="19"/>
      <c r="S91" s="100"/>
      <c r="T91" s="100"/>
      <c r="U91" s="100"/>
      <c r="V91" s="100"/>
      <c r="W91" s="100"/>
      <c r="X91" s="852" t="s">
        <v>541</v>
      </c>
      <c r="Y91" s="853"/>
      <c r="Z91" s="852"/>
      <c r="AA91" s="100"/>
      <c r="AB91" s="100"/>
      <c r="AC91" s="100"/>
      <c r="AD91" s="100"/>
      <c r="AE91" s="100"/>
      <c r="AF91" s="100"/>
      <c r="AG91" s="100"/>
      <c r="AH91" s="100"/>
      <c r="AI91" s="100"/>
      <c r="AJ91" s="100"/>
      <c r="AK91" s="100"/>
      <c r="AL91" s="100"/>
      <c r="AM91" s="100"/>
      <c r="AN91" s="100"/>
      <c r="AO91" s="100"/>
      <c r="AP91" s="852" t="s">
        <v>540</v>
      </c>
      <c r="AQ91" s="852"/>
      <c r="AR91" s="100"/>
      <c r="AS91" s="100"/>
      <c r="AT91" s="100"/>
      <c r="AU91" s="100"/>
      <c r="AV91" s="100"/>
      <c r="AW91" s="100"/>
      <c r="AX91" s="4"/>
      <c r="AY91" s="740"/>
      <c r="AZ91" s="740"/>
      <c r="BA91" s="740"/>
      <c r="BB91" s="740"/>
      <c r="BC91" s="740"/>
      <c r="BD91" s="740"/>
      <c r="BE91" s="741"/>
      <c r="BF91" s="855" t="str">
        <f>CONCATENATE("Bottom Line Discount in USD (",HLOOKUP(PP!A1,Form!D25:I41,17,FALSE),"%)")</f>
        <v>Bottom Line Discount in USD (%)</v>
      </c>
      <c r="BG91" s="856"/>
      <c r="BH91" s="856"/>
      <c r="BI91" s="856"/>
      <c r="BJ91" s="856"/>
      <c r="BK91" s="856"/>
      <c r="BL91" s="856"/>
      <c r="BM91" s="856"/>
      <c r="BN91" s="856"/>
      <c r="BO91" s="856"/>
      <c r="BP91" s="714">
        <v>0</v>
      </c>
      <c r="BQ91" s="714"/>
      <c r="BR91" s="738"/>
      <c r="BS91" s="738"/>
      <c r="BT91" s="719"/>
      <c r="BU91" s="753" t="s">
        <v>539</v>
      </c>
      <c r="BV91" s="738"/>
      <c r="BW91" s="738" t="s">
        <v>542</v>
      </c>
      <c r="BX91" s="738">
        <f>ROUND(BX90/100000,2)</f>
        <v>0</v>
      </c>
      <c r="BY91" s="719"/>
      <c r="BZ91" s="738"/>
      <c r="CA91" s="743"/>
      <c r="CB91" s="728"/>
      <c r="CC91" s="4"/>
      <c r="CD91" s="4"/>
      <c r="CE91" s="4"/>
      <c r="CF91" s="4"/>
      <c r="CG91" s="4"/>
      <c r="CH91" s="4"/>
      <c r="CI91" s="4"/>
    </row>
    <row r="92" spans="1:96" s="579" customFormat="1" ht="45" x14ac:dyDescent="0.25">
      <c r="A92" s="10"/>
      <c r="B92" s="730"/>
      <c r="C92" s="10"/>
      <c r="D92" s="10"/>
      <c r="E92" s="10"/>
      <c r="F92" s="10"/>
      <c r="G92" s="10"/>
      <c r="H92" s="99"/>
      <c r="I92" s="99"/>
      <c r="J92" s="731"/>
      <c r="K92" s="19"/>
      <c r="L92" s="19"/>
      <c r="M92" s="19"/>
      <c r="N92" s="731"/>
      <c r="O92" s="100"/>
      <c r="P92" s="19"/>
      <c r="Q92" s="19"/>
      <c r="R92" s="19"/>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4"/>
      <c r="AY92" s="740"/>
      <c r="AZ92" s="740"/>
      <c r="BA92" s="740"/>
      <c r="BB92" s="740"/>
      <c r="BC92" s="740"/>
      <c r="BD92" s="740"/>
      <c r="BE92" s="741"/>
      <c r="BF92" s="855" t="str">
        <f>IF(BX91=0,"Saving in USD","Total after discount in USD")</f>
        <v>Saving in USD</v>
      </c>
      <c r="BG92" s="856"/>
      <c r="BH92" s="856"/>
      <c r="BI92" s="856"/>
      <c r="BJ92" s="856"/>
      <c r="BK92" s="856"/>
      <c r="BL92" s="856"/>
      <c r="BM92" s="856"/>
      <c r="BN92" s="856"/>
      <c r="BO92" s="856"/>
      <c r="BP92" s="714"/>
      <c r="BQ92" s="714"/>
      <c r="BR92" s="18"/>
      <c r="BS92" s="18"/>
      <c r="BT92" s="720"/>
      <c r="BU92" s="742"/>
      <c r="BV92" s="752"/>
      <c r="BW92" s="18"/>
      <c r="BX92" s="744"/>
      <c r="BY92" s="720"/>
      <c r="BZ92" s="18"/>
      <c r="CA92" s="722"/>
      <c r="CB92" s="728"/>
      <c r="CC92" s="4"/>
      <c r="CD92" s="4"/>
      <c r="CE92" s="4"/>
      <c r="CF92" s="4"/>
      <c r="CG92" s="4"/>
      <c r="CH92" s="4"/>
      <c r="CI92" s="4"/>
    </row>
    <row r="93" spans="1:96" s="579" customFormat="1" ht="45" x14ac:dyDescent="0.25">
      <c r="A93" s="10"/>
      <c r="B93" s="848"/>
      <c r="C93" s="848"/>
      <c r="D93" s="848"/>
      <c r="E93" s="848"/>
      <c r="F93" s="848"/>
      <c r="G93" s="849"/>
      <c r="H93" s="848"/>
      <c r="I93" s="848"/>
      <c r="J93" s="848"/>
      <c r="K93" s="848"/>
      <c r="L93" s="848"/>
      <c r="M93" s="848"/>
      <c r="N93" s="848"/>
      <c r="O93" s="848"/>
      <c r="P93" s="848"/>
      <c r="Q93" s="848"/>
      <c r="R93" s="848"/>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745"/>
      <c r="AW93" s="745"/>
      <c r="AX93" s="4"/>
      <c r="AY93" s="740"/>
      <c r="AZ93" s="740"/>
      <c r="BA93" s="740"/>
      <c r="BB93" s="740"/>
      <c r="BC93" s="740"/>
      <c r="BD93" s="740"/>
      <c r="BE93" s="741"/>
      <c r="BF93" s="855" t="str">
        <f>" Basic Total Cost in INR @ 1USD = "&amp;ROUND(Form!D10,2)&amp;" INR  =(A) "</f>
        <v xml:space="preserve"> Basic Total Cost in INR @ 1USD = 82.78 INR  =(A) </v>
      </c>
      <c r="BG93" s="856"/>
      <c r="BH93" s="856"/>
      <c r="BI93" s="856"/>
      <c r="BJ93" s="856"/>
      <c r="BK93" s="856"/>
      <c r="BL93" s="856"/>
      <c r="BM93" s="856"/>
      <c r="BN93" s="856"/>
      <c r="BO93" s="856"/>
      <c r="BP93" s="116">
        <f>ROUND(BP90*Form!D10,2)</f>
        <v>74049385.450000003</v>
      </c>
      <c r="BQ93" s="116">
        <f>ROUND(BQ90*Form!D10,2)</f>
        <v>89209787.5</v>
      </c>
      <c r="BR93" s="740"/>
      <c r="BS93" s="740"/>
      <c r="BT93" s="746"/>
      <c r="BU93" s="742"/>
      <c r="BV93" s="116">
        <f>ROUND(BV90*Form!D10,2)</f>
        <v>0</v>
      </c>
      <c r="BW93" s="742"/>
      <c r="BX93" s="739"/>
      <c r="BY93" s="746"/>
      <c r="BZ93" s="740"/>
      <c r="CA93" s="747"/>
      <c r="CB93" s="748"/>
      <c r="CC93" s="4"/>
      <c r="CD93" s="4"/>
      <c r="CE93" s="4"/>
      <c r="CF93" s="4"/>
      <c r="CG93" s="4"/>
      <c r="CH93" s="4"/>
      <c r="CI93" s="4"/>
    </row>
    <row r="94" spans="1:96" s="579" customFormat="1" ht="45" x14ac:dyDescent="0.25">
      <c r="A94" s="4"/>
      <c r="B94" s="848"/>
      <c r="C94" s="848"/>
      <c r="D94" s="848"/>
      <c r="E94" s="848"/>
      <c r="F94" s="848"/>
      <c r="G94" s="849"/>
      <c r="H94" s="848"/>
      <c r="I94" s="848"/>
      <c r="J94" s="848"/>
      <c r="K94" s="848"/>
      <c r="L94" s="848"/>
      <c r="M94" s="848"/>
      <c r="N94" s="848"/>
      <c r="O94" s="848"/>
      <c r="P94" s="848"/>
      <c r="Q94" s="848"/>
      <c r="R94" s="848"/>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4"/>
      <c r="AY94" s="749"/>
      <c r="AZ94" s="749"/>
      <c r="BA94" s="749"/>
      <c r="BB94" s="749"/>
      <c r="BC94" s="749"/>
      <c r="BD94" s="749"/>
      <c r="BE94" s="737"/>
      <c r="BF94" s="855" t="s">
        <v>83</v>
      </c>
      <c r="BG94" s="856"/>
      <c r="BH94" s="856"/>
      <c r="BI94" s="856"/>
      <c r="BJ94" s="856"/>
      <c r="BK94" s="856"/>
      <c r="BL94" s="856"/>
      <c r="BM94" s="856"/>
      <c r="BN94" s="856"/>
      <c r="BO94" s="856"/>
      <c r="BP94" s="116">
        <f>ROUND(BP93*100%,2)</f>
        <v>74049385.450000003</v>
      </c>
      <c r="BQ94" s="116">
        <f>ROUND(BQ93*100%,2)</f>
        <v>89209787.5</v>
      </c>
      <c r="BR94" s="740"/>
      <c r="BS94" s="740"/>
      <c r="BT94" s="740"/>
      <c r="BU94" s="742"/>
      <c r="BV94" s="116">
        <f>ROUND(BV93*100%,2)</f>
        <v>0</v>
      </c>
      <c r="BW94" s="742"/>
      <c r="BX94" s="739"/>
      <c r="BY94" s="740"/>
      <c r="BZ94" s="740"/>
      <c r="CA94" s="750"/>
      <c r="CB94" s="751"/>
      <c r="CC94" s="4"/>
      <c r="CD94" s="4"/>
      <c r="CE94" s="4"/>
      <c r="CF94" s="4"/>
      <c r="CG94" s="4"/>
      <c r="CH94" s="4"/>
      <c r="CI94" s="4"/>
    </row>
    <row r="95" spans="1:96" s="579" customFormat="1" ht="45" x14ac:dyDescent="0.25">
      <c r="A95" s="4"/>
      <c r="B95" s="848"/>
      <c r="C95" s="848"/>
      <c r="D95" s="848"/>
      <c r="E95" s="848"/>
      <c r="F95" s="848"/>
      <c r="G95" s="849"/>
      <c r="H95" s="848"/>
      <c r="I95" s="848"/>
      <c r="J95" s="848"/>
      <c r="K95" s="848"/>
      <c r="L95" s="848"/>
      <c r="M95" s="848"/>
      <c r="N95" s="848"/>
      <c r="O95" s="848"/>
      <c r="P95" s="848"/>
      <c r="Q95" s="848"/>
      <c r="R95" s="848"/>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4"/>
      <c r="AY95" s="749"/>
      <c r="AZ95" s="749"/>
      <c r="BA95" s="749"/>
      <c r="BB95" s="749"/>
      <c r="BC95" s="749"/>
      <c r="BD95" s="749"/>
      <c r="BE95" s="737"/>
      <c r="BF95" s="855" t="s">
        <v>84</v>
      </c>
      <c r="BG95" s="856"/>
      <c r="BH95" s="856"/>
      <c r="BI95" s="856"/>
      <c r="BJ95" s="856"/>
      <c r="BK95" s="856"/>
      <c r="BL95" s="856"/>
      <c r="BM95" s="856"/>
      <c r="BN95" s="856"/>
      <c r="BO95" s="856"/>
      <c r="BP95" s="116">
        <f>ROUND(BP94*10%,2)</f>
        <v>7404938.5499999998</v>
      </c>
      <c r="BQ95" s="116">
        <f>ROUND(BQ94*10%,2)</f>
        <v>8920978.75</v>
      </c>
      <c r="BR95" s="740"/>
      <c r="BS95" s="740"/>
      <c r="BT95" s="740"/>
      <c r="BU95" s="742"/>
      <c r="BV95" s="116">
        <f>ROUND(BV94*10%,2)</f>
        <v>0</v>
      </c>
      <c r="BW95" s="742"/>
      <c r="BX95" s="739"/>
      <c r="BY95" s="740"/>
      <c r="BZ95" s="740"/>
      <c r="CA95" s="750"/>
      <c r="CB95" s="751"/>
      <c r="CC95" s="4"/>
      <c r="CD95" s="4"/>
      <c r="CE95" s="4"/>
      <c r="CF95" s="4"/>
      <c r="CG95" s="4"/>
      <c r="CH95" s="4"/>
      <c r="CI95" s="4"/>
    </row>
    <row r="96" spans="1:96" s="579" customFormat="1" ht="45" x14ac:dyDescent="0.25">
      <c r="A96" s="4"/>
      <c r="B96" s="730"/>
      <c r="C96" s="19"/>
      <c r="D96" s="19"/>
      <c r="E96" s="19"/>
      <c r="F96" s="19"/>
      <c r="G96" s="19"/>
      <c r="H96" s="18"/>
      <c r="I96" s="18"/>
      <c r="J96" s="18"/>
      <c r="K96" s="731"/>
      <c r="L96" s="19"/>
      <c r="M96" s="19"/>
      <c r="N96" s="19"/>
      <c r="O96" s="19"/>
      <c r="P96" s="19"/>
      <c r="Q96" s="19"/>
      <c r="R96" s="19"/>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4"/>
      <c r="AY96" s="740"/>
      <c r="AZ96" s="740"/>
      <c r="BA96" s="740"/>
      <c r="BB96" s="740"/>
      <c r="BC96" s="740"/>
      <c r="BD96" s="740"/>
      <c r="BE96" s="741"/>
      <c r="BF96" s="855" t="s">
        <v>85</v>
      </c>
      <c r="BG96" s="856"/>
      <c r="BH96" s="856"/>
      <c r="BI96" s="856"/>
      <c r="BJ96" s="856"/>
      <c r="BK96" s="856"/>
      <c r="BL96" s="856"/>
      <c r="BM96" s="856"/>
      <c r="BN96" s="856"/>
      <c r="BO96" s="856"/>
      <c r="BP96" s="116">
        <f>ROUND(BP95*10%,2)</f>
        <v>740493.86</v>
      </c>
      <c r="BQ96" s="116">
        <f>ROUND(BQ95*10%,2)</f>
        <v>892097.88</v>
      </c>
      <c r="BR96" s="740"/>
      <c r="BS96" s="740"/>
      <c r="BT96" s="740"/>
      <c r="BU96" s="742"/>
      <c r="BV96" s="116">
        <f>ROUND(BV95*10%,2)</f>
        <v>0</v>
      </c>
      <c r="BW96" s="742"/>
      <c r="BX96" s="739"/>
      <c r="BY96" s="740"/>
      <c r="BZ96" s="740"/>
      <c r="CA96" s="750"/>
      <c r="CB96" s="751"/>
      <c r="CC96" s="4"/>
      <c r="CD96" s="4"/>
      <c r="CE96" s="4"/>
      <c r="CF96" s="4"/>
      <c r="CG96" s="4"/>
      <c r="CH96" s="4"/>
      <c r="CI96" s="4"/>
    </row>
    <row r="97" spans="1:87" s="579" customFormat="1" ht="45" x14ac:dyDescent="0.25">
      <c r="A97" s="4"/>
      <c r="B97" s="730"/>
      <c r="C97" s="19"/>
      <c r="D97" s="19"/>
      <c r="E97" s="19"/>
      <c r="F97" s="19"/>
      <c r="G97" s="19"/>
      <c r="H97" s="18"/>
      <c r="I97" s="18"/>
      <c r="J97" s="18"/>
      <c r="K97" s="731"/>
      <c r="L97" s="19"/>
      <c r="M97" s="19"/>
      <c r="N97" s="19"/>
      <c r="O97" s="19"/>
      <c r="P97" s="19"/>
      <c r="Q97" s="19"/>
      <c r="R97" s="19"/>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675"/>
      <c r="AV97" s="675"/>
      <c r="AW97" s="675"/>
      <c r="AX97" s="4"/>
      <c r="AY97" s="749"/>
      <c r="AZ97" s="749"/>
      <c r="BA97" s="749"/>
      <c r="BB97" s="749"/>
      <c r="BC97" s="749"/>
      <c r="BD97" s="749"/>
      <c r="BE97" s="737"/>
      <c r="BF97" s="855" t="s">
        <v>145</v>
      </c>
      <c r="BG97" s="856"/>
      <c r="BH97" s="856"/>
      <c r="BI97" s="856"/>
      <c r="BJ97" s="856"/>
      <c r="BK97" s="856"/>
      <c r="BL97" s="856"/>
      <c r="BM97" s="856"/>
      <c r="BN97" s="856"/>
      <c r="BO97" s="856"/>
      <c r="BP97" s="116">
        <f>ROUND((BP94+BP95+BP96)*18%,2)</f>
        <v>14795067.210000001</v>
      </c>
      <c r="BQ97" s="116">
        <f>ROUND((BQ94+BQ95+BQ96)*18%,2)</f>
        <v>17824115.539999999</v>
      </c>
      <c r="BR97" s="740"/>
      <c r="BS97" s="740"/>
      <c r="BT97" s="740"/>
      <c r="BU97" s="742"/>
      <c r="BV97" s="116">
        <f>ROUND((BV94+BV95+BV96)*18%,2)</f>
        <v>0</v>
      </c>
      <c r="BW97" s="742"/>
      <c r="BX97" s="739"/>
      <c r="BY97" s="740"/>
      <c r="BZ97" s="740"/>
      <c r="CA97" s="750"/>
      <c r="CB97" s="751"/>
      <c r="CC97" s="4"/>
      <c r="CD97" s="4"/>
      <c r="CE97" s="4"/>
      <c r="CF97" s="4"/>
      <c r="CG97" s="4"/>
      <c r="CH97" s="4"/>
      <c r="CI97" s="4"/>
    </row>
    <row r="98" spans="1:87" s="579" customFormat="1" ht="45" x14ac:dyDescent="0.25">
      <c r="A98" s="4"/>
      <c r="B98" s="730"/>
      <c r="C98" s="19"/>
      <c r="D98" s="19"/>
      <c r="E98" s="19"/>
      <c r="F98" s="19"/>
      <c r="G98" s="19"/>
      <c r="H98" s="18"/>
      <c r="I98" s="18"/>
      <c r="J98" s="18"/>
      <c r="K98" s="731"/>
      <c r="L98" s="19"/>
      <c r="M98" s="19"/>
      <c r="N98" s="19"/>
      <c r="O98" s="19"/>
      <c r="P98" s="19"/>
      <c r="Q98" s="19"/>
      <c r="R98" s="19"/>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4"/>
      <c r="AY98" s="749"/>
      <c r="AZ98" s="749"/>
      <c r="BA98" s="749"/>
      <c r="BB98" s="749"/>
      <c r="BC98" s="749"/>
      <c r="BD98" s="749"/>
      <c r="BE98" s="737"/>
      <c r="BF98" s="855" t="s">
        <v>87</v>
      </c>
      <c r="BG98" s="856"/>
      <c r="BH98" s="856"/>
      <c r="BI98" s="856"/>
      <c r="BJ98" s="856"/>
      <c r="BK98" s="856"/>
      <c r="BL98" s="856"/>
      <c r="BM98" s="856"/>
      <c r="BN98" s="856"/>
      <c r="BO98" s="856"/>
      <c r="BP98" s="116">
        <f>BP95+BP96+BP97</f>
        <v>22940499.620000001</v>
      </c>
      <c r="BQ98" s="116">
        <f>BQ95+BQ96+BQ97</f>
        <v>27637192.170000002</v>
      </c>
      <c r="BR98" s="740"/>
      <c r="BS98" s="740"/>
      <c r="BT98" s="740"/>
      <c r="BU98" s="742"/>
      <c r="BV98" s="116">
        <f>BV95+BV96+BV97</f>
        <v>0</v>
      </c>
      <c r="BW98" s="742"/>
      <c r="BX98" s="739"/>
      <c r="BY98" s="740"/>
      <c r="BZ98" s="740"/>
      <c r="CA98" s="750"/>
      <c r="CB98" s="751"/>
      <c r="CC98" s="4"/>
      <c r="CD98" s="4"/>
      <c r="CE98" s="4"/>
      <c r="CF98" s="4"/>
      <c r="CG98" s="4"/>
      <c r="CH98" s="4"/>
      <c r="CI98" s="4"/>
    </row>
    <row r="99" spans="1:87" s="579" customFormat="1" ht="45" x14ac:dyDescent="0.25">
      <c r="A99" s="4"/>
      <c r="B99" s="730"/>
      <c r="C99" s="19"/>
      <c r="D99" s="19"/>
      <c r="E99" s="19"/>
      <c r="F99" s="19"/>
      <c r="G99" s="19"/>
      <c r="H99" s="18"/>
      <c r="I99" s="18"/>
      <c r="J99" s="18"/>
      <c r="K99" s="731"/>
      <c r="L99" s="19"/>
      <c r="M99" s="19"/>
      <c r="N99" s="19"/>
      <c r="O99" s="19"/>
      <c r="P99" s="19"/>
      <c r="Q99" s="19"/>
      <c r="R99" s="19"/>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4"/>
      <c r="AY99" s="749"/>
      <c r="AZ99" s="749"/>
      <c r="BA99" s="749"/>
      <c r="BB99" s="749"/>
      <c r="BC99" s="749"/>
      <c r="BD99" s="749"/>
      <c r="BE99" s="737"/>
      <c r="BF99" s="857" t="s">
        <v>88</v>
      </c>
      <c r="BG99" s="858"/>
      <c r="BH99" s="858"/>
      <c r="BI99" s="858"/>
      <c r="BJ99" s="858"/>
      <c r="BK99" s="858"/>
      <c r="BL99" s="858"/>
      <c r="BM99" s="858"/>
      <c r="BN99" s="858"/>
      <c r="BO99" s="858"/>
      <c r="BP99" s="116">
        <f>ROUND(BP93*1.26%,2)</f>
        <v>933022.26</v>
      </c>
      <c r="BQ99" s="116">
        <f>ROUND(BQ93*1.26%,2)</f>
        <v>1124043.32</v>
      </c>
      <c r="BR99" s="740"/>
      <c r="BS99" s="740"/>
      <c r="BT99" s="740"/>
      <c r="BU99" s="742"/>
      <c r="BV99" s="116">
        <f>ROUND(BV93*1.26%,2)</f>
        <v>0</v>
      </c>
      <c r="BW99" s="742"/>
      <c r="BX99" s="739"/>
      <c r="BY99" s="740"/>
      <c r="BZ99" s="740"/>
      <c r="CA99" s="750"/>
      <c r="CB99" s="751"/>
      <c r="CC99" s="4"/>
      <c r="CD99" s="4"/>
      <c r="CE99" s="4"/>
      <c r="CF99" s="4"/>
      <c r="CG99" s="4"/>
      <c r="CH99" s="4"/>
      <c r="CI99" s="4"/>
    </row>
    <row r="100" spans="1:87" s="579" customFormat="1" ht="45" x14ac:dyDescent="0.25">
      <c r="A100" s="4"/>
      <c r="B100" s="730"/>
      <c r="C100" s="19"/>
      <c r="D100" s="19"/>
      <c r="E100" s="19"/>
      <c r="F100" s="19"/>
      <c r="G100" s="19"/>
      <c r="H100" s="18"/>
      <c r="I100" s="18"/>
      <c r="J100" s="18"/>
      <c r="K100" s="731"/>
      <c r="L100" s="19"/>
      <c r="M100" s="19"/>
      <c r="N100" s="19"/>
      <c r="O100" s="19"/>
      <c r="P100" s="19"/>
      <c r="Q100" s="19"/>
      <c r="R100" s="19"/>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4"/>
      <c r="AY100" s="749"/>
      <c r="AZ100" s="749"/>
      <c r="BA100" s="749"/>
      <c r="BB100" s="749"/>
      <c r="BC100" s="749"/>
      <c r="BD100" s="749"/>
      <c r="BE100" s="737"/>
      <c r="BF100" s="857" t="s">
        <v>89</v>
      </c>
      <c r="BG100" s="858"/>
      <c r="BH100" s="858"/>
      <c r="BI100" s="858"/>
      <c r="BJ100" s="858"/>
      <c r="BK100" s="858"/>
      <c r="BL100" s="858"/>
      <c r="BM100" s="858"/>
      <c r="BN100" s="858"/>
      <c r="BO100" s="858"/>
      <c r="BP100" s="116">
        <f>BP93+BP98+BP99</f>
        <v>97922907.330000013</v>
      </c>
      <c r="BQ100" s="116">
        <f>BQ93+BQ98+BQ99</f>
        <v>117971022.98999999</v>
      </c>
      <c r="BR100" s="740"/>
      <c r="BS100" s="740"/>
      <c r="BT100" s="740"/>
      <c r="BU100" s="742"/>
      <c r="BV100" s="116">
        <f>BV93+BV98+BV99</f>
        <v>0</v>
      </c>
      <c r="BW100" s="742"/>
      <c r="BX100" s="739"/>
      <c r="BY100" s="740"/>
      <c r="BZ100" s="740"/>
      <c r="CA100" s="750"/>
      <c r="CB100" s="751"/>
      <c r="CC100" s="4"/>
      <c r="CD100" s="4"/>
      <c r="CE100" s="4"/>
      <c r="CF100" s="4"/>
      <c r="CG100" s="4"/>
      <c r="CH100" s="4"/>
      <c r="CI100" s="4"/>
    </row>
    <row r="101" spans="1:87" s="579" customFormat="1" ht="45" x14ac:dyDescent="0.25">
      <c r="A101" s="4"/>
      <c r="B101" s="730"/>
      <c r="C101" s="19"/>
      <c r="D101" s="19"/>
      <c r="E101" s="19"/>
      <c r="F101" s="19"/>
      <c r="G101" s="19"/>
      <c r="H101" s="18"/>
      <c r="I101" s="18"/>
      <c r="J101" s="18"/>
      <c r="K101" s="731"/>
      <c r="L101" s="19"/>
      <c r="M101" s="19"/>
      <c r="N101" s="19"/>
      <c r="O101" s="19"/>
      <c r="P101" s="19"/>
      <c r="Q101" s="19"/>
      <c r="R101" s="19"/>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4"/>
      <c r="AY101" s="749"/>
      <c r="AZ101" s="749"/>
      <c r="BA101" s="749"/>
      <c r="BB101" s="749"/>
      <c r="BC101" s="749"/>
      <c r="BD101" s="749"/>
      <c r="BE101" s="4"/>
      <c r="BF101" s="858" t="s">
        <v>90</v>
      </c>
      <c r="BG101" s="858"/>
      <c r="BH101" s="858"/>
      <c r="BI101" s="858"/>
      <c r="BJ101" s="858"/>
      <c r="BK101" s="858"/>
      <c r="BL101" s="858"/>
      <c r="BM101" s="858"/>
      <c r="BN101" s="858"/>
      <c r="BO101" s="858"/>
      <c r="BP101" s="116">
        <f>ROUND(BP100/100000,2)</f>
        <v>979.23</v>
      </c>
      <c r="BQ101" s="116">
        <f>ROUND(BQ100/100000,2)</f>
        <v>1179.71</v>
      </c>
      <c r="BR101" s="740"/>
      <c r="BS101" s="740"/>
      <c r="BT101" s="740"/>
      <c r="BU101" s="742"/>
      <c r="BV101" s="116">
        <f>ROUND(BV100/100000,2)</f>
        <v>0</v>
      </c>
      <c r="BW101" s="742"/>
      <c r="BX101" s="739"/>
      <c r="BY101" s="740"/>
      <c r="BZ101" s="740"/>
      <c r="CA101" s="750"/>
      <c r="CB101" s="751"/>
      <c r="CC101" s="4"/>
      <c r="CD101" s="4"/>
      <c r="CE101" s="4"/>
      <c r="CF101" s="4"/>
      <c r="CG101" s="4"/>
      <c r="CH101" s="4"/>
      <c r="CI101" s="4"/>
    </row>
    <row r="102" spans="1:87" ht="18" x14ac:dyDescent="0.25">
      <c r="C102" s="512"/>
      <c r="D102" s="512"/>
      <c r="E102" s="512"/>
      <c r="F102" s="512"/>
      <c r="G102" s="564"/>
      <c r="H102" s="489"/>
      <c r="I102" s="489"/>
      <c r="J102" s="489"/>
      <c r="K102" s="514"/>
      <c r="L102" s="512"/>
      <c r="M102" s="512"/>
      <c r="N102" s="512"/>
      <c r="O102" s="512"/>
      <c r="P102" s="512"/>
      <c r="Q102" s="512"/>
      <c r="R102" s="512"/>
      <c r="S102" s="515"/>
      <c r="T102" s="515"/>
      <c r="U102" s="515"/>
      <c r="V102" s="515"/>
      <c r="W102" s="515"/>
      <c r="X102" s="515"/>
      <c r="Y102" s="515"/>
      <c r="Z102" s="515"/>
      <c r="AA102" s="515"/>
      <c r="AB102" s="515"/>
      <c r="AC102" s="515"/>
      <c r="AD102" s="515"/>
      <c r="AE102" s="515"/>
      <c r="AF102" s="515"/>
      <c r="AG102" s="515"/>
      <c r="AH102" s="515"/>
      <c r="AI102" s="515"/>
      <c r="AJ102" s="515"/>
      <c r="AK102" s="515"/>
      <c r="AL102" s="515"/>
      <c r="AM102" s="515"/>
      <c r="AN102" s="515"/>
      <c r="AO102" s="515"/>
      <c r="AP102" s="515"/>
      <c r="AQ102" s="515"/>
      <c r="AR102" s="515"/>
      <c r="AS102" s="515"/>
      <c r="AT102" s="515"/>
      <c r="AU102" s="515"/>
      <c r="AV102" s="515"/>
      <c r="AW102" s="515"/>
      <c r="AX102" s="515"/>
      <c r="AZ102" s="512"/>
      <c r="BA102" s="512"/>
      <c r="BB102" s="512"/>
      <c r="BC102" s="512"/>
      <c r="BD102" s="512"/>
      <c r="BE102" s="226"/>
      <c r="BF102" s="226"/>
      <c r="BG102" s="226"/>
      <c r="BH102" s="765"/>
      <c r="BI102" s="226"/>
      <c r="BJ102" s="226"/>
      <c r="BK102" s="226"/>
      <c r="BL102" s="226"/>
      <c r="BM102" s="765"/>
      <c r="BN102" s="226"/>
      <c r="BO102" s="517"/>
      <c r="BP102" s="518"/>
      <c r="BQ102" s="518"/>
      <c r="BR102" s="518"/>
      <c r="BS102" s="518"/>
      <c r="BT102" s="518"/>
      <c r="CA102" s="444"/>
      <c r="CB102" s="444"/>
      <c r="CD102" s="444"/>
      <c r="CE102" s="444"/>
    </row>
    <row r="103" spans="1:87" s="4" customFormat="1" ht="21.75" x14ac:dyDescent="0.25">
      <c r="B103" s="519"/>
      <c r="C103" s="19"/>
      <c r="D103" s="19"/>
      <c r="E103" s="19"/>
      <c r="F103" s="565" t="s">
        <v>508</v>
      </c>
      <c r="G103" s="564"/>
      <c r="H103" s="489"/>
      <c r="I103" s="489"/>
      <c r="J103" s="489"/>
      <c r="K103" s="514"/>
      <c r="L103" s="512"/>
      <c r="M103" s="512"/>
      <c r="N103" s="512"/>
      <c r="O103" s="513"/>
      <c r="P103" s="515"/>
      <c r="Q103" s="515"/>
      <c r="R103" s="515"/>
      <c r="S103" s="515"/>
      <c r="T103" s="515"/>
      <c r="U103" s="515"/>
      <c r="V103" s="515"/>
      <c r="W103" s="515"/>
      <c r="X103" s="515"/>
      <c r="Y103" s="515"/>
      <c r="Z103" s="515"/>
      <c r="AA103" s="515"/>
      <c r="AB103" s="515"/>
      <c r="AC103" s="515"/>
      <c r="AD103" s="515"/>
      <c r="AE103" s="515"/>
      <c r="AF103" s="515"/>
      <c r="AG103" s="515"/>
      <c r="AH103" s="515"/>
      <c r="AI103" s="515"/>
      <c r="AJ103" s="515"/>
      <c r="AK103" s="515"/>
      <c r="AL103" s="515"/>
      <c r="AM103" s="515"/>
      <c r="AN103" s="515"/>
      <c r="AO103" s="515"/>
      <c r="AP103" s="515"/>
      <c r="AQ103" s="515"/>
      <c r="AR103" s="515"/>
      <c r="AS103" s="515"/>
      <c r="AT103" s="515"/>
      <c r="AU103" s="515"/>
      <c r="AV103" s="515"/>
      <c r="AW103" s="515"/>
      <c r="AX103" s="515"/>
      <c r="AZ103" s="19"/>
      <c r="BA103" s="512"/>
      <c r="BB103" s="19"/>
      <c r="BC103" s="19"/>
      <c r="BD103" s="19"/>
      <c r="BE103" s="443"/>
      <c r="BF103" s="443"/>
      <c r="BG103" s="443"/>
      <c r="BH103" s="766"/>
      <c r="BI103" s="443"/>
      <c r="BJ103" s="443"/>
      <c r="BK103" s="443"/>
      <c r="BL103" s="443"/>
      <c r="BM103" s="766"/>
      <c r="BN103" s="443"/>
      <c r="BO103" s="520"/>
      <c r="BP103" s="117"/>
      <c r="BQ103" s="117"/>
      <c r="BR103" s="117"/>
      <c r="BS103" s="117"/>
      <c r="BT103" s="117"/>
      <c r="BU103" s="521"/>
      <c r="BV103" s="521"/>
      <c r="BW103" s="521"/>
    </row>
    <row r="104" spans="1:87" s="4" customFormat="1" ht="18" x14ac:dyDescent="0.25">
      <c r="B104" s="519"/>
      <c r="C104" s="19"/>
      <c r="D104" s="19"/>
      <c r="E104" s="19"/>
      <c r="F104" s="553" t="s">
        <v>507</v>
      </c>
      <c r="G104" s="564"/>
      <c r="H104" s="489"/>
      <c r="I104" s="489"/>
      <c r="J104" s="489"/>
      <c r="K104" s="514"/>
      <c r="L104" s="512"/>
      <c r="M104" s="512"/>
      <c r="N104" s="512"/>
      <c r="O104" s="512"/>
      <c r="P104" s="515"/>
      <c r="Q104" s="515"/>
      <c r="R104" s="515"/>
      <c r="S104" s="515"/>
      <c r="T104" s="515"/>
      <c r="U104" s="515"/>
      <c r="V104" s="515"/>
      <c r="W104" s="515"/>
      <c r="X104" s="515"/>
      <c r="Y104" s="515"/>
      <c r="Z104" s="515"/>
      <c r="AA104" s="515"/>
      <c r="AB104" s="515"/>
      <c r="AC104" s="515"/>
      <c r="AD104" s="515"/>
      <c r="AE104" s="515"/>
      <c r="AF104" s="515"/>
      <c r="AG104" s="515"/>
      <c r="AH104" s="515"/>
      <c r="AI104" s="515"/>
      <c r="AJ104" s="515"/>
      <c r="AK104" s="515"/>
      <c r="AL104" s="515"/>
      <c r="AM104" s="515"/>
      <c r="AN104" s="515"/>
      <c r="AO104" s="515"/>
      <c r="AP104" s="515"/>
      <c r="AQ104" s="515"/>
      <c r="AR104" s="515"/>
      <c r="AS104" s="515"/>
      <c r="AT104" s="515"/>
      <c r="AU104" s="515"/>
      <c r="AV104" s="515"/>
      <c r="AW104" s="515"/>
      <c r="AX104" s="515"/>
      <c r="AZ104" s="19"/>
      <c r="BA104" s="512"/>
      <c r="BB104" s="19"/>
      <c r="BC104" s="19"/>
      <c r="BD104" s="19"/>
      <c r="BE104" s="443"/>
      <c r="BF104" s="443"/>
      <c r="BG104" s="443"/>
      <c r="BH104" s="766"/>
      <c r="BI104" s="443"/>
      <c r="BJ104" s="443"/>
      <c r="BK104" s="443"/>
      <c r="BL104" s="443"/>
      <c r="BM104" s="766"/>
      <c r="BN104" s="443"/>
      <c r="BO104" s="520"/>
      <c r="BP104" s="117"/>
      <c r="BQ104" s="117"/>
      <c r="BR104" s="117"/>
      <c r="BS104" s="117"/>
      <c r="BT104" s="117"/>
      <c r="BU104" s="521"/>
      <c r="BV104" s="521"/>
      <c r="BW104" s="521"/>
    </row>
    <row r="105" spans="1:87" s="521" customFormat="1" ht="21.75" x14ac:dyDescent="0.25">
      <c r="A105" s="4"/>
      <c r="B105" s="519"/>
      <c r="C105" s="19"/>
      <c r="D105" s="19"/>
      <c r="E105" s="19"/>
      <c r="F105" s="565" t="s">
        <v>509</v>
      </c>
      <c r="G105" s="564"/>
      <c r="H105" s="489"/>
      <c r="I105" s="489"/>
      <c r="J105" s="489"/>
      <c r="K105" s="514"/>
      <c r="L105" s="512"/>
      <c r="M105" s="512"/>
      <c r="N105" s="512"/>
      <c r="O105" s="513"/>
      <c r="P105" s="513"/>
      <c r="Q105" s="513"/>
      <c r="R105" s="515"/>
      <c r="S105" s="515"/>
      <c r="T105" s="515"/>
      <c r="U105" s="515"/>
      <c r="V105" s="515"/>
      <c r="W105" s="515"/>
      <c r="X105" s="515"/>
      <c r="Y105" s="515"/>
      <c r="Z105" s="515"/>
      <c r="AA105" s="515"/>
      <c r="AB105" s="515"/>
      <c r="AC105" s="515"/>
      <c r="AD105" s="515"/>
      <c r="AE105" s="515"/>
      <c r="AF105" s="515"/>
      <c r="AG105" s="515"/>
      <c r="AH105" s="515"/>
      <c r="AI105" s="515"/>
      <c r="AJ105" s="515"/>
      <c r="AK105" s="515"/>
      <c r="AL105" s="515"/>
      <c r="AM105" s="515"/>
      <c r="AN105" s="515"/>
      <c r="AO105" s="515"/>
      <c r="AP105" s="515"/>
      <c r="AQ105" s="515"/>
      <c r="AR105" s="515"/>
      <c r="AS105" s="515"/>
      <c r="AT105" s="515"/>
      <c r="AU105" s="515"/>
      <c r="AV105" s="515"/>
      <c r="AW105" s="515"/>
      <c r="AX105" s="515"/>
      <c r="AZ105" s="19"/>
      <c r="BA105" s="512"/>
      <c r="BB105" s="19"/>
      <c r="BC105" s="19"/>
      <c r="BD105" s="19"/>
      <c r="BE105" s="443"/>
      <c r="BF105" s="443"/>
      <c r="BG105" s="443"/>
      <c r="BH105" s="766"/>
      <c r="BI105" s="520"/>
      <c r="BJ105" s="443"/>
      <c r="BK105" s="443"/>
      <c r="BL105" s="443"/>
      <c r="BM105" s="766"/>
      <c r="BN105" s="443"/>
      <c r="BO105" s="520"/>
      <c r="BP105" s="117"/>
      <c r="BQ105" s="117"/>
      <c r="BR105" s="117"/>
      <c r="BS105" s="117"/>
      <c r="BT105" s="117"/>
      <c r="BX105" s="4"/>
      <c r="BY105" s="4"/>
      <c r="BZ105" s="4"/>
      <c r="CA105" s="4"/>
      <c r="CB105" s="4"/>
      <c r="CC105" s="4"/>
    </row>
    <row r="106" spans="1:87" s="513" customFormat="1" ht="21.75" x14ac:dyDescent="0.25">
      <c r="A106" s="444"/>
      <c r="B106" s="516"/>
      <c r="C106" s="512"/>
      <c r="F106" s="565" t="s">
        <v>526</v>
      </c>
      <c r="G106" s="564"/>
      <c r="H106" s="489"/>
      <c r="I106" s="489"/>
      <c r="J106" s="489"/>
      <c r="K106" s="514"/>
      <c r="L106" s="512"/>
      <c r="M106" s="512"/>
      <c r="N106" s="512"/>
      <c r="O106" s="512"/>
      <c r="P106" s="515"/>
      <c r="Q106" s="515"/>
      <c r="R106" s="515"/>
      <c r="S106" s="515"/>
      <c r="T106" s="515"/>
      <c r="U106" s="515"/>
      <c r="V106" s="515"/>
      <c r="W106" s="515"/>
      <c r="X106" s="515"/>
      <c r="Y106" s="515"/>
      <c r="Z106" s="515"/>
      <c r="AA106" s="515"/>
      <c r="AB106" s="515"/>
      <c r="AC106" s="515"/>
      <c r="AD106" s="515"/>
      <c r="AE106" s="515"/>
      <c r="AF106" s="515"/>
      <c r="AG106" s="515"/>
      <c r="AH106" s="515"/>
      <c r="AI106" s="515"/>
      <c r="AJ106" s="515"/>
      <c r="AK106" s="515"/>
      <c r="AL106" s="515"/>
      <c r="AM106" s="515"/>
      <c r="AN106" s="515"/>
      <c r="AO106" s="515"/>
      <c r="AP106" s="515"/>
      <c r="AQ106" s="515"/>
      <c r="AR106" s="515"/>
      <c r="AS106" s="515"/>
      <c r="AT106" s="515"/>
      <c r="AU106" s="512"/>
      <c r="AV106" s="512"/>
      <c r="AW106" s="512"/>
      <c r="AX106" s="512"/>
      <c r="BE106" s="512"/>
      <c r="BF106" s="512"/>
      <c r="BG106" s="512"/>
      <c r="BH106" s="767"/>
      <c r="BI106" s="512"/>
      <c r="BJ106" s="512"/>
      <c r="BK106" s="512"/>
      <c r="BM106" s="771"/>
      <c r="BX106" s="444"/>
      <c r="BY106" s="444"/>
      <c r="BZ106" s="444"/>
      <c r="CA106" s="444"/>
      <c r="CB106" s="444"/>
      <c r="CC106" s="444"/>
    </row>
    <row r="107" spans="1:87" s="513" customFormat="1" ht="21.75" x14ac:dyDescent="0.25">
      <c r="A107" s="444"/>
      <c r="B107" s="516"/>
      <c r="C107" s="512"/>
      <c r="F107" s="565" t="s">
        <v>527</v>
      </c>
      <c r="G107" s="564"/>
      <c r="H107" s="489"/>
      <c r="I107" s="489"/>
      <c r="J107" s="489"/>
      <c r="K107" s="514"/>
      <c r="L107" s="512"/>
      <c r="M107" s="512"/>
      <c r="N107" s="512"/>
      <c r="O107" s="512"/>
      <c r="P107" s="515"/>
      <c r="Q107" s="515"/>
      <c r="R107" s="515"/>
      <c r="S107" s="515"/>
      <c r="T107" s="515"/>
      <c r="U107" s="515"/>
      <c r="V107" s="515"/>
      <c r="W107" s="515"/>
      <c r="X107" s="515"/>
      <c r="Y107" s="515"/>
      <c r="Z107" s="515"/>
      <c r="AA107" s="515"/>
      <c r="AB107" s="515"/>
      <c r="AC107" s="515"/>
      <c r="AD107" s="515"/>
      <c r="AE107" s="515"/>
      <c r="AF107" s="515"/>
      <c r="AG107" s="515"/>
      <c r="AH107" s="515"/>
      <c r="AI107" s="515"/>
      <c r="AJ107" s="515"/>
      <c r="AK107" s="515"/>
      <c r="AL107" s="515"/>
      <c r="AM107" s="515"/>
      <c r="AN107" s="515"/>
      <c r="AO107" s="515"/>
      <c r="AP107" s="515"/>
      <c r="AQ107" s="515"/>
      <c r="AR107" s="515"/>
      <c r="AS107" s="515"/>
      <c r="AT107" s="515"/>
      <c r="AU107" s="512"/>
      <c r="AV107" s="512"/>
      <c r="AW107" s="512"/>
      <c r="AX107" s="512"/>
      <c r="BE107" s="512"/>
      <c r="BF107" s="512"/>
      <c r="BG107" s="512"/>
      <c r="BH107" s="767"/>
      <c r="BI107" s="512"/>
      <c r="BJ107" s="512"/>
      <c r="BK107" s="512"/>
      <c r="BM107" s="771"/>
      <c r="BX107" s="444"/>
      <c r="BY107" s="444"/>
      <c r="BZ107" s="444"/>
      <c r="CA107" s="444"/>
      <c r="CB107" s="444"/>
      <c r="CC107" s="444"/>
    </row>
    <row r="108" spans="1:87" s="513" customFormat="1" ht="20.25" x14ac:dyDescent="0.25">
      <c r="A108" s="228"/>
      <c r="B108" s="431"/>
      <c r="C108" s="557"/>
      <c r="D108" s="557"/>
      <c r="E108" s="228"/>
      <c r="F108" s="228"/>
      <c r="G108" s="563"/>
      <c r="H108" s="228"/>
      <c r="I108" s="228"/>
      <c r="J108" s="228"/>
      <c r="K108" s="444"/>
      <c r="L108" s="444"/>
      <c r="M108" s="444"/>
      <c r="N108" s="810"/>
      <c r="O108" s="810"/>
      <c r="P108" s="810"/>
      <c r="Q108" s="810"/>
      <c r="R108" s="810"/>
      <c r="S108" s="810"/>
      <c r="T108" s="810"/>
      <c r="U108" s="511"/>
      <c r="V108" s="444"/>
      <c r="W108" s="444"/>
      <c r="X108" s="444"/>
      <c r="Y108" s="444"/>
      <c r="Z108" s="444"/>
      <c r="AA108" s="444"/>
      <c r="AB108" s="444"/>
      <c r="AC108" s="444"/>
      <c r="AD108" s="444"/>
      <c r="AE108" s="444"/>
      <c r="AF108" s="444"/>
      <c r="AG108" s="444"/>
      <c r="AH108" s="444"/>
      <c r="AI108" s="444"/>
      <c r="AJ108" s="444"/>
      <c r="AK108" s="444"/>
      <c r="AL108" s="444"/>
      <c r="AM108" s="444"/>
      <c r="AN108" s="444"/>
      <c r="AO108" s="444"/>
      <c r="AP108" s="444"/>
      <c r="AQ108" s="444"/>
      <c r="AR108" s="444"/>
      <c r="AS108" s="444"/>
      <c r="AT108" s="444"/>
      <c r="AU108" s="444"/>
      <c r="AV108" s="444"/>
      <c r="AW108" s="444"/>
      <c r="AX108" s="228"/>
      <c r="AY108" s="228"/>
      <c r="AZ108" s="228"/>
      <c r="BA108" s="228"/>
      <c r="BH108" s="810"/>
      <c r="BI108" s="810"/>
      <c r="BJ108" s="810"/>
      <c r="BK108" s="810"/>
      <c r="BM108" s="810"/>
      <c r="BN108" s="810"/>
      <c r="BO108" s="810"/>
      <c r="BS108" s="810"/>
      <c r="BT108" s="810"/>
      <c r="BU108" s="810"/>
      <c r="BV108" s="810"/>
      <c r="BW108" s="810"/>
      <c r="BX108" s="810"/>
      <c r="BY108" s="810"/>
      <c r="BZ108" s="524"/>
      <c r="CA108" s="444"/>
      <c r="CB108" s="444"/>
      <c r="CC108" s="444"/>
    </row>
    <row r="109" spans="1:87" s="513" customFormat="1" ht="20.25" x14ac:dyDescent="0.25">
      <c r="A109" s="228"/>
      <c r="B109" s="431"/>
      <c r="C109" s="557"/>
      <c r="D109" s="557"/>
      <c r="E109" s="228"/>
      <c r="F109" s="228"/>
      <c r="G109" s="563"/>
      <c r="H109" s="228"/>
      <c r="I109" s="228"/>
      <c r="J109" s="228"/>
      <c r="K109" s="444"/>
      <c r="L109" s="444"/>
      <c r="M109" s="444"/>
      <c r="N109" s="810"/>
      <c r="O109" s="810"/>
      <c r="P109" s="810"/>
      <c r="Q109" s="810"/>
      <c r="R109" s="810"/>
      <c r="S109" s="810"/>
      <c r="T109" s="810"/>
      <c r="U109" s="511"/>
      <c r="V109" s="444"/>
      <c r="W109" s="444"/>
      <c r="X109" s="444"/>
      <c r="Y109" s="444"/>
      <c r="Z109" s="444"/>
      <c r="AA109" s="444"/>
      <c r="AB109" s="444"/>
      <c r="AC109" s="444"/>
      <c r="AD109" s="444"/>
      <c r="AE109" s="444"/>
      <c r="AF109" s="444"/>
      <c r="AG109" s="444"/>
      <c r="AH109" s="444"/>
      <c r="AI109" s="444"/>
      <c r="AJ109" s="444"/>
      <c r="AK109" s="444"/>
      <c r="AL109" s="444"/>
      <c r="AM109" s="444"/>
      <c r="AN109" s="444"/>
      <c r="AO109" s="444"/>
      <c r="AP109" s="444"/>
      <c r="AQ109" s="444"/>
      <c r="AR109" s="444"/>
      <c r="AS109" s="444"/>
      <c r="AT109" s="444"/>
      <c r="AU109" s="444"/>
      <c r="AV109" s="444"/>
      <c r="AW109" s="444"/>
      <c r="AX109" s="228"/>
      <c r="AY109" s="228"/>
      <c r="AZ109" s="228"/>
      <c r="BA109" s="228"/>
      <c r="BH109" s="810"/>
      <c r="BI109" s="810"/>
      <c r="BJ109" s="810"/>
      <c r="BK109" s="810"/>
      <c r="BM109" s="810"/>
      <c r="BN109" s="810"/>
      <c r="BO109" s="810"/>
      <c r="BS109" s="810"/>
      <c r="BT109" s="810"/>
      <c r="BU109" s="810"/>
      <c r="BV109" s="810"/>
      <c r="BW109" s="810"/>
      <c r="BX109" s="810"/>
      <c r="BY109" s="810"/>
      <c r="BZ109" s="524"/>
      <c r="CA109" s="444"/>
      <c r="CB109" s="444"/>
      <c r="CC109" s="444"/>
    </row>
    <row r="110" spans="1:87" s="513" customFormat="1" ht="20.25" x14ac:dyDescent="0.25">
      <c r="A110" s="228"/>
      <c r="B110" s="431"/>
      <c r="C110" s="557"/>
      <c r="D110" s="557"/>
      <c r="E110" s="228"/>
      <c r="F110" s="228"/>
      <c r="G110" s="563"/>
      <c r="H110" s="228"/>
      <c r="I110" s="228"/>
      <c r="J110" s="228"/>
      <c r="K110" s="444"/>
      <c r="L110" s="444"/>
      <c r="M110" s="444"/>
      <c r="N110" s="810"/>
      <c r="O110" s="810"/>
      <c r="P110" s="810"/>
      <c r="Q110" s="810"/>
      <c r="R110" s="810"/>
      <c r="S110" s="810"/>
      <c r="T110" s="810"/>
      <c r="U110" s="511"/>
      <c r="V110" s="444"/>
      <c r="W110" s="444"/>
      <c r="X110" s="444"/>
      <c r="Y110" s="444"/>
      <c r="Z110" s="444"/>
      <c r="AA110" s="444"/>
      <c r="AB110" s="444"/>
      <c r="AC110" s="444"/>
      <c r="AD110" s="444"/>
      <c r="AE110" s="444"/>
      <c r="AF110" s="444"/>
      <c r="AG110" s="444"/>
      <c r="AH110" s="444"/>
      <c r="AI110" s="444"/>
      <c r="AJ110" s="444"/>
      <c r="AK110" s="444"/>
      <c r="AL110" s="444"/>
      <c r="AM110" s="444"/>
      <c r="AN110" s="444"/>
      <c r="AO110" s="444"/>
      <c r="AP110" s="444"/>
      <c r="AQ110" s="444"/>
      <c r="AR110" s="444"/>
      <c r="AS110" s="444"/>
      <c r="AT110" s="444"/>
      <c r="AU110" s="444"/>
      <c r="AV110" s="444"/>
      <c r="AW110" s="444"/>
      <c r="AX110" s="228"/>
      <c r="AY110" s="228"/>
      <c r="AZ110" s="228"/>
      <c r="BA110" s="228"/>
      <c r="BH110" s="810"/>
      <c r="BI110" s="810"/>
      <c r="BJ110" s="810"/>
      <c r="BK110" s="810"/>
      <c r="BM110" s="810"/>
      <c r="BN110" s="810"/>
      <c r="BO110" s="810"/>
      <c r="BS110" s="810"/>
      <c r="BT110" s="810"/>
      <c r="BU110" s="810"/>
      <c r="BV110" s="810"/>
      <c r="BW110" s="810"/>
      <c r="BX110" s="810"/>
      <c r="BY110" s="810"/>
      <c r="BZ110" s="524"/>
      <c r="CA110" s="444"/>
      <c r="CB110" s="444"/>
      <c r="CC110" s="444"/>
    </row>
    <row r="111" spans="1:87" s="513" customFormat="1" ht="20.25" x14ac:dyDescent="0.25">
      <c r="A111" s="228"/>
      <c r="B111" s="431"/>
      <c r="C111" s="511"/>
      <c r="D111" s="511"/>
      <c r="E111" s="511"/>
      <c r="F111" s="511"/>
      <c r="G111" s="563"/>
      <c r="H111" s="228"/>
      <c r="I111" s="228"/>
      <c r="J111" s="228"/>
      <c r="K111" s="444"/>
      <c r="L111" s="444"/>
      <c r="M111" s="444"/>
      <c r="N111" s="511"/>
      <c r="O111" s="511"/>
      <c r="P111" s="511"/>
      <c r="Q111" s="511"/>
      <c r="R111" s="511"/>
      <c r="S111" s="595"/>
      <c r="T111" s="511"/>
      <c r="U111" s="511"/>
      <c r="V111" s="444"/>
      <c r="W111" s="444"/>
      <c r="X111" s="444"/>
      <c r="Y111" s="444"/>
      <c r="Z111" s="444"/>
      <c r="AA111" s="444"/>
      <c r="AB111" s="444"/>
      <c r="AC111" s="444"/>
      <c r="AD111" s="444"/>
      <c r="AE111" s="444"/>
      <c r="AF111" s="444"/>
      <c r="AG111" s="444"/>
      <c r="AH111" s="444"/>
      <c r="AI111" s="444"/>
      <c r="AJ111" s="444"/>
      <c r="AK111" s="444"/>
      <c r="AL111" s="444"/>
      <c r="AM111" s="444"/>
      <c r="AN111" s="444"/>
      <c r="AO111" s="444"/>
      <c r="AP111" s="444"/>
      <c r="AQ111" s="444"/>
      <c r="AR111" s="444"/>
      <c r="AS111" s="444"/>
      <c r="AT111" s="444"/>
      <c r="AU111" s="444"/>
      <c r="AV111" s="444"/>
      <c r="AW111" s="444"/>
      <c r="AX111" s="228"/>
      <c r="AY111" s="228"/>
      <c r="AZ111" s="228"/>
      <c r="BA111" s="228"/>
      <c r="BH111" s="768"/>
      <c r="BI111" s="511"/>
      <c r="BJ111" s="511"/>
      <c r="BK111" s="511"/>
      <c r="BM111" s="768"/>
      <c r="BN111" s="511"/>
      <c r="BO111" s="511"/>
      <c r="BS111" s="511"/>
      <c r="BT111" s="511"/>
      <c r="BU111" s="511"/>
      <c r="BV111" s="511"/>
      <c r="BW111" s="511"/>
      <c r="BX111" s="511"/>
      <c r="BY111" s="511"/>
      <c r="BZ111" s="524"/>
      <c r="CA111" s="444"/>
      <c r="CB111" s="444"/>
      <c r="CC111" s="444"/>
    </row>
    <row r="112" spans="1:87" s="549" customFormat="1" ht="23.25" x14ac:dyDescent="0.25">
      <c r="A112" s="545"/>
      <c r="B112" s="546"/>
      <c r="C112" s="547"/>
      <c r="D112" s="850"/>
      <c r="E112" s="850"/>
      <c r="F112" s="547"/>
      <c r="G112" s="850" t="s">
        <v>525</v>
      </c>
      <c r="H112" s="850"/>
      <c r="I112" s="489"/>
      <c r="J112" s="489"/>
      <c r="K112" s="514"/>
      <c r="L112" s="512"/>
      <c r="M112" s="512"/>
      <c r="N112" s="512"/>
      <c r="O112" s="512"/>
      <c r="P112" s="515"/>
      <c r="Q112" s="515"/>
      <c r="R112" s="515"/>
      <c r="S112" s="515"/>
      <c r="T112" s="515"/>
      <c r="U112" s="515"/>
      <c r="V112" s="515"/>
      <c r="W112" s="515"/>
      <c r="X112" s="515"/>
      <c r="Y112" s="515"/>
      <c r="Z112" s="515"/>
      <c r="AA112" s="515"/>
      <c r="AB112" s="515"/>
      <c r="AC112" s="515"/>
      <c r="AD112" s="515"/>
      <c r="AE112" s="515"/>
      <c r="AF112" s="515"/>
      <c r="AG112" s="515"/>
      <c r="AH112" s="515"/>
      <c r="AI112" s="515"/>
      <c r="AJ112" s="515"/>
      <c r="AK112" s="515"/>
      <c r="AL112" s="515"/>
      <c r="AM112" s="515"/>
      <c r="AN112" s="515"/>
      <c r="AO112" s="515"/>
      <c r="AP112" s="515"/>
      <c r="AQ112" s="515"/>
      <c r="AR112" s="515"/>
      <c r="AS112" s="515"/>
      <c r="AT112" s="515"/>
      <c r="AU112" s="512"/>
      <c r="AV112" s="512"/>
      <c r="AW112" s="512"/>
      <c r="AX112" s="512"/>
      <c r="BA112" s="548"/>
      <c r="BB112" s="548"/>
      <c r="BC112" s="850"/>
      <c r="BD112" s="850"/>
      <c r="BE112" s="547"/>
      <c r="BF112" s="547"/>
      <c r="BG112" s="547"/>
      <c r="BH112" s="769"/>
      <c r="BI112" s="547"/>
      <c r="BJ112" s="850"/>
      <c r="BK112" s="850"/>
      <c r="BL112" s="550"/>
      <c r="BM112" s="774"/>
      <c r="BN112" s="550"/>
      <c r="BS112" s="850"/>
      <c r="BT112" s="850"/>
      <c r="BU112" s="859"/>
      <c r="BV112" s="810"/>
      <c r="BW112" s="810"/>
      <c r="BX112" s="810"/>
      <c r="BY112" s="810"/>
      <c r="BZ112" s="552"/>
      <c r="CA112" s="444"/>
      <c r="CB112" s="444"/>
      <c r="CC112" s="444"/>
      <c r="CD112" s="513"/>
      <c r="CE112" s="513"/>
      <c r="CF112" s="513"/>
    </row>
    <row r="113" spans="1:84" s="549" customFormat="1" ht="23.25" x14ac:dyDescent="0.25">
      <c r="A113" s="545"/>
      <c r="B113" s="546"/>
      <c r="C113" s="547"/>
      <c r="D113" s="547"/>
      <c r="E113" s="547"/>
      <c r="F113" s="547"/>
      <c r="G113" s="564"/>
      <c r="H113" s="489"/>
      <c r="I113" s="489"/>
      <c r="J113" s="489"/>
      <c r="K113" s="514"/>
      <c r="L113" s="512"/>
      <c r="M113" s="512"/>
      <c r="N113" s="512"/>
      <c r="O113" s="512"/>
      <c r="P113" s="515"/>
      <c r="Q113" s="515"/>
      <c r="R113" s="515"/>
      <c r="S113" s="515"/>
      <c r="T113" s="515"/>
      <c r="U113" s="515"/>
      <c r="V113" s="515"/>
      <c r="W113" s="515"/>
      <c r="X113" s="515"/>
      <c r="Y113" s="515"/>
      <c r="Z113" s="515"/>
      <c r="AA113" s="515"/>
      <c r="AB113" s="515"/>
      <c r="AC113" s="515"/>
      <c r="AD113" s="515"/>
      <c r="AE113" s="515"/>
      <c r="AF113" s="515"/>
      <c r="AG113" s="515"/>
      <c r="AH113" s="515"/>
      <c r="AI113" s="515"/>
      <c r="AJ113" s="515"/>
      <c r="AK113" s="515"/>
      <c r="AL113" s="515"/>
      <c r="AM113" s="515"/>
      <c r="AN113" s="515"/>
      <c r="AO113" s="515"/>
      <c r="AP113" s="515"/>
      <c r="AQ113" s="515"/>
      <c r="AR113" s="515"/>
      <c r="AS113" s="515"/>
      <c r="AT113" s="515"/>
      <c r="AU113" s="512"/>
      <c r="AV113" s="512"/>
      <c r="AW113" s="512"/>
      <c r="AX113" s="512"/>
      <c r="AZ113" s="551"/>
      <c r="BA113" s="551"/>
      <c r="BB113" s="551"/>
      <c r="BC113" s="551"/>
      <c r="BD113" s="551"/>
      <c r="BE113" s="547"/>
      <c r="BF113" s="547"/>
      <c r="BG113" s="547"/>
      <c r="BH113" s="769"/>
      <c r="BI113" s="547"/>
      <c r="BJ113" s="547"/>
      <c r="BK113" s="547"/>
      <c r="BL113" s="550"/>
      <c r="BM113" s="774"/>
      <c r="BN113" s="550"/>
      <c r="BU113" s="513"/>
      <c r="BV113" s="810"/>
      <c r="BW113" s="810"/>
      <c r="BX113" s="810"/>
      <c r="BY113" s="810"/>
      <c r="BZ113" s="552"/>
      <c r="CA113" s="444"/>
      <c r="CB113" s="444"/>
      <c r="CC113" s="444"/>
      <c r="CD113" s="513"/>
      <c r="CE113" s="513"/>
      <c r="CF113" s="513"/>
    </row>
    <row r="114" spans="1:84" ht="18" x14ac:dyDescent="0.25">
      <c r="C114" s="512"/>
      <c r="D114" s="512"/>
      <c r="E114" s="512"/>
      <c r="F114" s="512"/>
      <c r="G114" s="564"/>
      <c r="H114" s="489"/>
      <c r="I114" s="489"/>
      <c r="J114" s="489"/>
      <c r="K114" s="514"/>
      <c r="L114" s="512"/>
      <c r="M114" s="512"/>
      <c r="N114" s="512"/>
      <c r="O114" s="512"/>
      <c r="P114" s="515"/>
      <c r="Q114" s="515"/>
      <c r="R114" s="515"/>
      <c r="S114" s="515"/>
      <c r="T114" s="515"/>
      <c r="U114" s="515"/>
      <c r="V114" s="515"/>
      <c r="W114" s="515"/>
      <c r="X114" s="515"/>
      <c r="Y114" s="515"/>
      <c r="Z114" s="515"/>
      <c r="AA114" s="515"/>
      <c r="AB114" s="515"/>
      <c r="AC114" s="515"/>
      <c r="AD114" s="515"/>
      <c r="AE114" s="515"/>
      <c r="AF114" s="515"/>
      <c r="AG114" s="515"/>
      <c r="AH114" s="515"/>
      <c r="AI114" s="515"/>
      <c r="AJ114" s="515"/>
      <c r="AK114" s="515"/>
      <c r="AL114" s="515"/>
      <c r="AM114" s="515"/>
      <c r="AN114" s="515"/>
      <c r="AO114" s="515"/>
      <c r="AP114" s="515"/>
      <c r="AQ114" s="515"/>
      <c r="AR114" s="515"/>
      <c r="AS114" s="515"/>
      <c r="AT114" s="515"/>
      <c r="AU114" s="512"/>
      <c r="AV114" s="512"/>
      <c r="AW114" s="512"/>
      <c r="AX114" s="512"/>
      <c r="AZ114" s="229"/>
      <c r="BA114" s="229"/>
      <c r="BB114" s="229"/>
      <c r="BC114" s="229"/>
      <c r="BD114" s="229"/>
      <c r="BE114" s="512"/>
      <c r="BF114" s="512"/>
      <c r="BG114" s="512"/>
      <c r="BH114" s="767"/>
      <c r="BI114" s="512"/>
      <c r="BJ114" s="512"/>
      <c r="BK114" s="512"/>
      <c r="CA114" s="444"/>
      <c r="CB114" s="444"/>
      <c r="CD114" s="444"/>
      <c r="CE114" s="444"/>
    </row>
    <row r="115" spans="1:84" ht="18" x14ac:dyDescent="0.25">
      <c r="C115" s="512"/>
      <c r="D115" s="512"/>
      <c r="E115" s="512"/>
      <c r="F115" s="512"/>
      <c r="G115" s="564"/>
      <c r="H115" s="489"/>
      <c r="I115" s="489"/>
      <c r="J115" s="489"/>
      <c r="K115" s="514"/>
      <c r="L115" s="512"/>
      <c r="M115" s="512"/>
      <c r="N115" s="512"/>
      <c r="O115" s="512"/>
      <c r="P115" s="515"/>
      <c r="Q115" s="515"/>
      <c r="R115" s="515"/>
      <c r="S115" s="515"/>
      <c r="T115" s="515"/>
      <c r="U115" s="515"/>
      <c r="V115" s="515"/>
      <c r="W115" s="515"/>
      <c r="X115" s="515"/>
      <c r="Y115" s="515"/>
      <c r="Z115" s="515"/>
      <c r="AA115" s="515"/>
      <c r="AB115" s="515"/>
      <c r="AC115" s="515"/>
      <c r="AD115" s="515"/>
      <c r="AE115" s="515"/>
      <c r="AF115" s="515"/>
      <c r="AG115" s="515"/>
      <c r="AH115" s="515"/>
      <c r="AI115" s="515"/>
      <c r="AJ115" s="515"/>
      <c r="AK115" s="515"/>
      <c r="AL115" s="515"/>
      <c r="AM115" s="515"/>
      <c r="AN115" s="515"/>
      <c r="AO115" s="515"/>
      <c r="AP115" s="515"/>
      <c r="AQ115" s="515"/>
      <c r="AR115" s="515"/>
      <c r="AS115" s="515"/>
      <c r="AT115" s="515"/>
      <c r="AU115" s="512"/>
      <c r="AV115" s="512"/>
      <c r="AW115" s="512"/>
      <c r="AX115" s="512"/>
      <c r="BE115" s="512"/>
      <c r="BF115" s="512"/>
      <c r="BG115" s="512"/>
      <c r="BH115" s="767"/>
      <c r="BI115" s="512"/>
      <c r="BJ115" s="512"/>
      <c r="BK115" s="512"/>
      <c r="CA115" s="444"/>
      <c r="CB115" s="444"/>
      <c r="CD115" s="444"/>
      <c r="CE115" s="444"/>
    </row>
    <row r="116" spans="1:84" s="229" customFormat="1" ht="18" x14ac:dyDescent="0.25">
      <c r="B116" s="432"/>
      <c r="C116" s="512"/>
      <c r="D116" s="512"/>
      <c r="E116" s="512"/>
      <c r="F116" s="512"/>
      <c r="G116" s="564"/>
      <c r="H116" s="489"/>
      <c r="I116" s="489"/>
      <c r="J116" s="489"/>
      <c r="K116" s="514"/>
      <c r="L116" s="512"/>
      <c r="M116" s="512"/>
      <c r="N116" s="512"/>
      <c r="O116" s="512"/>
      <c r="P116" s="230"/>
      <c r="Q116" s="230"/>
      <c r="R116" s="230"/>
      <c r="S116" s="230"/>
      <c r="T116" s="231"/>
      <c r="U116" s="231"/>
      <c r="V116" s="231"/>
      <c r="W116" s="231"/>
      <c r="X116" s="231"/>
      <c r="Y116" s="231"/>
      <c r="Z116" s="231"/>
      <c r="AA116" s="231"/>
      <c r="AB116" s="231"/>
      <c r="AC116" s="231"/>
      <c r="AD116" s="231"/>
      <c r="AE116" s="231"/>
      <c r="AF116" s="231"/>
      <c r="AG116" s="231"/>
      <c r="AH116" s="231"/>
      <c r="AI116" s="231"/>
      <c r="AJ116" s="231"/>
      <c r="AK116" s="231"/>
      <c r="AL116" s="231"/>
      <c r="AM116" s="231"/>
      <c r="AN116" s="231"/>
      <c r="AO116" s="231"/>
      <c r="AP116" s="231"/>
      <c r="AQ116" s="231"/>
      <c r="AR116" s="231"/>
      <c r="AS116" s="231"/>
      <c r="AT116" s="231"/>
      <c r="AU116" s="152"/>
      <c r="AV116" s="152"/>
      <c r="AW116" s="152"/>
      <c r="AX116" s="152"/>
      <c r="AZ116" s="513"/>
      <c r="BA116" s="513"/>
      <c r="BB116" s="513"/>
      <c r="BC116" s="513"/>
      <c r="BD116" s="513"/>
      <c r="BH116" s="770"/>
      <c r="BL116" s="231"/>
      <c r="BM116" s="776"/>
      <c r="BN116" s="231"/>
      <c r="BO116" s="232"/>
      <c r="BP116" s="232"/>
      <c r="BQ116" s="232"/>
      <c r="BR116" s="232"/>
      <c r="BS116" s="232"/>
      <c r="BT116" s="232"/>
      <c r="BU116" s="232"/>
      <c r="BV116" s="232"/>
      <c r="BW116" s="232"/>
    </row>
    <row r="117" spans="1:84" s="229" customFormat="1" ht="18" x14ac:dyDescent="0.25">
      <c r="B117" s="432"/>
      <c r="C117" s="512"/>
      <c r="D117" s="512"/>
      <c r="E117" s="512"/>
      <c r="F117" s="512"/>
      <c r="G117" s="564"/>
      <c r="H117" s="489"/>
      <c r="I117" s="489"/>
      <c r="J117" s="489"/>
      <c r="K117" s="514"/>
      <c r="L117" s="512"/>
      <c r="M117" s="512"/>
      <c r="N117" s="512"/>
      <c r="O117" s="512"/>
      <c r="P117" s="230"/>
      <c r="Q117" s="230"/>
      <c r="R117" s="230"/>
      <c r="S117" s="230"/>
      <c r="T117" s="231"/>
      <c r="U117" s="231"/>
      <c r="V117" s="231"/>
      <c r="W117" s="231"/>
      <c r="X117" s="231"/>
      <c r="Y117" s="231"/>
      <c r="Z117" s="231"/>
      <c r="AA117" s="231"/>
      <c r="AB117" s="231"/>
      <c r="AC117" s="231"/>
      <c r="AD117" s="231"/>
      <c r="AE117" s="231"/>
      <c r="AF117" s="231"/>
      <c r="AG117" s="231"/>
      <c r="AH117" s="231"/>
      <c r="AI117" s="231"/>
      <c r="AJ117" s="231"/>
      <c r="AK117" s="231"/>
      <c r="AL117" s="231"/>
      <c r="AM117" s="231"/>
      <c r="AN117" s="231"/>
      <c r="AO117" s="231"/>
      <c r="AP117" s="231"/>
      <c r="AQ117" s="231"/>
      <c r="AR117" s="231"/>
      <c r="AS117" s="231"/>
      <c r="AT117" s="231"/>
      <c r="AY117" s="513"/>
      <c r="AZ117" s="513"/>
      <c r="BA117" s="513"/>
      <c r="BB117" s="513"/>
      <c r="BC117" s="513"/>
      <c r="BD117" s="513"/>
      <c r="BH117" s="770"/>
      <c r="BL117" s="231"/>
      <c r="BM117" s="776"/>
      <c r="BN117" s="231"/>
      <c r="BO117" s="232"/>
      <c r="BP117" s="232"/>
      <c r="BQ117" s="232"/>
      <c r="BR117" s="232"/>
      <c r="BS117" s="232"/>
      <c r="BT117" s="232"/>
      <c r="BU117" s="232"/>
      <c r="BV117" s="232"/>
      <c r="BW117" s="232"/>
    </row>
    <row r="118" spans="1:84" ht="18" x14ac:dyDescent="0.25">
      <c r="C118" s="512"/>
      <c r="D118" s="512"/>
      <c r="E118" s="512"/>
      <c r="F118" s="512"/>
      <c r="G118" s="564"/>
      <c r="H118" s="489"/>
      <c r="I118" s="489"/>
      <c r="J118" s="489"/>
      <c r="K118" s="514"/>
      <c r="L118" s="512"/>
      <c r="M118" s="512"/>
      <c r="N118" s="512"/>
      <c r="O118" s="512"/>
      <c r="P118" s="230"/>
      <c r="Q118" s="230"/>
      <c r="R118" s="230"/>
      <c r="S118" s="230"/>
      <c r="T118" s="231"/>
      <c r="U118" s="231"/>
      <c r="V118" s="231"/>
      <c r="W118" s="231"/>
      <c r="X118" s="231"/>
      <c r="Y118" s="231"/>
      <c r="Z118" s="231"/>
      <c r="AA118" s="231"/>
      <c r="AB118" s="231"/>
      <c r="AC118" s="231"/>
      <c r="AD118" s="231"/>
      <c r="AE118" s="231"/>
      <c r="AF118" s="231"/>
      <c r="AG118" s="231"/>
      <c r="AH118" s="231"/>
      <c r="AI118" s="231"/>
      <c r="AJ118" s="231"/>
      <c r="AK118" s="231"/>
      <c r="AL118" s="231"/>
      <c r="AM118" s="231"/>
      <c r="AN118" s="231"/>
      <c r="AO118" s="231"/>
      <c r="AP118" s="231"/>
      <c r="AQ118" s="231"/>
      <c r="AR118" s="231"/>
      <c r="AS118" s="231"/>
      <c r="AT118" s="231"/>
      <c r="AU118" s="229"/>
      <c r="AV118" s="229"/>
      <c r="AW118" s="229"/>
      <c r="AX118" s="229"/>
      <c r="CA118" s="444"/>
      <c r="CB118" s="444"/>
      <c r="CD118" s="444"/>
      <c r="CE118" s="444"/>
    </row>
    <row r="119" spans="1:84" ht="18" x14ac:dyDescent="0.25">
      <c r="C119" s="512"/>
      <c r="D119" s="512"/>
      <c r="E119" s="512"/>
      <c r="F119" s="512"/>
      <c r="G119" s="564"/>
      <c r="H119" s="489"/>
      <c r="I119" s="489"/>
      <c r="J119" s="489"/>
      <c r="K119" s="514"/>
      <c r="L119" s="512"/>
      <c r="M119" s="512"/>
      <c r="N119" s="512"/>
      <c r="O119" s="512"/>
      <c r="AU119" s="229"/>
      <c r="AV119" s="229"/>
      <c r="AW119" s="229"/>
      <c r="AX119" s="229"/>
      <c r="CA119" s="444"/>
      <c r="CB119" s="444"/>
      <c r="CD119" s="444"/>
      <c r="CE119" s="444"/>
    </row>
    <row r="120" spans="1:84" ht="18" x14ac:dyDescent="0.25">
      <c r="C120" s="512"/>
      <c r="D120" s="512"/>
      <c r="E120" s="512"/>
      <c r="F120" s="512"/>
      <c r="G120" s="564"/>
      <c r="H120" s="489"/>
      <c r="I120" s="489"/>
      <c r="J120" s="489"/>
      <c r="K120" s="514"/>
      <c r="L120" s="512"/>
      <c r="M120" s="512"/>
      <c r="N120" s="512"/>
      <c r="O120" s="512"/>
      <c r="CA120" s="444"/>
      <c r="CB120" s="444"/>
      <c r="CD120" s="444"/>
      <c r="CE120" s="444"/>
    </row>
    <row r="121" spans="1:84" ht="18" x14ac:dyDescent="0.25">
      <c r="C121" s="512"/>
      <c r="D121" s="512"/>
      <c r="E121" s="512"/>
      <c r="F121" s="512"/>
      <c r="G121" s="564"/>
      <c r="H121" s="489"/>
      <c r="I121" s="489"/>
      <c r="J121" s="489"/>
      <c r="K121" s="514"/>
      <c r="L121" s="512"/>
      <c r="M121" s="512"/>
      <c r="N121" s="512"/>
      <c r="O121" s="512"/>
      <c r="CA121" s="444"/>
      <c r="CB121" s="444"/>
      <c r="CD121" s="444"/>
      <c r="CE121" s="444"/>
    </row>
    <row r="122" spans="1:84" ht="18" x14ac:dyDescent="0.25">
      <c r="C122" s="512"/>
      <c r="D122" s="512"/>
      <c r="E122" s="512"/>
      <c r="F122" s="512"/>
      <c r="G122" s="564"/>
      <c r="H122" s="489"/>
      <c r="I122" s="489"/>
      <c r="J122" s="489"/>
      <c r="K122" s="514"/>
      <c r="L122" s="512"/>
      <c r="M122" s="512"/>
      <c r="N122" s="512"/>
      <c r="O122" s="512"/>
      <c r="BU122" s="444"/>
      <c r="BV122" s="444"/>
      <c r="BW122" s="444"/>
      <c r="CA122" s="444"/>
      <c r="CB122" s="444"/>
      <c r="CD122" s="444"/>
      <c r="CE122" s="444"/>
    </row>
    <row r="123" spans="1:84" ht="18" x14ac:dyDescent="0.25">
      <c r="C123" s="512"/>
      <c r="D123" s="512"/>
      <c r="E123" s="512"/>
      <c r="F123" s="512"/>
      <c r="G123" s="564"/>
      <c r="H123" s="489"/>
      <c r="I123" s="489"/>
      <c r="J123" s="489"/>
      <c r="K123" s="514"/>
      <c r="L123" s="512"/>
      <c r="M123" s="512"/>
      <c r="N123" s="512"/>
      <c r="O123" s="512"/>
      <c r="BU123" s="444"/>
      <c r="BV123" s="444"/>
      <c r="BW123" s="444"/>
      <c r="CA123" s="444"/>
      <c r="CB123" s="444"/>
      <c r="CD123" s="444"/>
      <c r="CE123" s="444"/>
    </row>
    <row r="124" spans="1:84" ht="18" x14ac:dyDescent="0.25">
      <c r="C124" s="512"/>
      <c r="D124" s="512"/>
      <c r="E124" s="512"/>
      <c r="F124" s="512"/>
      <c r="G124" s="564"/>
      <c r="H124" s="489"/>
      <c r="I124" s="489"/>
      <c r="J124" s="489"/>
      <c r="K124" s="514"/>
      <c r="L124" s="512"/>
      <c r="M124" s="512"/>
      <c r="N124" s="512"/>
      <c r="O124" s="512"/>
      <c r="BU124" s="444"/>
      <c r="BV124" s="444"/>
      <c r="BW124" s="444"/>
      <c r="CA124" s="444"/>
      <c r="CB124" s="444"/>
      <c r="CD124" s="444"/>
      <c r="CE124" s="444"/>
    </row>
    <row r="125" spans="1:84" s="227" customFormat="1" ht="18" x14ac:dyDescent="0.25">
      <c r="A125" s="444"/>
      <c r="B125" s="516"/>
      <c r="C125" s="512"/>
      <c r="D125" s="512"/>
      <c r="E125" s="512"/>
      <c r="F125" s="512"/>
      <c r="G125" s="564"/>
      <c r="H125" s="489"/>
      <c r="I125" s="489"/>
      <c r="J125" s="489"/>
      <c r="K125" s="514"/>
      <c r="L125" s="512"/>
      <c r="M125" s="512"/>
      <c r="N125" s="512"/>
      <c r="O125" s="512"/>
      <c r="AU125" s="513"/>
      <c r="AV125" s="513"/>
      <c r="AW125" s="513"/>
      <c r="AX125" s="513"/>
      <c r="AY125" s="513"/>
      <c r="AZ125" s="513"/>
      <c r="BA125" s="513"/>
      <c r="BB125" s="513"/>
      <c r="BC125" s="513"/>
      <c r="BD125" s="513"/>
      <c r="BE125" s="513"/>
      <c r="BF125" s="513"/>
      <c r="BG125" s="513"/>
      <c r="BH125" s="771"/>
      <c r="BI125" s="513"/>
      <c r="BJ125" s="513"/>
      <c r="BK125" s="513"/>
      <c r="BM125" s="775"/>
      <c r="BO125" s="513"/>
      <c r="BP125" s="513"/>
      <c r="BQ125" s="513"/>
      <c r="BR125" s="513"/>
      <c r="BS125" s="513"/>
      <c r="BT125" s="513"/>
    </row>
    <row r="126" spans="1:84" s="227" customFormat="1" ht="18" x14ac:dyDescent="0.25">
      <c r="A126" s="444"/>
      <c r="B126" s="516"/>
      <c r="C126" s="512"/>
      <c r="D126" s="512"/>
      <c r="E126" s="512"/>
      <c r="F126" s="512"/>
      <c r="G126" s="564"/>
      <c r="H126" s="489"/>
      <c r="I126" s="489"/>
      <c r="J126" s="489"/>
      <c r="K126" s="514"/>
      <c r="L126" s="512"/>
      <c r="M126" s="512"/>
      <c r="N126" s="512"/>
      <c r="O126" s="512"/>
      <c r="AU126" s="513"/>
      <c r="AV126" s="513"/>
      <c r="AW126" s="513"/>
      <c r="AX126" s="513"/>
      <c r="AY126" s="513"/>
      <c r="AZ126" s="513"/>
      <c r="BA126" s="513"/>
      <c r="BB126" s="513"/>
      <c r="BC126" s="513"/>
      <c r="BD126" s="513"/>
      <c r="BE126" s="513"/>
      <c r="BF126" s="513"/>
      <c r="BG126" s="513"/>
      <c r="BH126" s="771"/>
      <c r="BI126" s="513"/>
      <c r="BJ126" s="513"/>
      <c r="BK126" s="513"/>
      <c r="BM126" s="775"/>
      <c r="BO126" s="513"/>
      <c r="BP126" s="513"/>
      <c r="BQ126" s="513"/>
      <c r="BR126" s="513"/>
      <c r="BS126" s="513"/>
      <c r="BT126" s="513"/>
    </row>
    <row r="127" spans="1:84" s="227" customFormat="1" ht="18" x14ac:dyDescent="0.25">
      <c r="A127" s="444"/>
      <c r="B127" s="516"/>
      <c r="C127" s="512"/>
      <c r="D127" s="512"/>
      <c r="E127" s="512"/>
      <c r="F127" s="512"/>
      <c r="G127" s="564"/>
      <c r="H127" s="489"/>
      <c r="I127" s="489"/>
      <c r="J127" s="489"/>
      <c r="K127" s="514"/>
      <c r="L127" s="512"/>
      <c r="M127" s="512"/>
      <c r="N127" s="512"/>
      <c r="O127" s="512"/>
      <c r="AU127" s="513"/>
      <c r="AV127" s="513"/>
      <c r="AW127" s="513"/>
      <c r="AX127" s="513"/>
      <c r="AY127" s="513"/>
      <c r="AZ127" s="513"/>
      <c r="BA127" s="513"/>
      <c r="BB127" s="513"/>
      <c r="BC127" s="513"/>
      <c r="BD127" s="513"/>
      <c r="BE127" s="513"/>
      <c r="BF127" s="513"/>
      <c r="BG127" s="513"/>
      <c r="BH127" s="771"/>
      <c r="BI127" s="513"/>
      <c r="BJ127" s="513"/>
      <c r="BK127" s="513"/>
      <c r="BM127" s="775"/>
      <c r="BO127" s="513"/>
      <c r="BP127" s="513"/>
      <c r="BQ127" s="513"/>
      <c r="BR127" s="513"/>
      <c r="BS127" s="513"/>
      <c r="BT127" s="513"/>
    </row>
    <row r="128" spans="1:84" s="227" customFormat="1" ht="18" x14ac:dyDescent="0.25">
      <c r="A128" s="444"/>
      <c r="B128" s="516"/>
      <c r="C128" s="512"/>
      <c r="D128" s="512"/>
      <c r="E128" s="512"/>
      <c r="F128" s="512"/>
      <c r="G128" s="564"/>
      <c r="H128" s="489"/>
      <c r="I128" s="489"/>
      <c r="J128" s="489"/>
      <c r="K128" s="514"/>
      <c r="L128" s="512"/>
      <c r="M128" s="512"/>
      <c r="N128" s="512"/>
      <c r="O128" s="512"/>
      <c r="AU128" s="513"/>
      <c r="AV128" s="513"/>
      <c r="AW128" s="513"/>
      <c r="AX128" s="513"/>
      <c r="AY128" s="513"/>
      <c r="AZ128" s="513"/>
      <c r="BA128" s="513"/>
      <c r="BB128" s="513"/>
      <c r="BC128" s="513"/>
      <c r="BD128" s="513"/>
      <c r="BE128" s="513"/>
      <c r="BF128" s="513"/>
      <c r="BG128" s="513"/>
      <c r="BH128" s="771"/>
      <c r="BI128" s="513"/>
      <c r="BJ128" s="513"/>
      <c r="BK128" s="513"/>
      <c r="BM128" s="775"/>
      <c r="BO128" s="513"/>
      <c r="BP128" s="513"/>
      <c r="BQ128" s="513"/>
      <c r="BR128" s="513"/>
      <c r="BS128" s="513"/>
      <c r="BT128" s="513"/>
    </row>
    <row r="129" spans="1:72" s="227" customFormat="1" ht="18" x14ac:dyDescent="0.25">
      <c r="A129" s="444"/>
      <c r="B129" s="516"/>
      <c r="C129" s="512"/>
      <c r="D129" s="512"/>
      <c r="E129" s="512"/>
      <c r="F129" s="512"/>
      <c r="G129" s="564"/>
      <c r="H129" s="489"/>
      <c r="I129" s="489"/>
      <c r="J129" s="489"/>
      <c r="K129" s="514"/>
      <c r="L129" s="512"/>
      <c r="M129" s="512"/>
      <c r="N129" s="512"/>
      <c r="O129" s="512"/>
      <c r="AU129" s="513"/>
      <c r="AV129" s="513"/>
      <c r="AW129" s="513"/>
      <c r="AX129" s="513"/>
      <c r="AY129" s="513"/>
      <c r="AZ129" s="513"/>
      <c r="BA129" s="513"/>
      <c r="BB129" s="513"/>
      <c r="BC129" s="513"/>
      <c r="BD129" s="513"/>
      <c r="BE129" s="513"/>
      <c r="BF129" s="513"/>
      <c r="BG129" s="513"/>
      <c r="BH129" s="771"/>
      <c r="BI129" s="513"/>
      <c r="BJ129" s="513"/>
      <c r="BK129" s="513"/>
      <c r="BM129" s="775"/>
      <c r="BO129" s="513"/>
      <c r="BP129" s="513"/>
      <c r="BQ129" s="513"/>
      <c r="BR129" s="513"/>
      <c r="BS129" s="513"/>
      <c r="BT129" s="513"/>
    </row>
    <row r="130" spans="1:72" s="227" customFormat="1" ht="18" x14ac:dyDescent="0.25">
      <c r="A130" s="444"/>
      <c r="B130" s="516"/>
      <c r="C130" s="512"/>
      <c r="D130" s="512"/>
      <c r="E130" s="512"/>
      <c r="F130" s="512"/>
      <c r="G130" s="564"/>
      <c r="H130" s="489"/>
      <c r="I130" s="489"/>
      <c r="J130" s="489"/>
      <c r="K130" s="514"/>
      <c r="L130" s="512"/>
      <c r="M130" s="512"/>
      <c r="N130" s="512"/>
      <c r="O130" s="512"/>
      <c r="AU130" s="513"/>
      <c r="AV130" s="513"/>
      <c r="AW130" s="513"/>
      <c r="AX130" s="513"/>
      <c r="AY130" s="513"/>
      <c r="AZ130" s="513"/>
      <c r="BA130" s="513"/>
      <c r="BB130" s="513"/>
      <c r="BC130" s="513"/>
      <c r="BD130" s="513"/>
      <c r="BE130" s="513"/>
      <c r="BF130" s="513"/>
      <c r="BG130" s="513"/>
      <c r="BH130" s="771"/>
      <c r="BI130" s="513"/>
      <c r="BJ130" s="513"/>
      <c r="BK130" s="513"/>
      <c r="BM130" s="775"/>
      <c r="BO130" s="513"/>
      <c r="BP130" s="513"/>
      <c r="BQ130" s="513"/>
      <c r="BR130" s="513"/>
      <c r="BS130" s="513"/>
      <c r="BT130" s="513"/>
    </row>
    <row r="131" spans="1:72" s="227" customFormat="1" ht="18" x14ac:dyDescent="0.25">
      <c r="A131" s="444"/>
      <c r="B131" s="516"/>
      <c r="C131" s="512"/>
      <c r="D131" s="512"/>
      <c r="E131" s="512"/>
      <c r="F131" s="512"/>
      <c r="G131" s="564"/>
      <c r="H131" s="489"/>
      <c r="I131" s="489"/>
      <c r="J131" s="489"/>
      <c r="K131" s="514"/>
      <c r="L131" s="512"/>
      <c r="M131" s="512"/>
      <c r="N131" s="512"/>
      <c r="O131" s="512"/>
      <c r="AU131" s="513"/>
      <c r="AV131" s="513"/>
      <c r="AW131" s="513"/>
      <c r="AX131" s="513"/>
      <c r="AY131" s="513"/>
      <c r="AZ131" s="513"/>
      <c r="BA131" s="513"/>
      <c r="BB131" s="513"/>
      <c r="BC131" s="513"/>
      <c r="BD131" s="513"/>
      <c r="BE131" s="513"/>
      <c r="BF131" s="513"/>
      <c r="BG131" s="513"/>
      <c r="BH131" s="771"/>
      <c r="BI131" s="513"/>
      <c r="BJ131" s="513"/>
      <c r="BK131" s="513"/>
      <c r="BM131" s="775"/>
      <c r="BO131" s="513"/>
      <c r="BP131" s="513"/>
      <c r="BQ131" s="513"/>
      <c r="BR131" s="513"/>
      <c r="BS131" s="513"/>
      <c r="BT131" s="513"/>
    </row>
    <row r="132" spans="1:72" s="227" customFormat="1" ht="18" x14ac:dyDescent="0.25">
      <c r="A132" s="444"/>
      <c r="B132" s="516"/>
      <c r="C132" s="512"/>
      <c r="D132" s="512"/>
      <c r="E132" s="512"/>
      <c r="F132" s="512"/>
      <c r="G132" s="564"/>
      <c r="H132" s="489"/>
      <c r="I132" s="489"/>
      <c r="J132" s="489"/>
      <c r="K132" s="514"/>
      <c r="L132" s="512"/>
      <c r="M132" s="512"/>
      <c r="N132" s="512"/>
      <c r="O132" s="512"/>
      <c r="AU132" s="513"/>
      <c r="AV132" s="513"/>
      <c r="AW132" s="513"/>
      <c r="AX132" s="513"/>
      <c r="AY132" s="513"/>
      <c r="AZ132" s="513"/>
      <c r="BA132" s="513"/>
      <c r="BB132" s="513"/>
      <c r="BC132" s="513"/>
      <c r="BD132" s="513"/>
      <c r="BE132" s="513"/>
      <c r="BF132" s="513"/>
      <c r="BG132" s="513"/>
      <c r="BH132" s="771"/>
      <c r="BI132" s="513"/>
      <c r="BJ132" s="513"/>
      <c r="BK132" s="513"/>
      <c r="BM132" s="775"/>
      <c r="BO132" s="513"/>
      <c r="BP132" s="513"/>
      <c r="BQ132" s="513"/>
      <c r="BR132" s="513"/>
      <c r="BS132" s="513"/>
      <c r="BT132" s="513"/>
    </row>
    <row r="133" spans="1:72" s="227" customFormat="1" ht="18" x14ac:dyDescent="0.25">
      <c r="A133" s="444"/>
      <c r="B133" s="516"/>
      <c r="C133" s="512"/>
      <c r="D133" s="512"/>
      <c r="E133" s="512"/>
      <c r="F133" s="512"/>
      <c r="G133" s="564"/>
      <c r="H133" s="489"/>
      <c r="I133" s="489"/>
      <c r="J133" s="489"/>
      <c r="K133" s="514"/>
      <c r="L133" s="512"/>
      <c r="M133" s="512"/>
      <c r="N133" s="512"/>
      <c r="O133" s="512"/>
      <c r="AU133" s="513"/>
      <c r="AV133" s="513"/>
      <c r="AW133" s="513"/>
      <c r="AX133" s="513"/>
      <c r="AY133" s="513"/>
      <c r="AZ133" s="513"/>
      <c r="BA133" s="513"/>
      <c r="BB133" s="513"/>
      <c r="BC133" s="513"/>
      <c r="BD133" s="513"/>
      <c r="BE133" s="513"/>
      <c r="BF133" s="513"/>
      <c r="BG133" s="513"/>
      <c r="BH133" s="771"/>
      <c r="BI133" s="513"/>
      <c r="BJ133" s="513"/>
      <c r="BK133" s="513"/>
      <c r="BM133" s="775"/>
      <c r="BO133" s="513"/>
      <c r="BP133" s="513"/>
      <c r="BQ133" s="513"/>
      <c r="BR133" s="513"/>
      <c r="BS133" s="513"/>
      <c r="BT133" s="513"/>
    </row>
    <row r="134" spans="1:72" s="227" customFormat="1" ht="18" x14ac:dyDescent="0.25">
      <c r="A134" s="444"/>
      <c r="B134" s="516"/>
      <c r="C134" s="512"/>
      <c r="D134" s="512"/>
      <c r="E134" s="512"/>
      <c r="F134" s="512"/>
      <c r="G134" s="564"/>
      <c r="H134" s="489"/>
      <c r="I134" s="489"/>
      <c r="J134" s="489"/>
      <c r="K134" s="514"/>
      <c r="L134" s="512"/>
      <c r="M134" s="512"/>
      <c r="N134" s="512"/>
      <c r="O134" s="512"/>
      <c r="AU134" s="513"/>
      <c r="AV134" s="513"/>
      <c r="AW134" s="513"/>
      <c r="AX134" s="513"/>
      <c r="AY134" s="513"/>
      <c r="AZ134" s="513"/>
      <c r="BA134" s="513"/>
      <c r="BB134" s="513"/>
      <c r="BC134" s="513"/>
      <c r="BD134" s="513"/>
      <c r="BE134" s="513"/>
      <c r="BF134" s="513"/>
      <c r="BG134" s="513"/>
      <c r="BH134" s="771"/>
      <c r="BI134" s="513"/>
      <c r="BJ134" s="513"/>
      <c r="BK134" s="513"/>
      <c r="BM134" s="775"/>
      <c r="BO134" s="513"/>
      <c r="BP134" s="513"/>
      <c r="BQ134" s="513"/>
      <c r="BR134" s="513"/>
      <c r="BS134" s="513"/>
      <c r="BT134" s="513"/>
    </row>
    <row r="135" spans="1:72" s="227" customFormat="1" ht="18" x14ac:dyDescent="0.25">
      <c r="A135" s="444"/>
      <c r="B135" s="516"/>
      <c r="C135" s="512"/>
      <c r="D135" s="512"/>
      <c r="E135" s="512"/>
      <c r="F135" s="512"/>
      <c r="G135" s="564"/>
      <c r="H135" s="489"/>
      <c r="I135" s="489"/>
      <c r="J135" s="489"/>
      <c r="K135" s="514"/>
      <c r="L135" s="512"/>
      <c r="M135" s="512"/>
      <c r="N135" s="512"/>
      <c r="O135" s="512"/>
      <c r="AU135" s="513"/>
      <c r="AV135" s="513"/>
      <c r="AW135" s="513"/>
      <c r="AX135" s="513"/>
      <c r="AY135" s="513"/>
      <c r="AZ135" s="513"/>
      <c r="BA135" s="513"/>
      <c r="BB135" s="513"/>
      <c r="BC135" s="513"/>
      <c r="BD135" s="513"/>
      <c r="BE135" s="513"/>
      <c r="BF135" s="513"/>
      <c r="BG135" s="513"/>
      <c r="BH135" s="771"/>
      <c r="BI135" s="513"/>
      <c r="BJ135" s="513"/>
      <c r="BK135" s="513"/>
      <c r="BM135" s="775"/>
      <c r="BO135" s="513"/>
      <c r="BP135" s="513"/>
      <c r="BQ135" s="513"/>
      <c r="BR135" s="513"/>
      <c r="BS135" s="513"/>
      <c r="BT135" s="513"/>
    </row>
    <row r="136" spans="1:72" s="227" customFormat="1" ht="18" x14ac:dyDescent="0.25">
      <c r="A136" s="444"/>
      <c r="B136" s="516"/>
      <c r="C136" s="512"/>
      <c r="D136" s="512"/>
      <c r="E136" s="512"/>
      <c r="F136" s="512"/>
      <c r="G136" s="564"/>
      <c r="H136" s="489"/>
      <c r="I136" s="489"/>
      <c r="J136" s="489"/>
      <c r="K136" s="514"/>
      <c r="L136" s="512"/>
      <c r="M136" s="512"/>
      <c r="N136" s="512"/>
      <c r="O136" s="512"/>
      <c r="AU136" s="513"/>
      <c r="AV136" s="513"/>
      <c r="AW136" s="513"/>
      <c r="AX136" s="513"/>
      <c r="AY136" s="513"/>
      <c r="AZ136" s="513"/>
      <c r="BA136" s="513"/>
      <c r="BB136" s="513"/>
      <c r="BC136" s="513"/>
      <c r="BD136" s="513"/>
      <c r="BE136" s="513"/>
      <c r="BF136" s="513"/>
      <c r="BG136" s="513"/>
      <c r="BH136" s="771"/>
      <c r="BI136" s="513"/>
      <c r="BJ136" s="513"/>
      <c r="BK136" s="513"/>
      <c r="BM136" s="775"/>
      <c r="BO136" s="513"/>
      <c r="BP136" s="513"/>
      <c r="BQ136" s="513"/>
      <c r="BR136" s="513"/>
      <c r="BS136" s="513"/>
      <c r="BT136" s="513"/>
    </row>
    <row r="137" spans="1:72" s="227" customFormat="1" ht="18" x14ac:dyDescent="0.25">
      <c r="A137" s="444"/>
      <c r="B137" s="516"/>
      <c r="C137" s="512"/>
      <c r="D137" s="512"/>
      <c r="E137" s="512"/>
      <c r="F137" s="512"/>
      <c r="G137" s="564"/>
      <c r="H137" s="489"/>
      <c r="I137" s="489"/>
      <c r="J137" s="489"/>
      <c r="K137" s="514"/>
      <c r="L137" s="512"/>
      <c r="M137" s="512"/>
      <c r="N137" s="512"/>
      <c r="O137" s="512"/>
      <c r="AU137" s="513"/>
      <c r="AV137" s="513"/>
      <c r="AW137" s="513"/>
      <c r="AX137" s="513"/>
      <c r="AY137" s="513"/>
      <c r="AZ137" s="513"/>
      <c r="BA137" s="513"/>
      <c r="BB137" s="513"/>
      <c r="BC137" s="513"/>
      <c r="BD137" s="513"/>
      <c r="BE137" s="513"/>
      <c r="BF137" s="513"/>
      <c r="BG137" s="513"/>
      <c r="BH137" s="771"/>
      <c r="BI137" s="513"/>
      <c r="BJ137" s="513"/>
      <c r="BK137" s="513"/>
      <c r="BM137" s="775"/>
      <c r="BO137" s="513"/>
      <c r="BP137" s="513"/>
      <c r="BQ137" s="513"/>
      <c r="BR137" s="513"/>
      <c r="BS137" s="513"/>
      <c r="BT137" s="513"/>
    </row>
    <row r="138" spans="1:72" s="227" customFormat="1" ht="45" x14ac:dyDescent="0.25">
      <c r="A138" s="444"/>
      <c r="B138" s="516"/>
      <c r="C138" s="512"/>
      <c r="D138" s="512"/>
      <c r="E138" s="512"/>
      <c r="F138" s="512"/>
      <c r="G138" s="564"/>
      <c r="H138" s="489"/>
      <c r="I138" s="489"/>
      <c r="J138" s="489"/>
      <c r="K138" s="514"/>
      <c r="L138" s="512"/>
      <c r="M138" s="512"/>
      <c r="N138" s="512"/>
      <c r="O138" s="512"/>
      <c r="AU138" s="513"/>
      <c r="AV138" s="513"/>
      <c r="AW138" s="513"/>
      <c r="AX138" s="513"/>
      <c r="AY138" s="513"/>
      <c r="AZ138" s="513"/>
      <c r="BA138" s="513"/>
      <c r="BB138" s="513"/>
      <c r="BC138" s="581"/>
      <c r="BD138" s="513"/>
      <c r="BE138" s="513"/>
      <c r="BF138" s="513"/>
      <c r="BG138" s="513"/>
      <c r="BH138" s="771"/>
      <c r="BI138" s="513"/>
      <c r="BJ138" s="513"/>
      <c r="BK138" s="513"/>
      <c r="BM138" s="775"/>
      <c r="BO138" s="513"/>
      <c r="BP138" s="513"/>
      <c r="BQ138" s="513"/>
      <c r="BR138" s="581"/>
      <c r="BS138" s="581"/>
      <c r="BT138" s="580"/>
    </row>
    <row r="139" spans="1:72" s="227" customFormat="1" ht="45" x14ac:dyDescent="0.25">
      <c r="A139" s="444"/>
      <c r="B139" s="516"/>
      <c r="C139" s="512"/>
      <c r="D139" s="512"/>
      <c r="E139" s="512"/>
      <c r="F139" s="512"/>
      <c r="G139" s="564"/>
      <c r="H139" s="489"/>
      <c r="I139" s="489"/>
      <c r="J139" s="489"/>
      <c r="K139" s="514"/>
      <c r="L139" s="512"/>
      <c r="M139" s="512"/>
      <c r="N139" s="512"/>
      <c r="O139" s="512"/>
      <c r="AU139" s="513"/>
      <c r="AV139" s="513"/>
      <c r="AW139" s="513"/>
      <c r="AX139" s="513"/>
      <c r="AY139" s="513"/>
      <c r="AZ139" s="513"/>
      <c r="BA139" s="513"/>
      <c r="BB139" s="513"/>
      <c r="BC139" s="513"/>
      <c r="BD139" s="513"/>
      <c r="BE139" s="513"/>
      <c r="BF139" s="513"/>
      <c r="BG139" s="513"/>
      <c r="BH139" s="771"/>
      <c r="BI139" s="513"/>
      <c r="BJ139" s="513"/>
      <c r="BK139" s="513"/>
      <c r="BM139" s="775"/>
      <c r="BO139" s="513"/>
      <c r="BP139" s="513"/>
      <c r="BQ139" s="513"/>
      <c r="BR139" s="513"/>
      <c r="BS139" s="582"/>
      <c r="BT139" s="513"/>
    </row>
    <row r="140" spans="1:72" s="227" customFormat="1" ht="18" x14ac:dyDescent="0.25">
      <c r="A140" s="444"/>
      <c r="B140" s="516"/>
      <c r="C140" s="512"/>
      <c r="D140" s="512"/>
      <c r="E140" s="512"/>
      <c r="F140" s="512"/>
      <c r="G140" s="564"/>
      <c r="H140" s="489"/>
      <c r="I140" s="489"/>
      <c r="J140" s="489"/>
      <c r="K140" s="514"/>
      <c r="L140" s="512"/>
      <c r="M140" s="512"/>
      <c r="N140" s="512"/>
      <c r="O140" s="512"/>
      <c r="AU140" s="513"/>
      <c r="AV140" s="513"/>
      <c r="AW140" s="513"/>
      <c r="AX140" s="513"/>
      <c r="AY140" s="513"/>
      <c r="AZ140" s="513"/>
      <c r="BA140" s="513"/>
      <c r="BB140" s="513"/>
      <c r="BC140" s="513"/>
      <c r="BD140" s="513"/>
      <c r="BE140" s="513"/>
      <c r="BF140" s="513"/>
      <c r="BG140" s="513"/>
      <c r="BH140" s="771"/>
      <c r="BI140" s="513"/>
      <c r="BJ140" s="513"/>
      <c r="BK140" s="513"/>
      <c r="BM140" s="775"/>
      <c r="BO140" s="513"/>
      <c r="BP140" s="513"/>
      <c r="BQ140" s="513"/>
      <c r="BR140" s="513"/>
      <c r="BS140" s="513"/>
      <c r="BT140" s="513"/>
    </row>
    <row r="141" spans="1:72" s="227" customFormat="1" ht="18" x14ac:dyDescent="0.25">
      <c r="A141" s="444"/>
      <c r="B141" s="516"/>
      <c r="C141" s="512"/>
      <c r="D141" s="512"/>
      <c r="E141" s="512"/>
      <c r="F141" s="512"/>
      <c r="G141" s="564"/>
      <c r="H141" s="489"/>
      <c r="I141" s="489"/>
      <c r="J141" s="489"/>
      <c r="K141" s="514"/>
      <c r="L141" s="512"/>
      <c r="M141" s="512"/>
      <c r="N141" s="512"/>
      <c r="O141" s="512"/>
      <c r="AU141" s="513"/>
      <c r="AV141" s="513"/>
      <c r="AW141" s="513"/>
      <c r="AX141" s="513"/>
      <c r="AY141" s="513"/>
      <c r="AZ141" s="513"/>
      <c r="BA141" s="513"/>
      <c r="BB141" s="513"/>
      <c r="BC141" s="513"/>
      <c r="BD141" s="513"/>
      <c r="BE141" s="513"/>
      <c r="BF141" s="513"/>
      <c r="BG141" s="513"/>
      <c r="BH141" s="771"/>
      <c r="BI141" s="513"/>
      <c r="BJ141" s="513"/>
      <c r="BK141" s="513"/>
      <c r="BM141" s="775"/>
      <c r="BO141" s="513"/>
      <c r="BP141" s="513"/>
      <c r="BQ141" s="513"/>
      <c r="BR141" s="513"/>
      <c r="BS141" s="513"/>
      <c r="BT141" s="513"/>
    </row>
    <row r="142" spans="1:72" s="227" customFormat="1" ht="18" x14ac:dyDescent="0.25">
      <c r="A142" s="444"/>
      <c r="B142" s="516"/>
      <c r="C142" s="512"/>
      <c r="D142" s="512"/>
      <c r="E142" s="512"/>
      <c r="F142" s="512"/>
      <c r="G142" s="564"/>
      <c r="H142" s="489"/>
      <c r="I142" s="489"/>
      <c r="J142" s="489"/>
      <c r="K142" s="514"/>
      <c r="L142" s="512"/>
      <c r="M142" s="512"/>
      <c r="N142" s="512"/>
      <c r="O142" s="512"/>
      <c r="AU142" s="513"/>
      <c r="AV142" s="513"/>
      <c r="AW142" s="513"/>
      <c r="AX142" s="513"/>
      <c r="AY142" s="513"/>
      <c r="AZ142" s="513"/>
      <c r="BA142" s="513"/>
      <c r="BB142" s="513"/>
      <c r="BC142" s="513"/>
      <c r="BD142" s="513"/>
      <c r="BE142" s="513"/>
      <c r="BF142" s="513"/>
      <c r="BG142" s="513"/>
      <c r="BH142" s="771"/>
      <c r="BI142" s="513"/>
      <c r="BJ142" s="513"/>
      <c r="BK142" s="513"/>
      <c r="BM142" s="775"/>
      <c r="BO142" s="513"/>
      <c r="BP142" s="513"/>
      <c r="BQ142" s="513"/>
      <c r="BR142" s="513"/>
      <c r="BS142" s="513"/>
      <c r="BT142" s="513"/>
    </row>
    <row r="143" spans="1:72" s="227" customFormat="1" ht="18" x14ac:dyDescent="0.25">
      <c r="A143" s="444"/>
      <c r="B143" s="516"/>
      <c r="C143" s="512"/>
      <c r="D143" s="512"/>
      <c r="E143" s="512"/>
      <c r="F143" s="512"/>
      <c r="G143" s="564"/>
      <c r="H143" s="489"/>
      <c r="I143" s="489"/>
      <c r="J143" s="489"/>
      <c r="K143" s="514"/>
      <c r="L143" s="512"/>
      <c r="M143" s="512"/>
      <c r="N143" s="512"/>
      <c r="O143" s="512"/>
      <c r="AU143" s="513"/>
      <c r="AV143" s="513"/>
      <c r="AW143" s="513"/>
      <c r="AX143" s="513"/>
      <c r="AY143" s="513"/>
      <c r="AZ143" s="513"/>
      <c r="BA143" s="513"/>
      <c r="BB143" s="513"/>
      <c r="BC143" s="513"/>
      <c r="BD143" s="513"/>
      <c r="BE143" s="513"/>
      <c r="BF143" s="513"/>
      <c r="BG143" s="513"/>
      <c r="BH143" s="771"/>
      <c r="BI143" s="513"/>
      <c r="BJ143" s="513"/>
      <c r="BK143" s="513"/>
      <c r="BM143" s="775"/>
      <c r="BO143" s="513"/>
      <c r="BP143" s="513"/>
      <c r="BQ143" s="513"/>
      <c r="BR143" s="513"/>
      <c r="BS143" s="513"/>
      <c r="BT143" s="513"/>
    </row>
    <row r="144" spans="1:72" s="227" customFormat="1" ht="18" x14ac:dyDescent="0.25">
      <c r="A144" s="444"/>
      <c r="B144" s="516"/>
      <c r="C144" s="512"/>
      <c r="D144" s="512"/>
      <c r="E144" s="512"/>
      <c r="F144" s="512"/>
      <c r="G144" s="564"/>
      <c r="H144" s="489"/>
      <c r="I144" s="489"/>
      <c r="J144" s="489"/>
      <c r="K144" s="514"/>
      <c r="L144" s="512"/>
      <c r="M144" s="512"/>
      <c r="N144" s="512"/>
      <c r="O144" s="512"/>
      <c r="AU144" s="513"/>
      <c r="AV144" s="513"/>
      <c r="AW144" s="513"/>
      <c r="AX144" s="513"/>
      <c r="AY144" s="513"/>
      <c r="AZ144" s="513"/>
      <c r="BA144" s="513"/>
      <c r="BB144" s="513"/>
      <c r="BC144" s="513"/>
      <c r="BD144" s="513"/>
      <c r="BE144" s="513"/>
      <c r="BF144" s="513"/>
      <c r="BG144" s="513"/>
      <c r="BH144" s="771"/>
      <c r="BI144" s="513"/>
      <c r="BJ144" s="513"/>
      <c r="BK144" s="513"/>
      <c r="BM144" s="775"/>
      <c r="BO144" s="513"/>
      <c r="BP144" s="513"/>
      <c r="BQ144" s="513"/>
      <c r="BR144" s="513"/>
      <c r="BS144" s="513"/>
      <c r="BT144" s="513"/>
    </row>
    <row r="145" spans="1:102" s="227" customFormat="1" ht="18" x14ac:dyDescent="0.25">
      <c r="A145" s="444"/>
      <c r="B145" s="516"/>
      <c r="C145" s="444"/>
      <c r="D145" s="512"/>
      <c r="E145" s="512"/>
      <c r="F145" s="512"/>
      <c r="G145" s="564"/>
      <c r="H145" s="489"/>
      <c r="I145" s="489"/>
      <c r="J145" s="489"/>
      <c r="K145" s="514"/>
      <c r="L145" s="512"/>
      <c r="M145" s="512"/>
      <c r="N145" s="512"/>
      <c r="O145" s="512"/>
      <c r="AU145" s="513"/>
      <c r="AV145" s="513"/>
      <c r="AW145" s="513"/>
      <c r="AX145" s="513"/>
      <c r="AY145" s="513"/>
      <c r="AZ145" s="513"/>
      <c r="BA145" s="513"/>
      <c r="BB145" s="513"/>
      <c r="BC145" s="513"/>
      <c r="BD145" s="513"/>
      <c r="BE145" s="513"/>
      <c r="BF145" s="513"/>
      <c r="BG145" s="513"/>
      <c r="BH145" s="771"/>
      <c r="BI145" s="513"/>
      <c r="BJ145" s="513"/>
      <c r="BK145" s="513"/>
      <c r="BM145" s="775"/>
      <c r="BO145" s="513"/>
      <c r="BP145" s="513"/>
      <c r="BQ145" s="513"/>
      <c r="BR145" s="513"/>
      <c r="BS145" s="513"/>
      <c r="BT145" s="513"/>
    </row>
    <row r="146" spans="1:102" s="227" customFormat="1" ht="18" x14ac:dyDescent="0.25">
      <c r="A146" s="444"/>
      <c r="B146" s="516"/>
      <c r="C146" s="444"/>
      <c r="D146" s="512"/>
      <c r="E146" s="512"/>
      <c r="F146" s="512"/>
      <c r="G146" s="564"/>
      <c r="H146" s="489"/>
      <c r="I146" s="489"/>
      <c r="J146" s="489"/>
      <c r="K146" s="514"/>
      <c r="L146" s="512"/>
      <c r="M146" s="512"/>
      <c r="N146" s="512"/>
      <c r="O146" s="512"/>
      <c r="AU146" s="513"/>
      <c r="AV146" s="513"/>
      <c r="AW146" s="513"/>
      <c r="AX146" s="513"/>
      <c r="AY146" s="513"/>
      <c r="AZ146" s="513"/>
      <c r="BA146" s="513"/>
      <c r="BB146" s="513"/>
      <c r="BC146" s="513"/>
      <c r="BD146" s="513"/>
      <c r="BE146" s="513"/>
      <c r="BF146" s="513"/>
      <c r="BG146" s="513"/>
      <c r="BH146" s="771"/>
      <c r="BI146" s="513"/>
      <c r="BJ146" s="513"/>
      <c r="BK146" s="513"/>
      <c r="BM146" s="775"/>
      <c r="BO146" s="513"/>
      <c r="BP146" s="513"/>
      <c r="BQ146" s="513"/>
      <c r="BR146" s="513"/>
      <c r="BS146" s="513"/>
      <c r="BT146" s="513"/>
    </row>
    <row r="147" spans="1:102" s="227" customFormat="1" ht="18" x14ac:dyDescent="0.25">
      <c r="A147" s="444"/>
      <c r="B147" s="516"/>
      <c r="C147" s="444"/>
      <c r="D147" s="512"/>
      <c r="E147" s="512"/>
      <c r="F147" s="512"/>
      <c r="G147" s="564"/>
      <c r="H147" s="489"/>
      <c r="I147" s="489"/>
      <c r="J147" s="489"/>
      <c r="K147" s="514"/>
      <c r="L147" s="512"/>
      <c r="M147" s="512"/>
      <c r="N147" s="512"/>
      <c r="O147" s="512"/>
      <c r="AU147" s="513"/>
      <c r="AV147" s="513"/>
      <c r="AW147" s="513"/>
      <c r="AX147" s="513"/>
      <c r="AY147" s="513"/>
      <c r="AZ147" s="513"/>
      <c r="BA147" s="513"/>
      <c r="BB147" s="513"/>
      <c r="BC147" s="513"/>
      <c r="BD147" s="513"/>
      <c r="BE147" s="513"/>
      <c r="BF147" s="513"/>
      <c r="BG147" s="513"/>
      <c r="BH147" s="771"/>
      <c r="BI147" s="513"/>
      <c r="BJ147" s="513"/>
      <c r="BK147" s="513"/>
      <c r="BM147" s="775"/>
      <c r="BO147" s="513"/>
      <c r="BP147" s="513"/>
      <c r="BQ147" s="513"/>
      <c r="BR147" s="513"/>
      <c r="BS147" s="513"/>
      <c r="BT147" s="513"/>
    </row>
    <row r="148" spans="1:102" s="227" customFormat="1" ht="18" x14ac:dyDescent="0.25">
      <c r="A148" s="444"/>
      <c r="B148" s="516"/>
      <c r="C148" s="444"/>
      <c r="D148" s="512"/>
      <c r="E148" s="512"/>
      <c r="F148" s="512"/>
      <c r="G148" s="564"/>
      <c r="H148" s="489"/>
      <c r="I148" s="489"/>
      <c r="J148" s="489"/>
      <c r="K148" s="514"/>
      <c r="L148" s="512"/>
      <c r="M148" s="512"/>
      <c r="N148" s="512"/>
      <c r="O148" s="512"/>
      <c r="AU148" s="513"/>
      <c r="AV148" s="513"/>
      <c r="AW148" s="513"/>
      <c r="AX148" s="513"/>
      <c r="AY148" s="513"/>
      <c r="AZ148" s="513"/>
      <c r="BA148" s="513"/>
      <c r="BB148" s="513"/>
      <c r="BC148" s="513"/>
      <c r="BD148" s="513"/>
      <c r="BE148" s="513"/>
      <c r="BF148" s="513"/>
      <c r="BG148" s="513"/>
      <c r="BH148" s="771"/>
      <c r="BI148" s="513"/>
      <c r="BJ148" s="513"/>
      <c r="BK148" s="513"/>
      <c r="BM148" s="775"/>
      <c r="BO148" s="513"/>
      <c r="BP148" s="513"/>
      <c r="BQ148" s="513"/>
      <c r="BR148" s="513"/>
      <c r="BS148" s="513"/>
      <c r="BT148" s="513"/>
    </row>
    <row r="149" spans="1:102" s="227" customFormat="1" ht="45" x14ac:dyDescent="0.6">
      <c r="A149" s="444"/>
      <c r="B149" s="516"/>
      <c r="C149" s="838"/>
      <c r="D149" s="838"/>
      <c r="E149" s="594"/>
      <c r="F149" s="512"/>
      <c r="G149" s="564"/>
      <c r="H149" s="489"/>
      <c r="I149" s="489"/>
      <c r="J149" s="489"/>
      <c r="K149" s="514"/>
      <c r="L149" s="512"/>
      <c r="M149" s="512"/>
      <c r="N149" s="512"/>
      <c r="O149" s="512"/>
      <c r="AU149" s="513"/>
      <c r="AV149" s="513"/>
      <c r="AW149" s="513"/>
      <c r="AX149" s="513"/>
      <c r="AY149" s="513"/>
      <c r="AZ149" s="838"/>
      <c r="BA149" s="838"/>
      <c r="BB149" s="838"/>
      <c r="BC149" s="838"/>
      <c r="BD149" s="618"/>
      <c r="BE149" s="513"/>
      <c r="BF149" s="513"/>
      <c r="BG149" s="513"/>
      <c r="BH149" s="771"/>
      <c r="BI149" s="513"/>
      <c r="BJ149" s="513"/>
      <c r="BK149" s="513"/>
      <c r="BM149" s="775"/>
      <c r="BO149" s="513"/>
      <c r="BP149" s="839"/>
      <c r="BQ149" s="839"/>
      <c r="BR149" s="513"/>
      <c r="BS149" s="619"/>
      <c r="BT149" s="513"/>
      <c r="BV149" s="642"/>
      <c r="CA149" s="606"/>
      <c r="CB149" s="607"/>
      <c r="CD149" s="632"/>
      <c r="CE149" s="597"/>
    </row>
    <row r="150" spans="1:102" s="588" customFormat="1" ht="45" x14ac:dyDescent="0.25">
      <c r="A150" s="579"/>
      <c r="B150" s="585"/>
      <c r="C150" s="626"/>
      <c r="D150" s="626"/>
      <c r="E150" s="583"/>
      <c r="F150" s="583"/>
      <c r="G150" s="564"/>
      <c r="H150" s="489"/>
      <c r="I150" s="489"/>
      <c r="J150" s="489"/>
      <c r="K150" s="514"/>
      <c r="L150" s="512"/>
      <c r="M150" s="512"/>
      <c r="N150" s="512"/>
      <c r="O150" s="512"/>
      <c r="P150" s="227"/>
      <c r="Q150" s="227"/>
      <c r="R150" s="227"/>
      <c r="S150" s="227"/>
      <c r="T150" s="227"/>
      <c r="U150" s="227"/>
      <c r="V150" s="227"/>
      <c r="W150" s="227"/>
      <c r="X150" s="227"/>
      <c r="Y150" s="227"/>
      <c r="Z150" s="227"/>
      <c r="AA150" s="227"/>
      <c r="AB150" s="227"/>
      <c r="AC150" s="227"/>
      <c r="AD150" s="227"/>
      <c r="AE150" s="227"/>
      <c r="AF150" s="227"/>
      <c r="AG150" s="227"/>
      <c r="AH150" s="227"/>
      <c r="AI150" s="227"/>
      <c r="AJ150" s="227"/>
      <c r="AK150" s="227"/>
      <c r="AL150" s="227"/>
      <c r="AM150" s="227"/>
      <c r="AN150" s="227"/>
      <c r="AO150" s="227"/>
      <c r="AP150" s="227"/>
      <c r="AQ150" s="227"/>
      <c r="AR150" s="227"/>
      <c r="AS150" s="227"/>
      <c r="AT150" s="227"/>
      <c r="AU150" s="513"/>
      <c r="AV150" s="513"/>
      <c r="AW150" s="513"/>
      <c r="AX150" s="513"/>
      <c r="AY150" s="870" t="s">
        <v>553</v>
      </c>
      <c r="AZ150" s="870"/>
      <c r="BA150" s="870"/>
      <c r="BB150" s="870"/>
      <c r="BC150" s="870"/>
      <c r="BD150" s="591"/>
      <c r="BE150" s="591"/>
      <c r="BF150" s="591"/>
      <c r="BH150" s="772"/>
      <c r="BK150" s="615"/>
      <c r="BL150" s="615"/>
      <c r="BM150" s="777"/>
      <c r="BN150" s="615"/>
      <c r="BO150" s="587"/>
      <c r="BP150" s="587"/>
      <c r="BS150" s="587"/>
      <c r="BT150" s="587"/>
      <c r="BY150" s="587"/>
      <c r="BZ150" s="121"/>
      <c r="CA150" s="121"/>
      <c r="CB150" s="596"/>
      <c r="CC150" s="121"/>
      <c r="CD150" s="587"/>
      <c r="CE150" s="598"/>
      <c r="CG150" s="227"/>
      <c r="CH150" s="227"/>
      <c r="CJ150" s="227"/>
      <c r="CK150" s="227"/>
      <c r="CL150" s="227"/>
      <c r="CM150" s="227"/>
      <c r="CO150" s="589"/>
      <c r="CP150" s="589"/>
      <c r="CQ150" s="590"/>
      <c r="CR150" s="863"/>
      <c r="CS150" s="863"/>
      <c r="CT150" s="590"/>
      <c r="CU150" s="590"/>
      <c r="CV150" s="586"/>
    </row>
    <row r="151" spans="1:102" s="622" customFormat="1" ht="50.25" x14ac:dyDescent="0.6">
      <c r="A151" s="579"/>
      <c r="B151" s="585"/>
      <c r="C151" s="838"/>
      <c r="D151" s="838"/>
      <c r="E151" s="579"/>
      <c r="F151" s="621"/>
      <c r="G151" s="621"/>
      <c r="H151" s="593"/>
      <c r="I151" s="489"/>
      <c r="J151" s="875" t="s">
        <v>530</v>
      </c>
      <c r="K151" s="875"/>
      <c r="L151" s="875"/>
      <c r="M151" s="512"/>
      <c r="N151" s="583"/>
      <c r="O151" s="583"/>
      <c r="Q151" s="227"/>
      <c r="Y151" s="227"/>
      <c r="AC151" s="227"/>
      <c r="AG151" s="227"/>
      <c r="AK151" s="227"/>
      <c r="AO151" s="227"/>
      <c r="AR151" s="839" t="s">
        <v>540</v>
      </c>
      <c r="AS151" s="839"/>
      <c r="AT151" s="839"/>
      <c r="AU151" s="839"/>
      <c r="AW151" s="513"/>
      <c r="AY151" s="871"/>
      <c r="AZ151" s="871"/>
      <c r="BA151" s="870"/>
      <c r="BB151" s="871"/>
      <c r="BC151" s="871"/>
      <c r="BD151" s="621"/>
      <c r="BE151" s="621"/>
      <c r="BF151" s="591"/>
      <c r="BG151" s="588"/>
      <c r="BH151" s="772"/>
      <c r="BI151" s="624"/>
      <c r="BJ151" s="624"/>
      <c r="BK151" s="625"/>
      <c r="BL151" s="872"/>
      <c r="BM151" s="872"/>
      <c r="BN151" s="873"/>
      <c r="BO151" s="873"/>
      <c r="BP151" s="873"/>
      <c r="BQ151" s="865"/>
      <c r="BR151" s="865"/>
      <c r="BS151" s="872"/>
      <c r="BT151" s="872"/>
      <c r="BU151" s="839"/>
      <c r="BV151" s="839"/>
      <c r="BW151" s="865"/>
      <c r="BX151" s="865"/>
      <c r="BY151" s="865"/>
      <c r="BZ151" s="121"/>
      <c r="CA151" s="608"/>
      <c r="CB151" s="609"/>
      <c r="CC151" s="121"/>
      <c r="CD151" s="633"/>
      <c r="CE151" s="623"/>
      <c r="CK151" s="645"/>
      <c r="CO151" s="621"/>
      <c r="CP151" s="621"/>
      <c r="CQ151" s="590"/>
      <c r="CR151" s="863"/>
      <c r="CS151" s="863"/>
      <c r="CT151" s="590"/>
      <c r="CU151" s="590"/>
      <c r="CV151" s="586"/>
    </row>
    <row r="152" spans="1:102" s="603" customFormat="1" ht="50.25" x14ac:dyDescent="0.6">
      <c r="A152" s="599"/>
      <c r="B152" s="600"/>
      <c r="C152" s="635"/>
      <c r="D152" s="635"/>
      <c r="E152" s="599"/>
      <c r="F152" s="620"/>
      <c r="G152" s="620"/>
      <c r="H152" s="489"/>
      <c r="I152" s="489"/>
      <c r="J152" s="875"/>
      <c r="K152" s="875"/>
      <c r="L152" s="875"/>
      <c r="M152" s="512"/>
      <c r="N152" s="512"/>
      <c r="O152" s="512"/>
      <c r="P152" s="227"/>
      <c r="Q152" s="227"/>
      <c r="R152" s="227"/>
      <c r="S152" s="227"/>
      <c r="T152" s="227"/>
      <c r="U152" s="227"/>
      <c r="V152" s="227"/>
      <c r="W152" s="227"/>
      <c r="X152" s="227"/>
      <c r="Y152" s="227"/>
      <c r="Z152" s="839"/>
      <c r="AA152" s="865"/>
      <c r="AB152" s="839"/>
      <c r="AC152" s="227"/>
      <c r="AD152" s="227"/>
      <c r="AE152" s="227"/>
      <c r="AF152" s="227"/>
      <c r="AG152" s="227"/>
      <c r="AH152" s="227"/>
      <c r="AI152" s="227"/>
      <c r="AJ152" s="227"/>
      <c r="AK152" s="227"/>
      <c r="AL152" s="227"/>
      <c r="AM152" s="227"/>
      <c r="AN152" s="227"/>
      <c r="AO152" s="227"/>
      <c r="AP152" s="227"/>
      <c r="AQ152" s="227"/>
      <c r="AR152" s="839"/>
      <c r="AS152" s="839"/>
      <c r="AT152" s="839"/>
      <c r="AU152" s="839"/>
      <c r="AV152" s="513"/>
      <c r="AW152" s="513"/>
      <c r="AX152" s="513"/>
      <c r="AY152" s="874"/>
      <c r="AZ152" s="874"/>
      <c r="BA152" s="874"/>
      <c r="BB152" s="874"/>
      <c r="BC152" s="635"/>
      <c r="BD152" s="601"/>
      <c r="BE152" s="601"/>
      <c r="BF152" s="591"/>
      <c r="BH152" s="773"/>
      <c r="BI152" s="624"/>
      <c r="BJ152" s="624"/>
      <c r="BK152" s="625"/>
      <c r="BL152" s="625"/>
      <c r="BM152" s="778"/>
      <c r="BN152" s="873"/>
      <c r="BO152" s="873"/>
      <c r="BP152" s="873"/>
      <c r="BQ152" s="865"/>
      <c r="BR152" s="865"/>
      <c r="BT152" s="602"/>
      <c r="BU152" s="839"/>
      <c r="BV152" s="839"/>
      <c r="BW152" s="865"/>
      <c r="BX152" s="865"/>
      <c r="BY152" s="865"/>
      <c r="BZ152" s="121"/>
      <c r="CA152" s="608"/>
      <c r="CB152" s="609"/>
      <c r="CC152" s="121"/>
      <c r="CD152" s="633"/>
      <c r="CE152" s="598"/>
      <c r="CO152" s="601"/>
      <c r="CP152" s="601"/>
      <c r="CQ152" s="604"/>
      <c r="CR152" s="864"/>
      <c r="CS152" s="864"/>
      <c r="CT152" s="604"/>
      <c r="CU152" s="604"/>
      <c r="CV152" s="605"/>
    </row>
    <row r="153" spans="1:102" s="227" customFormat="1" x14ac:dyDescent="0.25">
      <c r="A153" s="444"/>
      <c r="B153" s="516"/>
      <c r="C153" s="444"/>
      <c r="D153" s="444"/>
      <c r="E153" s="444"/>
      <c r="F153" s="512"/>
      <c r="G153" s="564"/>
      <c r="H153" s="489"/>
      <c r="I153" s="489"/>
      <c r="J153" s="489"/>
      <c r="K153" s="514"/>
      <c r="L153" s="512"/>
      <c r="M153" s="512"/>
      <c r="N153" s="512"/>
      <c r="O153" s="512"/>
      <c r="AU153" s="513"/>
      <c r="AV153" s="513"/>
      <c r="AW153" s="513"/>
      <c r="AX153" s="513"/>
      <c r="AY153" s="628"/>
      <c r="AZ153" s="627"/>
      <c r="BA153" s="122"/>
      <c r="BB153" s="122"/>
      <c r="BC153" s="122"/>
      <c r="BD153" s="132"/>
      <c r="BE153" s="122"/>
      <c r="BF153" s="122"/>
      <c r="BG153" s="122"/>
      <c r="BH153" s="863"/>
      <c r="BI153" s="863"/>
      <c r="BJ153" s="863"/>
      <c r="BK153" s="863"/>
      <c r="BL153" s="865" t="s">
        <v>543</v>
      </c>
      <c r="BM153" s="779"/>
      <c r="BN153" s="122"/>
      <c r="BO153" s="132"/>
      <c r="BP153" s="132"/>
      <c r="BQ153" s="865"/>
      <c r="BR153" s="865"/>
      <c r="BS153" s="132"/>
      <c r="BT153" s="132"/>
      <c r="BU153" s="864"/>
      <c r="BV153" s="863"/>
      <c r="BW153" s="863"/>
      <c r="BX153" s="863"/>
      <c r="BY153" s="132"/>
      <c r="BZ153" s="132"/>
      <c r="CA153" s="610"/>
      <c r="CB153" s="611"/>
      <c r="CC153" s="132"/>
      <c r="CD153" s="634"/>
      <c r="CE153" s="597"/>
      <c r="CO153" s="122"/>
      <c r="CP153" s="122"/>
      <c r="CR153" s="146"/>
      <c r="CS153" s="146"/>
      <c r="CT153" s="137"/>
      <c r="CU153" s="137"/>
      <c r="CV153" s="137"/>
      <c r="CW153" s="137"/>
      <c r="CX153" s="121"/>
    </row>
    <row r="154" spans="1:102" s="227" customFormat="1" x14ac:dyDescent="0.25">
      <c r="A154" s="444"/>
      <c r="B154" s="516"/>
      <c r="C154" s="444"/>
      <c r="D154" s="444"/>
      <c r="E154" s="444"/>
      <c r="F154" s="512"/>
      <c r="G154" s="564"/>
      <c r="H154" s="489"/>
      <c r="I154" s="489"/>
      <c r="J154" s="489"/>
      <c r="K154" s="514"/>
      <c r="L154" s="512"/>
      <c r="M154" s="512"/>
      <c r="N154" s="512"/>
      <c r="O154" s="512"/>
      <c r="AU154" s="513"/>
      <c r="AV154" s="513"/>
      <c r="AW154" s="513"/>
      <c r="AX154" s="513"/>
      <c r="AY154" s="513"/>
      <c r="AZ154" s="513"/>
      <c r="BA154" s="513"/>
      <c r="BB154" s="513"/>
      <c r="BC154" s="513"/>
      <c r="BD154" s="513"/>
      <c r="BE154" s="513"/>
      <c r="BF154" s="513"/>
      <c r="BG154" s="513"/>
      <c r="BH154" s="863"/>
      <c r="BI154" s="863"/>
      <c r="BJ154" s="863"/>
      <c r="BK154" s="863"/>
      <c r="BL154" s="865"/>
      <c r="BM154" s="775"/>
      <c r="BO154" s="513"/>
      <c r="BP154" s="513"/>
      <c r="BQ154" s="865"/>
      <c r="BR154" s="865"/>
      <c r="BS154" s="513"/>
      <c r="BT154" s="513"/>
      <c r="BU154" s="863"/>
      <c r="BV154" s="863"/>
      <c r="BW154" s="863"/>
      <c r="BX154" s="863"/>
      <c r="CA154" s="606"/>
      <c r="CB154" s="607"/>
      <c r="CD154" s="632"/>
      <c r="CE154" s="597"/>
    </row>
    <row r="155" spans="1:102" s="227" customFormat="1" x14ac:dyDescent="0.25">
      <c r="A155" s="444"/>
      <c r="B155" s="516"/>
      <c r="C155" s="444"/>
      <c r="D155" s="444"/>
      <c r="E155" s="444"/>
      <c r="F155" s="512"/>
      <c r="G155" s="564"/>
      <c r="H155" s="489"/>
      <c r="I155" s="489"/>
      <c r="J155" s="489"/>
      <c r="K155" s="514"/>
      <c r="L155" s="512"/>
      <c r="M155" s="512"/>
      <c r="N155" s="512"/>
      <c r="O155" s="512"/>
      <c r="AU155" s="513"/>
      <c r="AV155" s="513"/>
      <c r="AW155" s="513"/>
      <c r="AX155" s="513"/>
      <c r="AY155" s="513"/>
      <c r="AZ155" s="513"/>
      <c r="BA155" s="513"/>
      <c r="BB155" s="513"/>
      <c r="BC155" s="513"/>
      <c r="BD155" s="513"/>
      <c r="BE155" s="513"/>
      <c r="BF155" s="513"/>
      <c r="BG155" s="513"/>
      <c r="BH155" s="863"/>
      <c r="BI155" s="863"/>
      <c r="BJ155" s="863"/>
      <c r="BK155" s="863"/>
      <c r="BM155" s="775"/>
      <c r="BO155" s="513"/>
      <c r="BP155" s="513"/>
      <c r="BQ155" s="513"/>
      <c r="BR155" s="513"/>
      <c r="BS155" s="513"/>
      <c r="BT155" s="513"/>
      <c r="BU155" s="866"/>
      <c r="BV155" s="866"/>
      <c r="BW155" s="866"/>
      <c r="BX155" s="866"/>
      <c r="CA155" s="606"/>
      <c r="CB155" s="607"/>
      <c r="CD155" s="632"/>
      <c r="CE155" s="597"/>
    </row>
    <row r="156" spans="1:102" s="227" customFormat="1" x14ac:dyDescent="0.25">
      <c r="A156" s="444"/>
      <c r="B156" s="516"/>
      <c r="C156" s="444"/>
      <c r="D156" s="444"/>
      <c r="E156" s="444"/>
      <c r="F156" s="512"/>
      <c r="G156" s="564"/>
      <c r="H156" s="489"/>
      <c r="I156" s="489"/>
      <c r="J156" s="489"/>
      <c r="K156" s="514"/>
      <c r="L156" s="512"/>
      <c r="M156" s="512"/>
      <c r="N156" s="512"/>
      <c r="O156" s="512"/>
      <c r="AU156" s="513"/>
      <c r="AV156" s="513"/>
      <c r="AW156" s="513"/>
      <c r="AX156" s="513"/>
      <c r="AY156" s="513"/>
      <c r="AZ156" s="513"/>
      <c r="BA156" s="513"/>
      <c r="BB156" s="513"/>
      <c r="BC156" s="513"/>
      <c r="BD156" s="513"/>
      <c r="BE156" s="513"/>
      <c r="BF156" s="513"/>
      <c r="BG156" s="513"/>
      <c r="BH156" s="771"/>
      <c r="BI156" s="513"/>
      <c r="BJ156" s="513"/>
      <c r="BK156" s="513"/>
      <c r="BM156" s="775"/>
      <c r="BO156" s="513"/>
      <c r="BP156" s="513"/>
      <c r="BQ156" s="513"/>
      <c r="BR156" s="513"/>
      <c r="BS156" s="513"/>
      <c r="BT156" s="513"/>
      <c r="CA156" s="606"/>
      <c r="CB156" s="607"/>
      <c r="CD156" s="632"/>
      <c r="CE156" s="597"/>
    </row>
    <row r="157" spans="1:102" s="227" customFormat="1" x14ac:dyDescent="0.25">
      <c r="A157" s="444"/>
      <c r="B157" s="516"/>
      <c r="C157" s="444"/>
      <c r="D157" s="444"/>
      <c r="E157" s="444"/>
      <c r="F157" s="512"/>
      <c r="G157" s="564"/>
      <c r="H157" s="489"/>
      <c r="I157" s="489"/>
      <c r="J157" s="489"/>
      <c r="K157" s="514"/>
      <c r="L157" s="512"/>
      <c r="M157" s="512"/>
      <c r="N157" s="512"/>
      <c r="O157" s="512"/>
      <c r="AU157" s="513"/>
      <c r="AV157" s="513"/>
      <c r="AW157" s="513"/>
      <c r="AX157" s="513"/>
      <c r="AY157" s="513"/>
      <c r="AZ157" s="513"/>
      <c r="BA157" s="513"/>
      <c r="BB157" s="513"/>
      <c r="BC157" s="513"/>
      <c r="BD157" s="513"/>
      <c r="BE157" s="513"/>
      <c r="BF157" s="513"/>
      <c r="BG157" s="513"/>
      <c r="BH157" s="771"/>
      <c r="BI157" s="513"/>
      <c r="BJ157" s="513"/>
      <c r="BK157" s="513"/>
      <c r="BM157" s="775"/>
      <c r="BO157" s="513"/>
      <c r="BP157" s="513"/>
      <c r="BQ157" s="513"/>
      <c r="BR157" s="513"/>
      <c r="BS157" s="513"/>
      <c r="BT157" s="513"/>
      <c r="CA157" s="606"/>
      <c r="CB157" s="607"/>
      <c r="CD157" s="632"/>
      <c r="CE157" s="597"/>
    </row>
    <row r="158" spans="1:102" s="227" customFormat="1" x14ac:dyDescent="0.25">
      <c r="A158" s="444"/>
      <c r="B158" s="516"/>
      <c r="C158" s="444"/>
      <c r="D158" s="444"/>
      <c r="E158" s="444"/>
      <c r="F158" s="512"/>
      <c r="G158" s="564"/>
      <c r="H158" s="489"/>
      <c r="I158" s="489"/>
      <c r="J158" s="489"/>
      <c r="K158" s="514"/>
      <c r="L158" s="512"/>
      <c r="M158" s="512"/>
      <c r="N158" s="512"/>
      <c r="O158" s="512"/>
      <c r="AU158" s="513"/>
      <c r="AV158" s="513"/>
      <c r="AW158" s="513"/>
      <c r="AX158" s="513"/>
      <c r="AY158" s="513"/>
      <c r="AZ158" s="513"/>
      <c r="BA158" s="513"/>
      <c r="BB158" s="513"/>
      <c r="BC158" s="513"/>
      <c r="BD158" s="513"/>
      <c r="BE158" s="513"/>
      <c r="BF158" s="513"/>
      <c r="BG158" s="513"/>
      <c r="BH158" s="771"/>
      <c r="BI158" s="513"/>
      <c r="BJ158" s="513"/>
      <c r="BK158" s="513"/>
      <c r="BM158" s="775"/>
      <c r="BO158" s="513"/>
      <c r="BP158" s="513"/>
      <c r="BQ158" s="513"/>
      <c r="BR158" s="513"/>
      <c r="BS158" s="513"/>
      <c r="BT158" s="513"/>
      <c r="CA158" s="606"/>
      <c r="CB158" s="607"/>
      <c r="CD158" s="632"/>
      <c r="CE158" s="597"/>
    </row>
    <row r="159" spans="1:102" s="227" customFormat="1" x14ac:dyDescent="0.25">
      <c r="A159" s="444"/>
      <c r="B159" s="516"/>
      <c r="C159" s="444"/>
      <c r="D159" s="444"/>
      <c r="E159" s="444"/>
      <c r="F159" s="512"/>
      <c r="G159" s="564"/>
      <c r="H159" s="489"/>
      <c r="I159" s="489"/>
      <c r="J159" s="489"/>
      <c r="K159" s="514"/>
      <c r="L159" s="512"/>
      <c r="M159" s="512"/>
      <c r="N159" s="512"/>
      <c r="O159" s="512"/>
      <c r="AU159" s="513"/>
      <c r="AV159" s="513"/>
      <c r="AW159" s="513"/>
      <c r="AX159" s="513"/>
      <c r="AY159" s="513"/>
      <c r="AZ159" s="513"/>
      <c r="BA159" s="513"/>
      <c r="BB159" s="513"/>
      <c r="BC159" s="513"/>
      <c r="BD159" s="513"/>
      <c r="BE159" s="513"/>
      <c r="BF159" s="513"/>
      <c r="BG159" s="513"/>
      <c r="BH159" s="771"/>
      <c r="BI159" s="513"/>
      <c r="BJ159" s="513"/>
      <c r="BK159" s="513"/>
      <c r="BM159" s="775"/>
      <c r="BO159" s="513"/>
      <c r="BP159" s="513"/>
      <c r="BQ159" s="513"/>
      <c r="BR159" s="513"/>
      <c r="BS159" s="513"/>
      <c r="BT159" s="513"/>
      <c r="CA159" s="606"/>
      <c r="CB159" s="607"/>
      <c r="CD159" s="632"/>
      <c r="CE159" s="597"/>
    </row>
    <row r="160" spans="1:102" s="227" customFormat="1" x14ac:dyDescent="0.25">
      <c r="A160" s="444"/>
      <c r="B160" s="516"/>
      <c r="C160" s="444"/>
      <c r="D160" s="444"/>
      <c r="E160" s="444"/>
      <c r="F160" s="512"/>
      <c r="G160" s="564"/>
      <c r="H160" s="489"/>
      <c r="I160" s="489"/>
      <c r="J160" s="489"/>
      <c r="K160" s="514"/>
      <c r="L160" s="512"/>
      <c r="M160" s="512"/>
      <c r="N160" s="512"/>
      <c r="O160" s="512"/>
      <c r="AU160" s="513"/>
      <c r="AV160" s="513"/>
      <c r="AW160" s="513"/>
      <c r="AX160" s="513"/>
      <c r="AY160" s="513"/>
      <c r="AZ160" s="513"/>
      <c r="BA160" s="513"/>
      <c r="BB160" s="513"/>
      <c r="BC160" s="513"/>
      <c r="BD160" s="513"/>
      <c r="BE160" s="513"/>
      <c r="BF160" s="513"/>
      <c r="BG160" s="513"/>
      <c r="BH160" s="771"/>
      <c r="BI160" s="513"/>
      <c r="BJ160" s="513"/>
      <c r="BK160" s="513"/>
      <c r="BM160" s="775"/>
      <c r="BO160" s="513"/>
      <c r="BP160" s="513"/>
      <c r="BQ160" s="513"/>
      <c r="BR160" s="513"/>
      <c r="BS160" s="513"/>
      <c r="BT160" s="513"/>
      <c r="CA160" s="606"/>
      <c r="CB160" s="607"/>
      <c r="CD160" s="632"/>
      <c r="CE160" s="597"/>
    </row>
  </sheetData>
  <autoFilter ref="A4:CX101"/>
  <mergeCells count="77">
    <mergeCell ref="C151:D151"/>
    <mergeCell ref="AY150:BC151"/>
    <mergeCell ref="BL151:BM151"/>
    <mergeCell ref="BS151:BT151"/>
    <mergeCell ref="BN151:BP152"/>
    <mergeCell ref="AY152:AZ152"/>
    <mergeCell ref="BA152:BB152"/>
    <mergeCell ref="Z152:AB152"/>
    <mergeCell ref="J151:L152"/>
    <mergeCell ref="AR151:AU152"/>
    <mergeCell ref="AY2:BE2"/>
    <mergeCell ref="BF2:BJ2"/>
    <mergeCell ref="CR150:CS152"/>
    <mergeCell ref="BH153:BK155"/>
    <mergeCell ref="BQ153:BR154"/>
    <mergeCell ref="BL153:BL154"/>
    <mergeCell ref="BQ151:BQ152"/>
    <mergeCell ref="BR151:BR152"/>
    <mergeCell ref="BW151:BY152"/>
    <mergeCell ref="BU153:BX155"/>
    <mergeCell ref="BU151:BV152"/>
    <mergeCell ref="BP2:BT2"/>
    <mergeCell ref="BU2:BY2"/>
    <mergeCell ref="BK2:BO2"/>
    <mergeCell ref="BM108:BO110"/>
    <mergeCell ref="BV112:BY113"/>
    <mergeCell ref="BS112:BU112"/>
    <mergeCell ref="AB3:AC3"/>
    <mergeCell ref="AF3:AG3"/>
    <mergeCell ref="AJ3:AK3"/>
    <mergeCell ref="AN3:AO3"/>
    <mergeCell ref="BF92:BO92"/>
    <mergeCell ref="BF96:BO96"/>
    <mergeCell ref="BF97:BO97"/>
    <mergeCell ref="BF93:BO93"/>
    <mergeCell ref="BF94:BO94"/>
    <mergeCell ref="BF95:BO95"/>
    <mergeCell ref="BF90:BO90"/>
    <mergeCell ref="BC112:BD112"/>
    <mergeCell ref="BJ112:BK112"/>
    <mergeCell ref="BS108:BY110"/>
    <mergeCell ref="AR3:AS3"/>
    <mergeCell ref="AV3:AW3"/>
    <mergeCell ref="AP91:AQ91"/>
    <mergeCell ref="BH108:BK110"/>
    <mergeCell ref="BF91:BO91"/>
    <mergeCell ref="BF98:BO98"/>
    <mergeCell ref="BF99:BO99"/>
    <mergeCell ref="BF100:BO100"/>
    <mergeCell ref="BF101:BO101"/>
    <mergeCell ref="N108:T110"/>
    <mergeCell ref="B93:R95"/>
    <mergeCell ref="X3:Y3"/>
    <mergeCell ref="G112:H112"/>
    <mergeCell ref="H3:I3"/>
    <mergeCell ref="L3:M3"/>
    <mergeCell ref="P3:Q3"/>
    <mergeCell ref="T3:U3"/>
    <mergeCell ref="D112:E112"/>
    <mergeCell ref="N91:O91"/>
    <mergeCell ref="X91:Z91"/>
    <mergeCell ref="C149:D149"/>
    <mergeCell ref="AZ149:BC149"/>
    <mergeCell ref="BP149:BQ149"/>
    <mergeCell ref="A1:AX1"/>
    <mergeCell ref="A2:F2"/>
    <mergeCell ref="G2:J2"/>
    <mergeCell ref="K2:N2"/>
    <mergeCell ref="O2:R2"/>
    <mergeCell ref="S2:V2"/>
    <mergeCell ref="W2:Z2"/>
    <mergeCell ref="AA2:AD2"/>
    <mergeCell ref="AE2:AH2"/>
    <mergeCell ref="AI2:AL2"/>
    <mergeCell ref="AM2:AP2"/>
    <mergeCell ref="AQ2:AT2"/>
    <mergeCell ref="AU2:AX2"/>
  </mergeCells>
  <conditionalFormatting sqref="BT5:BT89 CA5:CB89 BY5:BY89">
    <cfRule type="cellIs" dxfId="558" priority="26647" operator="greaterThan">
      <formula>0</formula>
    </cfRule>
  </conditionalFormatting>
  <conditionalFormatting sqref="BY92 CA92:CB92">
    <cfRule type="expression" dxfId="557" priority="26642">
      <formula>$BY$92=0</formula>
    </cfRule>
  </conditionalFormatting>
  <conditionalFormatting sqref="BG5">
    <cfRule type="expression" dxfId="556" priority="26641">
      <formula>BG5&lt;&gt;BL5</formula>
    </cfRule>
  </conditionalFormatting>
  <conditionalFormatting sqref="K5:K89 S5:S89 W5:W89 AA5:AA89 AE5:AE89 AI8:AI89 AU8:AU89 O5:O89 G5:G89">
    <cfRule type="expression" dxfId="555" priority="26451">
      <formula>AND($F5&gt;G5,G5&lt;&gt;"")</formula>
    </cfRule>
    <cfRule type="expression" dxfId="554" priority="26452">
      <formula>AND($F5&lt;G5,G5&lt;&gt;"")</formula>
    </cfRule>
  </conditionalFormatting>
  <conditionalFormatting sqref="J5 N5 R5 V5 Z5 AD5 AH5 AP5 AT5 AX5 AL5">
    <cfRule type="duplicateValues" dxfId="553" priority="26691"/>
  </conditionalFormatting>
  <conditionalFormatting sqref="BG69">
    <cfRule type="expression" dxfId="552" priority="24587">
      <formula>BG69&lt;&gt;BL69</formula>
    </cfRule>
  </conditionalFormatting>
  <conditionalFormatting sqref="AM69">
    <cfRule type="expression" dxfId="551" priority="24569">
      <formula>AND($E69&gt;AM69,AM69&lt;&gt;"")</formula>
    </cfRule>
    <cfRule type="expression" dxfId="550" priority="24570">
      <formula>AND($E69&lt;AM69,AM69&lt;&gt;"")</formula>
    </cfRule>
  </conditionalFormatting>
  <conditionalFormatting sqref="AQ69">
    <cfRule type="expression" dxfId="549" priority="24567">
      <formula>AND($E69&gt;AQ69,AQ69&lt;&gt;"")</formula>
    </cfRule>
    <cfRule type="expression" dxfId="548" priority="24568">
      <formula>AND($E69&lt;AQ69,AQ69&lt;&gt;"")</formula>
    </cfRule>
  </conditionalFormatting>
  <conditionalFormatting sqref="V69 J69 N69 R69 Z69 AD69 AH69 AL69 AP69 AT69 AX69">
    <cfRule type="expression" priority="24590" stopIfTrue="1">
      <formula>J69=""</formula>
    </cfRule>
    <cfRule type="duplicateValues" dxfId="547" priority="24591"/>
  </conditionalFormatting>
  <conditionalFormatting sqref="BG70">
    <cfRule type="expression" dxfId="546" priority="24558">
      <formula>BG70&lt;&gt;BL70</formula>
    </cfRule>
  </conditionalFormatting>
  <conditionalFormatting sqref="AM70">
    <cfRule type="expression" dxfId="545" priority="24540">
      <formula>AND($E70&gt;AM70,AM70&lt;&gt;"")</formula>
    </cfRule>
    <cfRule type="expression" dxfId="544" priority="24541">
      <formula>AND($E70&lt;AM70,AM70&lt;&gt;"")</formula>
    </cfRule>
  </conditionalFormatting>
  <conditionalFormatting sqref="AQ70">
    <cfRule type="expression" dxfId="543" priority="24538">
      <formula>AND($E70&gt;AQ70,AQ70&lt;&gt;"")</formula>
    </cfRule>
    <cfRule type="expression" dxfId="542" priority="24539">
      <formula>AND($E70&lt;AQ70,AQ70&lt;&gt;"")</formula>
    </cfRule>
  </conditionalFormatting>
  <conditionalFormatting sqref="V70 J70 N70 R70 Z70 AD70 AH70 AL70 AP70 AT70 AX70">
    <cfRule type="expression" priority="24561" stopIfTrue="1">
      <formula>J70=""</formula>
    </cfRule>
    <cfRule type="duplicateValues" dxfId="541" priority="24562"/>
  </conditionalFormatting>
  <conditionalFormatting sqref="BG71">
    <cfRule type="expression" dxfId="540" priority="24529">
      <formula>BG71&lt;&gt;BL71</formula>
    </cfRule>
  </conditionalFormatting>
  <conditionalFormatting sqref="AM71">
    <cfRule type="expression" dxfId="539" priority="24511">
      <formula>AND($E71&gt;AM71,AM71&lt;&gt;"")</formula>
    </cfRule>
    <cfRule type="expression" dxfId="538" priority="24512">
      <formula>AND($E71&lt;AM71,AM71&lt;&gt;"")</formula>
    </cfRule>
  </conditionalFormatting>
  <conditionalFormatting sqref="AQ71">
    <cfRule type="expression" dxfId="537" priority="24509">
      <formula>AND($E71&gt;AQ71,AQ71&lt;&gt;"")</formula>
    </cfRule>
    <cfRule type="expression" dxfId="536" priority="24510">
      <formula>AND($E71&lt;AQ71,AQ71&lt;&gt;"")</formula>
    </cfRule>
  </conditionalFormatting>
  <conditionalFormatting sqref="V71 J71 N71 R71 Z71 AD71 AH71 AL71 AP71 AT71 AX71">
    <cfRule type="expression" priority="24532" stopIfTrue="1">
      <formula>J71=""</formula>
    </cfRule>
    <cfRule type="duplicateValues" dxfId="535" priority="24533"/>
  </conditionalFormatting>
  <conditionalFormatting sqref="BG72">
    <cfRule type="expression" dxfId="534" priority="24500">
      <formula>BG72&lt;&gt;BL72</formula>
    </cfRule>
  </conditionalFormatting>
  <conditionalFormatting sqref="AM72">
    <cfRule type="expression" dxfId="533" priority="24482">
      <formula>AND($E72&gt;AM72,AM72&lt;&gt;"")</formula>
    </cfRule>
    <cfRule type="expression" dxfId="532" priority="24483">
      <formula>AND($E72&lt;AM72,AM72&lt;&gt;"")</formula>
    </cfRule>
  </conditionalFormatting>
  <conditionalFormatting sqref="AQ72">
    <cfRule type="expression" dxfId="531" priority="24480">
      <formula>AND($E72&gt;AQ72,AQ72&lt;&gt;"")</formula>
    </cfRule>
    <cfRule type="expression" dxfId="530" priority="24481">
      <formula>AND($E72&lt;AQ72,AQ72&lt;&gt;"")</formula>
    </cfRule>
  </conditionalFormatting>
  <conditionalFormatting sqref="V72 J72 N72 R72 Z72 AD72 AH72 AL72 AP72 AT72 AX72">
    <cfRule type="expression" priority="24503" stopIfTrue="1">
      <formula>J72=""</formula>
    </cfRule>
    <cfRule type="duplicateValues" dxfId="529" priority="24504"/>
  </conditionalFormatting>
  <conditionalFormatting sqref="BG73">
    <cfRule type="expression" dxfId="528" priority="24471">
      <formula>BG73&lt;&gt;BL73</formula>
    </cfRule>
  </conditionalFormatting>
  <conditionalFormatting sqref="AM73">
    <cfRule type="expression" dxfId="527" priority="24453">
      <formula>AND($E73&gt;AM73,AM73&lt;&gt;"")</formula>
    </cfRule>
    <cfRule type="expression" dxfId="526" priority="24454">
      <formula>AND($E73&lt;AM73,AM73&lt;&gt;"")</formula>
    </cfRule>
  </conditionalFormatting>
  <conditionalFormatting sqref="AQ73">
    <cfRule type="expression" dxfId="525" priority="24451">
      <formula>AND($E73&gt;AQ73,AQ73&lt;&gt;"")</formula>
    </cfRule>
    <cfRule type="expression" dxfId="524" priority="24452">
      <formula>AND($E73&lt;AQ73,AQ73&lt;&gt;"")</formula>
    </cfRule>
  </conditionalFormatting>
  <conditionalFormatting sqref="V73 J73 N73 R73 Z73 AD73 AH73 AL73 AP73 AT73 AX73">
    <cfRule type="expression" priority="24474" stopIfTrue="1">
      <formula>J73=""</formula>
    </cfRule>
    <cfRule type="duplicateValues" dxfId="523" priority="24475"/>
  </conditionalFormatting>
  <conditionalFormatting sqref="BG74">
    <cfRule type="expression" dxfId="522" priority="24442">
      <formula>BG74&lt;&gt;BL74</formula>
    </cfRule>
  </conditionalFormatting>
  <conditionalFormatting sqref="AM74">
    <cfRule type="expression" dxfId="521" priority="24424">
      <formula>AND($E74&gt;AM74,AM74&lt;&gt;"")</formula>
    </cfRule>
    <cfRule type="expression" dxfId="520" priority="24425">
      <formula>AND($E74&lt;AM74,AM74&lt;&gt;"")</formula>
    </cfRule>
  </conditionalFormatting>
  <conditionalFormatting sqref="AQ74">
    <cfRule type="expression" dxfId="519" priority="24422">
      <formula>AND($E74&gt;AQ74,AQ74&lt;&gt;"")</formula>
    </cfRule>
    <cfRule type="expression" dxfId="518" priority="24423">
      <formula>AND($E74&lt;AQ74,AQ74&lt;&gt;"")</formula>
    </cfRule>
  </conditionalFormatting>
  <conditionalFormatting sqref="V74 J74 N74 R74 Z74 AD74 AH74 AL74 AP74 AT74 AX74">
    <cfRule type="expression" priority="24445" stopIfTrue="1">
      <formula>J74=""</formula>
    </cfRule>
    <cfRule type="duplicateValues" dxfId="517" priority="24446"/>
  </conditionalFormatting>
  <conditionalFormatting sqref="BG75">
    <cfRule type="expression" dxfId="516" priority="24413">
      <formula>BG75&lt;&gt;BL75</formula>
    </cfRule>
  </conditionalFormatting>
  <conditionalFormatting sqref="AM75">
    <cfRule type="expression" dxfId="515" priority="24395">
      <formula>AND($E75&gt;AM75,AM75&lt;&gt;"")</formula>
    </cfRule>
    <cfRule type="expression" dxfId="514" priority="24396">
      <formula>AND($E75&lt;AM75,AM75&lt;&gt;"")</formula>
    </cfRule>
  </conditionalFormatting>
  <conditionalFormatting sqref="AQ75">
    <cfRule type="expression" dxfId="513" priority="24393">
      <formula>AND($E75&gt;AQ75,AQ75&lt;&gt;"")</formula>
    </cfRule>
    <cfRule type="expression" dxfId="512" priority="24394">
      <formula>AND($E75&lt;AQ75,AQ75&lt;&gt;"")</formula>
    </cfRule>
  </conditionalFormatting>
  <conditionalFormatting sqref="V75 J75 N75 R75 Z75 AD75 AH75 AL75 AP75 AT75 AX75">
    <cfRule type="expression" priority="24416" stopIfTrue="1">
      <formula>J75=""</formula>
    </cfRule>
    <cfRule type="duplicateValues" dxfId="511" priority="24417"/>
  </conditionalFormatting>
  <conditionalFormatting sqref="BG76">
    <cfRule type="expression" dxfId="510" priority="24384">
      <formula>BG76&lt;&gt;BL76</formula>
    </cfRule>
  </conditionalFormatting>
  <conditionalFormatting sqref="AM76">
    <cfRule type="expression" dxfId="509" priority="24366">
      <formula>AND($E76&gt;AM76,AM76&lt;&gt;"")</formula>
    </cfRule>
    <cfRule type="expression" dxfId="508" priority="24367">
      <formula>AND($E76&lt;AM76,AM76&lt;&gt;"")</formula>
    </cfRule>
  </conditionalFormatting>
  <conditionalFormatting sqref="AQ76">
    <cfRule type="expression" dxfId="507" priority="24364">
      <formula>AND($E76&gt;AQ76,AQ76&lt;&gt;"")</formula>
    </cfRule>
    <cfRule type="expression" dxfId="506" priority="24365">
      <formula>AND($E76&lt;AQ76,AQ76&lt;&gt;"")</formula>
    </cfRule>
  </conditionalFormatting>
  <conditionalFormatting sqref="V76 J76 N76 R76 Z76 AD76 AH76 AL76 AP76 AT76 AX76">
    <cfRule type="expression" priority="24387" stopIfTrue="1">
      <formula>J76=""</formula>
    </cfRule>
    <cfRule type="duplicateValues" dxfId="505" priority="24388"/>
  </conditionalFormatting>
  <conditionalFormatting sqref="BG77">
    <cfRule type="expression" dxfId="504" priority="24355">
      <formula>BG77&lt;&gt;BL77</formula>
    </cfRule>
  </conditionalFormatting>
  <conditionalFormatting sqref="AM77">
    <cfRule type="expression" dxfId="503" priority="24337">
      <formula>AND($E77&gt;AM77,AM77&lt;&gt;"")</formula>
    </cfRule>
    <cfRule type="expression" dxfId="502" priority="24338">
      <formula>AND($E77&lt;AM77,AM77&lt;&gt;"")</formula>
    </cfRule>
  </conditionalFormatting>
  <conditionalFormatting sqref="AQ77">
    <cfRule type="expression" dxfId="501" priority="24335">
      <formula>AND($E77&gt;AQ77,AQ77&lt;&gt;"")</formula>
    </cfRule>
    <cfRule type="expression" dxfId="500" priority="24336">
      <formula>AND($E77&lt;AQ77,AQ77&lt;&gt;"")</formula>
    </cfRule>
  </conditionalFormatting>
  <conditionalFormatting sqref="V77 J77 N77 R77 Z77 AD77 AH77 AL77 AP77 AT77 AX77">
    <cfRule type="expression" priority="24358" stopIfTrue="1">
      <formula>J77=""</formula>
    </cfRule>
    <cfRule type="duplicateValues" dxfId="499" priority="24359"/>
  </conditionalFormatting>
  <conditionalFormatting sqref="BG78">
    <cfRule type="expression" dxfId="498" priority="24326">
      <formula>BG78&lt;&gt;BL78</formula>
    </cfRule>
  </conditionalFormatting>
  <conditionalFormatting sqref="AM78">
    <cfRule type="expression" dxfId="497" priority="24308">
      <formula>AND($E78&gt;AM78,AM78&lt;&gt;"")</formula>
    </cfRule>
    <cfRule type="expression" dxfId="496" priority="24309">
      <formula>AND($E78&lt;AM78,AM78&lt;&gt;"")</formula>
    </cfRule>
  </conditionalFormatting>
  <conditionalFormatting sqref="AQ78">
    <cfRule type="expression" dxfId="495" priority="24306">
      <formula>AND($E78&gt;AQ78,AQ78&lt;&gt;"")</formula>
    </cfRule>
    <cfRule type="expression" dxfId="494" priority="24307">
      <formula>AND($E78&lt;AQ78,AQ78&lt;&gt;"")</formula>
    </cfRule>
  </conditionalFormatting>
  <conditionalFormatting sqref="V78 J78 N78 R78 Z78 AD78 AH78 AL78 AP78 AT78 AX78">
    <cfRule type="expression" priority="24329" stopIfTrue="1">
      <formula>J78=""</formula>
    </cfRule>
    <cfRule type="duplicateValues" dxfId="493" priority="24330"/>
  </conditionalFormatting>
  <conditionalFormatting sqref="BG79">
    <cfRule type="expression" dxfId="492" priority="24297">
      <formula>BG79&lt;&gt;BL79</formula>
    </cfRule>
  </conditionalFormatting>
  <conditionalFormatting sqref="AM79">
    <cfRule type="expression" dxfId="491" priority="24279">
      <formula>AND($E79&gt;AM79,AM79&lt;&gt;"")</formula>
    </cfRule>
    <cfRule type="expression" dxfId="490" priority="24280">
      <formula>AND($E79&lt;AM79,AM79&lt;&gt;"")</formula>
    </cfRule>
  </conditionalFormatting>
  <conditionalFormatting sqref="AQ79">
    <cfRule type="expression" dxfId="489" priority="24277">
      <formula>AND($E79&gt;AQ79,AQ79&lt;&gt;"")</formula>
    </cfRule>
    <cfRule type="expression" dxfId="488" priority="24278">
      <formula>AND($E79&lt;AQ79,AQ79&lt;&gt;"")</formula>
    </cfRule>
  </conditionalFormatting>
  <conditionalFormatting sqref="V79 J79 N79 R79 Z79 AD79 AH79 AL79 AP79 AT79 AX79">
    <cfRule type="expression" priority="24300" stopIfTrue="1">
      <formula>J79=""</formula>
    </cfRule>
    <cfRule type="duplicateValues" dxfId="487" priority="24301"/>
  </conditionalFormatting>
  <conditionalFormatting sqref="BG80">
    <cfRule type="expression" dxfId="486" priority="24268">
      <formula>BG80&lt;&gt;BL80</formula>
    </cfRule>
  </conditionalFormatting>
  <conditionalFormatting sqref="AM80">
    <cfRule type="expression" dxfId="485" priority="24250">
      <formula>AND($E80&gt;AM80,AM80&lt;&gt;"")</formula>
    </cfRule>
    <cfRule type="expression" dxfId="484" priority="24251">
      <formula>AND($E80&lt;AM80,AM80&lt;&gt;"")</formula>
    </cfRule>
  </conditionalFormatting>
  <conditionalFormatting sqref="AQ80">
    <cfRule type="expression" dxfId="483" priority="24248">
      <formula>AND($E80&gt;AQ80,AQ80&lt;&gt;"")</formula>
    </cfRule>
    <cfRule type="expression" dxfId="482" priority="24249">
      <formula>AND($E80&lt;AQ80,AQ80&lt;&gt;"")</formula>
    </cfRule>
  </conditionalFormatting>
  <conditionalFormatting sqref="V80 J80 N80 R80 Z80 AD80 AH80 AL80 AP80 AT80 AX80">
    <cfRule type="expression" priority="24271" stopIfTrue="1">
      <formula>J80=""</formula>
    </cfRule>
    <cfRule type="duplicateValues" dxfId="481" priority="24272"/>
  </conditionalFormatting>
  <conditionalFormatting sqref="BG81">
    <cfRule type="expression" dxfId="480" priority="24239">
      <formula>BG81&lt;&gt;BL81</formula>
    </cfRule>
  </conditionalFormatting>
  <conditionalFormatting sqref="AM81">
    <cfRule type="expression" dxfId="479" priority="24221">
      <formula>AND($E81&gt;AM81,AM81&lt;&gt;"")</formula>
    </cfRule>
    <cfRule type="expression" dxfId="478" priority="24222">
      <formula>AND($E81&lt;AM81,AM81&lt;&gt;"")</formula>
    </cfRule>
  </conditionalFormatting>
  <conditionalFormatting sqref="AQ81">
    <cfRule type="expression" dxfId="477" priority="24219">
      <formula>AND($E81&gt;AQ81,AQ81&lt;&gt;"")</formula>
    </cfRule>
    <cfRule type="expression" dxfId="476" priority="24220">
      <formula>AND($E81&lt;AQ81,AQ81&lt;&gt;"")</formula>
    </cfRule>
  </conditionalFormatting>
  <conditionalFormatting sqref="V81 J81 N81 R81 Z81 AD81 AH81 AL81 AP81 AT81 AX81">
    <cfRule type="expression" priority="24242" stopIfTrue="1">
      <formula>J81=""</formula>
    </cfRule>
    <cfRule type="duplicateValues" dxfId="475" priority="24243"/>
  </conditionalFormatting>
  <conditionalFormatting sqref="BG82">
    <cfRule type="expression" dxfId="474" priority="24210">
      <formula>BG82&lt;&gt;BL82</formula>
    </cfRule>
  </conditionalFormatting>
  <conditionalFormatting sqref="AM82">
    <cfRule type="expression" dxfId="473" priority="24192">
      <formula>AND($E82&gt;AM82,AM82&lt;&gt;"")</formula>
    </cfRule>
    <cfRule type="expression" dxfId="472" priority="24193">
      <formula>AND($E82&lt;AM82,AM82&lt;&gt;"")</formula>
    </cfRule>
  </conditionalFormatting>
  <conditionalFormatting sqref="AQ82">
    <cfRule type="expression" dxfId="471" priority="24190">
      <formula>AND($E82&gt;AQ82,AQ82&lt;&gt;"")</formula>
    </cfRule>
    <cfRule type="expression" dxfId="470" priority="24191">
      <formula>AND($E82&lt;AQ82,AQ82&lt;&gt;"")</formula>
    </cfRule>
  </conditionalFormatting>
  <conditionalFormatting sqref="V82 J82 N82 R82 Z82 AD82 AH82 AL82 AP82 AT82 AX82">
    <cfRule type="expression" priority="24213" stopIfTrue="1">
      <formula>J82=""</formula>
    </cfRule>
    <cfRule type="duplicateValues" dxfId="469" priority="24214"/>
  </conditionalFormatting>
  <conditionalFormatting sqref="BG83">
    <cfRule type="expression" dxfId="468" priority="24181">
      <formula>BG83&lt;&gt;BL83</formula>
    </cfRule>
  </conditionalFormatting>
  <conditionalFormatting sqref="AM83">
    <cfRule type="expression" dxfId="467" priority="24163">
      <formula>AND($E83&gt;AM83,AM83&lt;&gt;"")</formula>
    </cfRule>
    <cfRule type="expression" dxfId="466" priority="24164">
      <formula>AND($E83&lt;AM83,AM83&lt;&gt;"")</formula>
    </cfRule>
  </conditionalFormatting>
  <conditionalFormatting sqref="AQ83">
    <cfRule type="expression" dxfId="465" priority="24161">
      <formula>AND($E83&gt;AQ83,AQ83&lt;&gt;"")</formula>
    </cfRule>
    <cfRule type="expression" dxfId="464" priority="24162">
      <formula>AND($E83&lt;AQ83,AQ83&lt;&gt;"")</formula>
    </cfRule>
  </conditionalFormatting>
  <conditionalFormatting sqref="V83 J83 N83 R83 Z83 AD83 AH83 AL83 AP83 AT83 AX83">
    <cfRule type="expression" priority="24184" stopIfTrue="1">
      <formula>J83=""</formula>
    </cfRule>
    <cfRule type="duplicateValues" dxfId="463" priority="24185"/>
  </conditionalFormatting>
  <conditionalFormatting sqref="BG84">
    <cfRule type="expression" dxfId="462" priority="24152">
      <formula>BG84&lt;&gt;BL84</formula>
    </cfRule>
  </conditionalFormatting>
  <conditionalFormatting sqref="AM84">
    <cfRule type="expression" dxfId="461" priority="24134">
      <formula>AND($E84&gt;AM84,AM84&lt;&gt;"")</formula>
    </cfRule>
    <cfRule type="expression" dxfId="460" priority="24135">
      <formula>AND($E84&lt;AM84,AM84&lt;&gt;"")</formula>
    </cfRule>
  </conditionalFormatting>
  <conditionalFormatting sqref="AQ84">
    <cfRule type="expression" dxfId="459" priority="24132">
      <formula>AND($E84&gt;AQ84,AQ84&lt;&gt;"")</formula>
    </cfRule>
    <cfRule type="expression" dxfId="458" priority="24133">
      <formula>AND($E84&lt;AQ84,AQ84&lt;&gt;"")</formula>
    </cfRule>
  </conditionalFormatting>
  <conditionalFormatting sqref="V84 J84 N84 R84 Z84 AD84 AH84 AL84 AP84 AT84 AX84">
    <cfRule type="expression" priority="24155" stopIfTrue="1">
      <formula>J84=""</formula>
    </cfRule>
    <cfRule type="duplicateValues" dxfId="457" priority="24156"/>
  </conditionalFormatting>
  <conditionalFormatting sqref="BG85">
    <cfRule type="expression" dxfId="456" priority="24123">
      <formula>BG85&lt;&gt;BL85</formula>
    </cfRule>
  </conditionalFormatting>
  <conditionalFormatting sqref="AM85">
    <cfRule type="expression" dxfId="455" priority="24105">
      <formula>AND($E85&gt;AM85,AM85&lt;&gt;"")</formula>
    </cfRule>
    <cfRule type="expression" dxfId="454" priority="24106">
      <formula>AND($E85&lt;AM85,AM85&lt;&gt;"")</formula>
    </cfRule>
  </conditionalFormatting>
  <conditionalFormatting sqref="AQ85">
    <cfRule type="expression" dxfId="453" priority="24103">
      <formula>AND($E85&gt;AQ85,AQ85&lt;&gt;"")</formula>
    </cfRule>
    <cfRule type="expression" dxfId="452" priority="24104">
      <formula>AND($E85&lt;AQ85,AQ85&lt;&gt;"")</formula>
    </cfRule>
  </conditionalFormatting>
  <conditionalFormatting sqref="V85 J85 N85 R85 Z85 AD85 AH85 AL85 AP85 AT85 AX85">
    <cfRule type="expression" priority="24126" stopIfTrue="1">
      <formula>J85=""</formula>
    </cfRule>
    <cfRule type="duplicateValues" dxfId="451" priority="24127"/>
  </conditionalFormatting>
  <conditionalFormatting sqref="BG86">
    <cfRule type="expression" dxfId="450" priority="24094">
      <formula>BG86&lt;&gt;BL86</formula>
    </cfRule>
  </conditionalFormatting>
  <conditionalFormatting sqref="AM86">
    <cfRule type="expression" dxfId="449" priority="24076">
      <formula>AND($E86&gt;AM86,AM86&lt;&gt;"")</formula>
    </cfRule>
    <cfRule type="expression" dxfId="448" priority="24077">
      <formula>AND($E86&lt;AM86,AM86&lt;&gt;"")</formula>
    </cfRule>
  </conditionalFormatting>
  <conditionalFormatting sqref="AQ86">
    <cfRule type="expression" dxfId="447" priority="24074">
      <formula>AND($E86&gt;AQ86,AQ86&lt;&gt;"")</formula>
    </cfRule>
    <cfRule type="expression" dxfId="446" priority="24075">
      <formula>AND($E86&lt;AQ86,AQ86&lt;&gt;"")</formula>
    </cfRule>
  </conditionalFormatting>
  <conditionalFormatting sqref="V86 J86 N86 R86 Z86 AD86 AH86 AL86 AP86 AT86 AX86">
    <cfRule type="expression" priority="24097" stopIfTrue="1">
      <formula>J86=""</formula>
    </cfRule>
    <cfRule type="duplicateValues" dxfId="445" priority="24098"/>
  </conditionalFormatting>
  <conditionalFormatting sqref="BG87">
    <cfRule type="expression" dxfId="444" priority="24065">
      <formula>BG87&lt;&gt;BL87</formula>
    </cfRule>
  </conditionalFormatting>
  <conditionalFormatting sqref="AM87">
    <cfRule type="expression" dxfId="443" priority="24047">
      <formula>AND($E87&gt;AM87,AM87&lt;&gt;"")</formula>
    </cfRule>
    <cfRule type="expression" dxfId="442" priority="24048">
      <formula>AND($E87&lt;AM87,AM87&lt;&gt;"")</formula>
    </cfRule>
  </conditionalFormatting>
  <conditionalFormatting sqref="AQ87">
    <cfRule type="expression" dxfId="441" priority="24045">
      <formula>AND($E87&gt;AQ87,AQ87&lt;&gt;"")</formula>
    </cfRule>
    <cfRule type="expression" dxfId="440" priority="24046">
      <formula>AND($E87&lt;AQ87,AQ87&lt;&gt;"")</formula>
    </cfRule>
  </conditionalFormatting>
  <conditionalFormatting sqref="V87 J87 N87 R87 Z87 AD87 AH87 AL87 AP87 AT87 AX87">
    <cfRule type="expression" priority="24068" stopIfTrue="1">
      <formula>J87=""</formula>
    </cfRule>
    <cfRule type="duplicateValues" dxfId="439" priority="24069"/>
  </conditionalFormatting>
  <conditionalFormatting sqref="BG88">
    <cfRule type="expression" dxfId="438" priority="24036">
      <formula>BG88&lt;&gt;BL88</formula>
    </cfRule>
  </conditionalFormatting>
  <conditionalFormatting sqref="AM88">
    <cfRule type="expression" dxfId="437" priority="24018">
      <formula>AND($E88&gt;AM88,AM88&lt;&gt;"")</formula>
    </cfRule>
    <cfRule type="expression" dxfId="436" priority="24019">
      <formula>AND($E88&lt;AM88,AM88&lt;&gt;"")</formula>
    </cfRule>
  </conditionalFormatting>
  <conditionalFormatting sqref="AQ88">
    <cfRule type="expression" dxfId="435" priority="24016">
      <formula>AND($E88&gt;AQ88,AQ88&lt;&gt;"")</formula>
    </cfRule>
    <cfRule type="expression" dxfId="434" priority="24017">
      <formula>AND($E88&lt;AQ88,AQ88&lt;&gt;"")</formula>
    </cfRule>
  </conditionalFormatting>
  <conditionalFormatting sqref="V88 J88 N88 R88 Z88 AD88 AH88 AL88 AP88 AT88 AX88">
    <cfRule type="expression" priority="24039" stopIfTrue="1">
      <formula>J88=""</formula>
    </cfRule>
    <cfRule type="duplicateValues" dxfId="433" priority="24040"/>
  </conditionalFormatting>
  <conditionalFormatting sqref="BG89">
    <cfRule type="expression" dxfId="432" priority="24007">
      <formula>BG89&lt;&gt;BL89</formula>
    </cfRule>
  </conditionalFormatting>
  <conditionalFormatting sqref="AM89">
    <cfRule type="expression" dxfId="431" priority="23989">
      <formula>AND($E89&gt;AM89,AM89&lt;&gt;"")</formula>
    </cfRule>
    <cfRule type="expression" dxfId="430" priority="23990">
      <formula>AND($E89&lt;AM89,AM89&lt;&gt;"")</formula>
    </cfRule>
  </conditionalFormatting>
  <conditionalFormatting sqref="AQ89">
    <cfRule type="expression" dxfId="429" priority="23987">
      <formula>AND($E89&gt;AQ89,AQ89&lt;&gt;"")</formula>
    </cfRule>
    <cfRule type="expression" dxfId="428" priority="23988">
      <formula>AND($E89&lt;AQ89,AQ89&lt;&gt;"")</formula>
    </cfRule>
  </conditionalFormatting>
  <conditionalFormatting sqref="V89 J89 N89 R89 Z89 AD89 AH89 AL89 AP89 AT89 AX89">
    <cfRule type="expression" priority="24010" stopIfTrue="1">
      <formula>J89=""</formula>
    </cfRule>
    <cfRule type="duplicateValues" dxfId="427" priority="24011"/>
  </conditionalFormatting>
  <conditionalFormatting sqref="J5:J68 N5:N68 R5:R68 V5:V68 Z5:Z68 AD5:AD68 AH5:AH68 AL5:AL68 AP5:AP68 AT5:AT68 AX5:AX68">
    <cfRule type="expression" priority="26690" stopIfTrue="1">
      <formula>J5=""</formula>
    </cfRule>
  </conditionalFormatting>
  <conditionalFormatting sqref="AI5">
    <cfRule type="expression" dxfId="426" priority="11967">
      <formula>AND($F5&gt;AI5,AI5&lt;&gt;"")</formula>
    </cfRule>
    <cfRule type="expression" dxfId="425" priority="11968">
      <formula>AND($F5&lt;AI5,AI5&lt;&gt;"")</formula>
    </cfRule>
  </conditionalFormatting>
  <conditionalFormatting sqref="AM5">
    <cfRule type="expression" dxfId="424" priority="11965">
      <formula>AND($F5&gt;AM5,AM5&lt;&gt;"")</formula>
    </cfRule>
    <cfRule type="expression" dxfId="423" priority="11966">
      <formula>AND($F5&lt;AM5,AM5&lt;&gt;"")</formula>
    </cfRule>
  </conditionalFormatting>
  <conditionalFormatting sqref="AQ5">
    <cfRule type="expression" dxfId="422" priority="11963">
      <formula>AND($F5&gt;AQ5,AQ5&lt;&gt;"")</formula>
    </cfRule>
    <cfRule type="expression" dxfId="421" priority="11964">
      <formula>AND($F5&lt;AQ5,AQ5&lt;&gt;"")</formula>
    </cfRule>
  </conditionalFormatting>
  <conditionalFormatting sqref="AU5">
    <cfRule type="expression" dxfId="420" priority="11961">
      <formula>AND($F5&gt;AU5,AU5&lt;&gt;"")</formula>
    </cfRule>
    <cfRule type="expression" dxfId="419" priority="11962">
      <formula>AND($F5&lt;AU5,AU5&lt;&gt;"")</formula>
    </cfRule>
  </conditionalFormatting>
  <conditionalFormatting sqref="BG6">
    <cfRule type="expression" dxfId="418" priority="11956">
      <formula>BG6&lt;&gt;BL6</formula>
    </cfRule>
  </conditionalFormatting>
  <conditionalFormatting sqref="J6 N6 R6 V6 Z6 AD6 AH6 AL6 AP6 AT6 AX6">
    <cfRule type="duplicateValues" dxfId="417" priority="11960"/>
  </conditionalFormatting>
  <conditionalFormatting sqref="AI6">
    <cfRule type="expression" dxfId="416" priority="11929">
      <formula>AND($F6&gt;AI6,AI6&lt;&gt;"")</formula>
    </cfRule>
    <cfRule type="expression" dxfId="415" priority="11930">
      <formula>AND($F6&lt;AI6,AI6&lt;&gt;"")</formula>
    </cfRule>
  </conditionalFormatting>
  <conditionalFormatting sqref="AM6">
    <cfRule type="expression" dxfId="414" priority="11927">
      <formula>AND($F6&gt;AM6,AM6&lt;&gt;"")</formula>
    </cfRule>
    <cfRule type="expression" dxfId="413" priority="11928">
      <formula>AND($F6&lt;AM6,AM6&lt;&gt;"")</formula>
    </cfRule>
  </conditionalFormatting>
  <conditionalFormatting sqref="AQ6">
    <cfRule type="expression" dxfId="412" priority="11925">
      <formula>AND($F6&gt;AQ6,AQ6&lt;&gt;"")</formula>
    </cfRule>
    <cfRule type="expression" dxfId="411" priority="11926">
      <formula>AND($F6&lt;AQ6,AQ6&lt;&gt;"")</formula>
    </cfRule>
  </conditionalFormatting>
  <conditionalFormatting sqref="AU6">
    <cfRule type="expression" dxfId="410" priority="11923">
      <formula>AND($F6&gt;AU6,AU6&lt;&gt;"")</formula>
    </cfRule>
    <cfRule type="expression" dxfId="409" priority="11924">
      <formula>AND($F6&lt;AU6,AU6&lt;&gt;"")</formula>
    </cfRule>
  </conditionalFormatting>
  <conditionalFormatting sqref="BG7">
    <cfRule type="expression" dxfId="408" priority="11918">
      <formula>BG7&lt;&gt;BL7</formula>
    </cfRule>
  </conditionalFormatting>
  <conditionalFormatting sqref="J7 N7 R7 V7 Z7 AD7 AH7 AL7 AP7 AT7 AX7">
    <cfRule type="duplicateValues" dxfId="407" priority="11922"/>
  </conditionalFormatting>
  <conditionalFormatting sqref="AI7">
    <cfRule type="expression" dxfId="406" priority="11891">
      <formula>AND($F7&gt;AI7,AI7&lt;&gt;"")</formula>
    </cfRule>
    <cfRule type="expression" dxfId="405" priority="11892">
      <formula>AND($F7&lt;AI7,AI7&lt;&gt;"")</formula>
    </cfRule>
  </conditionalFormatting>
  <conditionalFormatting sqref="AM7">
    <cfRule type="expression" dxfId="404" priority="11889">
      <formula>AND($F7&gt;AM7,AM7&lt;&gt;"")</formula>
    </cfRule>
    <cfRule type="expression" dxfId="403" priority="11890">
      <formula>AND($F7&lt;AM7,AM7&lt;&gt;"")</formula>
    </cfRule>
  </conditionalFormatting>
  <conditionalFormatting sqref="AQ7">
    <cfRule type="expression" dxfId="402" priority="11887">
      <formula>AND($F7&gt;AQ7,AQ7&lt;&gt;"")</formula>
    </cfRule>
    <cfRule type="expression" dxfId="401" priority="11888">
      <formula>AND($F7&lt;AQ7,AQ7&lt;&gt;"")</formula>
    </cfRule>
  </conditionalFormatting>
  <conditionalFormatting sqref="AU7">
    <cfRule type="expression" dxfId="400" priority="11885">
      <formula>AND($F7&gt;AU7,AU7&lt;&gt;"")</formula>
    </cfRule>
    <cfRule type="expression" dxfId="399" priority="11886">
      <formula>AND($F7&lt;AU7,AU7&lt;&gt;"")</formula>
    </cfRule>
  </conditionalFormatting>
  <conditionalFormatting sqref="BG8">
    <cfRule type="expression" dxfId="398" priority="11880">
      <formula>BG8&lt;&gt;BL8</formula>
    </cfRule>
  </conditionalFormatting>
  <conditionalFormatting sqref="J8 N8 R8 V8 Z8 AD8 AH8 AL8 AP8 AT8 AX8">
    <cfRule type="duplicateValues" dxfId="397" priority="11884"/>
  </conditionalFormatting>
  <conditionalFormatting sqref="AM8">
    <cfRule type="expression" dxfId="396" priority="11851">
      <formula>AND($F8&gt;AM8,AM8&lt;&gt;"")</formula>
    </cfRule>
    <cfRule type="expression" dxfId="395" priority="11852">
      <formula>AND($F8&lt;AM8,AM8&lt;&gt;"")</formula>
    </cfRule>
  </conditionalFormatting>
  <conditionalFormatting sqref="AQ8">
    <cfRule type="expression" dxfId="394" priority="11849">
      <formula>AND($F8&gt;AQ8,AQ8&lt;&gt;"")</formula>
    </cfRule>
    <cfRule type="expression" dxfId="393" priority="11850">
      <formula>AND($F8&lt;AQ8,AQ8&lt;&gt;"")</formula>
    </cfRule>
  </conditionalFormatting>
  <conditionalFormatting sqref="BG9">
    <cfRule type="expression" dxfId="392" priority="11842">
      <formula>BG9&lt;&gt;BL9</formula>
    </cfRule>
  </conditionalFormatting>
  <conditionalFormatting sqref="J9 N9 R9 V9 Z9 AD9 AH9 AL9 AP9 AT9 AX9">
    <cfRule type="duplicateValues" dxfId="391" priority="11846"/>
  </conditionalFormatting>
  <conditionalFormatting sqref="AM9">
    <cfRule type="expression" dxfId="390" priority="11813">
      <formula>AND($F9&gt;AM9,AM9&lt;&gt;"")</formula>
    </cfRule>
    <cfRule type="expression" dxfId="389" priority="11814">
      <formula>AND($F9&lt;AM9,AM9&lt;&gt;"")</formula>
    </cfRule>
  </conditionalFormatting>
  <conditionalFormatting sqref="AQ9">
    <cfRule type="expression" dxfId="388" priority="11811">
      <formula>AND($F9&gt;AQ9,AQ9&lt;&gt;"")</formula>
    </cfRule>
    <cfRule type="expression" dxfId="387" priority="11812">
      <formula>AND($F9&lt;AQ9,AQ9&lt;&gt;"")</formula>
    </cfRule>
  </conditionalFormatting>
  <conditionalFormatting sqref="BG10">
    <cfRule type="expression" dxfId="386" priority="11804">
      <formula>BG10&lt;&gt;BL10</formula>
    </cfRule>
  </conditionalFormatting>
  <conditionalFormatting sqref="J10 N10 R10 V10 Z10 AD10 AH10 AL10 AP10 AT10 AX10">
    <cfRule type="duplicateValues" dxfId="385" priority="11808"/>
  </conditionalFormatting>
  <conditionalFormatting sqref="AM10">
    <cfRule type="expression" dxfId="384" priority="11775">
      <formula>AND($F10&gt;AM10,AM10&lt;&gt;"")</formula>
    </cfRule>
    <cfRule type="expression" dxfId="383" priority="11776">
      <formula>AND($F10&lt;AM10,AM10&lt;&gt;"")</formula>
    </cfRule>
  </conditionalFormatting>
  <conditionalFormatting sqref="AQ10">
    <cfRule type="expression" dxfId="382" priority="11773">
      <formula>AND($F10&gt;AQ10,AQ10&lt;&gt;"")</formula>
    </cfRule>
    <cfRule type="expression" dxfId="381" priority="11774">
      <formula>AND($F10&lt;AQ10,AQ10&lt;&gt;"")</formula>
    </cfRule>
  </conditionalFormatting>
  <conditionalFormatting sqref="BG11">
    <cfRule type="expression" dxfId="380" priority="11766">
      <formula>BG11&lt;&gt;BL11</formula>
    </cfRule>
  </conditionalFormatting>
  <conditionalFormatting sqref="J11 N11 R11 V11 Z11 AD11 AH11 AL11 AP11 AT11 AX11">
    <cfRule type="duplicateValues" dxfId="379" priority="11770"/>
  </conditionalFormatting>
  <conditionalFormatting sqref="AM11">
    <cfRule type="expression" dxfId="378" priority="11737">
      <formula>AND($F11&gt;AM11,AM11&lt;&gt;"")</formula>
    </cfRule>
    <cfRule type="expression" dxfId="377" priority="11738">
      <formula>AND($F11&lt;AM11,AM11&lt;&gt;"")</formula>
    </cfRule>
  </conditionalFormatting>
  <conditionalFormatting sqref="AQ11">
    <cfRule type="expression" dxfId="376" priority="11735">
      <formula>AND($F11&gt;AQ11,AQ11&lt;&gt;"")</formula>
    </cfRule>
    <cfRule type="expression" dxfId="375" priority="11736">
      <formula>AND($F11&lt;AQ11,AQ11&lt;&gt;"")</formula>
    </cfRule>
  </conditionalFormatting>
  <conditionalFormatting sqref="BG12">
    <cfRule type="expression" dxfId="374" priority="11728">
      <formula>BG12&lt;&gt;BL12</formula>
    </cfRule>
  </conditionalFormatting>
  <conditionalFormatting sqref="J12 N12 R12 V12 Z12 AD12 AH12 AL12 AP12 AT12 AX12">
    <cfRule type="duplicateValues" dxfId="373" priority="11732"/>
  </conditionalFormatting>
  <conditionalFormatting sqref="AM12">
    <cfRule type="expression" dxfId="372" priority="11699">
      <formula>AND($F12&gt;AM12,AM12&lt;&gt;"")</formula>
    </cfRule>
    <cfRule type="expression" dxfId="371" priority="11700">
      <formula>AND($F12&lt;AM12,AM12&lt;&gt;"")</formula>
    </cfRule>
  </conditionalFormatting>
  <conditionalFormatting sqref="AQ12">
    <cfRule type="expression" dxfId="370" priority="11697">
      <formula>AND($F12&gt;AQ12,AQ12&lt;&gt;"")</formula>
    </cfRule>
    <cfRule type="expression" dxfId="369" priority="11698">
      <formula>AND($F12&lt;AQ12,AQ12&lt;&gt;"")</formula>
    </cfRule>
  </conditionalFormatting>
  <conditionalFormatting sqref="BG13">
    <cfRule type="expression" dxfId="368" priority="11690">
      <formula>BG13&lt;&gt;BL13</formula>
    </cfRule>
  </conditionalFormatting>
  <conditionalFormatting sqref="J13 N13 R13 V13 Z13 AD13 AH13 AL13 AP13 AT13 AX13">
    <cfRule type="duplicateValues" dxfId="367" priority="11694"/>
  </conditionalFormatting>
  <conditionalFormatting sqref="AM13">
    <cfRule type="expression" dxfId="366" priority="11661">
      <formula>AND($F13&gt;AM13,AM13&lt;&gt;"")</formula>
    </cfRule>
    <cfRule type="expression" dxfId="365" priority="11662">
      <formula>AND($F13&lt;AM13,AM13&lt;&gt;"")</formula>
    </cfRule>
  </conditionalFormatting>
  <conditionalFormatting sqref="AQ13">
    <cfRule type="expression" dxfId="364" priority="11659">
      <formula>AND($F13&gt;AQ13,AQ13&lt;&gt;"")</formula>
    </cfRule>
    <cfRule type="expression" dxfId="363" priority="11660">
      <formula>AND($F13&lt;AQ13,AQ13&lt;&gt;"")</formula>
    </cfRule>
  </conditionalFormatting>
  <conditionalFormatting sqref="BG14">
    <cfRule type="expression" dxfId="362" priority="11652">
      <formula>BG14&lt;&gt;BL14</formula>
    </cfRule>
  </conditionalFormatting>
  <conditionalFormatting sqref="J14 N14 R14 V14 Z14 AD14 AH14 AL14 AP14 AT14 AX14">
    <cfRule type="duplicateValues" dxfId="361" priority="11656"/>
  </conditionalFormatting>
  <conditionalFormatting sqref="AM14">
    <cfRule type="expression" dxfId="360" priority="11623">
      <formula>AND($F14&gt;AM14,AM14&lt;&gt;"")</formula>
    </cfRule>
    <cfRule type="expression" dxfId="359" priority="11624">
      <formula>AND($F14&lt;AM14,AM14&lt;&gt;"")</formula>
    </cfRule>
  </conditionalFormatting>
  <conditionalFormatting sqref="AQ14">
    <cfRule type="expression" dxfId="358" priority="11621">
      <formula>AND($F14&gt;AQ14,AQ14&lt;&gt;"")</formula>
    </cfRule>
    <cfRule type="expression" dxfId="357" priority="11622">
      <formula>AND($F14&lt;AQ14,AQ14&lt;&gt;"")</formula>
    </cfRule>
  </conditionalFormatting>
  <conditionalFormatting sqref="BG15">
    <cfRule type="expression" dxfId="356" priority="11614">
      <formula>BG15&lt;&gt;BL15</formula>
    </cfRule>
  </conditionalFormatting>
  <conditionalFormatting sqref="J15 N15 R15 V15 Z15 AD15 AH15 AL15 AP15 AT15 AX15">
    <cfRule type="duplicateValues" dxfId="355" priority="11618"/>
  </conditionalFormatting>
  <conditionalFormatting sqref="AM15">
    <cfRule type="expression" dxfId="354" priority="11585">
      <formula>AND($F15&gt;AM15,AM15&lt;&gt;"")</formula>
    </cfRule>
    <cfRule type="expression" dxfId="353" priority="11586">
      <formula>AND($F15&lt;AM15,AM15&lt;&gt;"")</formula>
    </cfRule>
  </conditionalFormatting>
  <conditionalFormatting sqref="AQ15">
    <cfRule type="expression" dxfId="352" priority="11583">
      <formula>AND($F15&gt;AQ15,AQ15&lt;&gt;"")</formula>
    </cfRule>
    <cfRule type="expression" dxfId="351" priority="11584">
      <formula>AND($F15&lt;AQ15,AQ15&lt;&gt;"")</formula>
    </cfRule>
  </conditionalFormatting>
  <conditionalFormatting sqref="BG16">
    <cfRule type="expression" dxfId="350" priority="11576">
      <formula>BG16&lt;&gt;BL16</formula>
    </cfRule>
  </conditionalFormatting>
  <conditionalFormatting sqref="J16 N16 R16 V16 Z16 AD16 AH16 AL16 AP16 AT16 AX16">
    <cfRule type="duplicateValues" dxfId="349" priority="11580"/>
  </conditionalFormatting>
  <conditionalFormatting sqref="AM16">
    <cfRule type="expression" dxfId="348" priority="11547">
      <formula>AND($F16&gt;AM16,AM16&lt;&gt;"")</formula>
    </cfRule>
    <cfRule type="expression" dxfId="347" priority="11548">
      <formula>AND($F16&lt;AM16,AM16&lt;&gt;"")</formula>
    </cfRule>
  </conditionalFormatting>
  <conditionalFormatting sqref="AQ16">
    <cfRule type="expression" dxfId="346" priority="11545">
      <formula>AND($F16&gt;AQ16,AQ16&lt;&gt;"")</formula>
    </cfRule>
    <cfRule type="expression" dxfId="345" priority="11546">
      <formula>AND($F16&lt;AQ16,AQ16&lt;&gt;"")</formula>
    </cfRule>
  </conditionalFormatting>
  <conditionalFormatting sqref="BG17">
    <cfRule type="expression" dxfId="344" priority="11538">
      <formula>BG17&lt;&gt;BL17</formula>
    </cfRule>
  </conditionalFormatting>
  <conditionalFormatting sqref="J17 N17 R17 V17 Z17 AD17 AH17 AL17 AP17 AT17 AX17">
    <cfRule type="duplicateValues" dxfId="343" priority="11542"/>
  </conditionalFormatting>
  <conditionalFormatting sqref="AM17">
    <cfRule type="expression" dxfId="342" priority="11509">
      <formula>AND($F17&gt;AM17,AM17&lt;&gt;"")</formula>
    </cfRule>
    <cfRule type="expression" dxfId="341" priority="11510">
      <formula>AND($F17&lt;AM17,AM17&lt;&gt;"")</formula>
    </cfRule>
  </conditionalFormatting>
  <conditionalFormatting sqref="AQ17">
    <cfRule type="expression" dxfId="340" priority="11507">
      <formula>AND($F17&gt;AQ17,AQ17&lt;&gt;"")</formula>
    </cfRule>
    <cfRule type="expression" dxfId="339" priority="11508">
      <formula>AND($F17&lt;AQ17,AQ17&lt;&gt;"")</formula>
    </cfRule>
  </conditionalFormatting>
  <conditionalFormatting sqref="BG18">
    <cfRule type="expression" dxfId="338" priority="11500">
      <formula>BG18&lt;&gt;BL18</formula>
    </cfRule>
  </conditionalFormatting>
  <conditionalFormatting sqref="J18 N18 R18 V18 Z18 AD18 AH18 AL18 AP18 AT18 AX18">
    <cfRule type="duplicateValues" dxfId="337" priority="11504"/>
  </conditionalFormatting>
  <conditionalFormatting sqref="AM18">
    <cfRule type="expression" dxfId="336" priority="11471">
      <formula>AND($F18&gt;AM18,AM18&lt;&gt;"")</formula>
    </cfRule>
    <cfRule type="expression" dxfId="335" priority="11472">
      <formula>AND($F18&lt;AM18,AM18&lt;&gt;"")</formula>
    </cfRule>
  </conditionalFormatting>
  <conditionalFormatting sqref="AQ18">
    <cfRule type="expression" dxfId="334" priority="11469">
      <formula>AND($F18&gt;AQ18,AQ18&lt;&gt;"")</formula>
    </cfRule>
    <cfRule type="expression" dxfId="333" priority="11470">
      <formula>AND($F18&lt;AQ18,AQ18&lt;&gt;"")</formula>
    </cfRule>
  </conditionalFormatting>
  <conditionalFormatting sqref="BG19">
    <cfRule type="expression" dxfId="332" priority="11462">
      <formula>BG19&lt;&gt;BL19</formula>
    </cfRule>
  </conditionalFormatting>
  <conditionalFormatting sqref="J19 N19 R19 V19 Z19 AD19 AH19 AL19 AP19 AT19 AX19">
    <cfRule type="duplicateValues" dxfId="331" priority="11466"/>
  </conditionalFormatting>
  <conditionalFormatting sqref="AM19">
    <cfRule type="expression" dxfId="330" priority="11433">
      <formula>AND($F19&gt;AM19,AM19&lt;&gt;"")</formula>
    </cfRule>
    <cfRule type="expression" dxfId="329" priority="11434">
      <formula>AND($F19&lt;AM19,AM19&lt;&gt;"")</formula>
    </cfRule>
  </conditionalFormatting>
  <conditionalFormatting sqref="AQ19">
    <cfRule type="expression" dxfId="328" priority="11431">
      <formula>AND($F19&gt;AQ19,AQ19&lt;&gt;"")</formula>
    </cfRule>
    <cfRule type="expression" dxfId="327" priority="11432">
      <formula>AND($F19&lt;AQ19,AQ19&lt;&gt;"")</formula>
    </cfRule>
  </conditionalFormatting>
  <conditionalFormatting sqref="BG20">
    <cfRule type="expression" dxfId="326" priority="11424">
      <formula>BG20&lt;&gt;BL20</formula>
    </cfRule>
  </conditionalFormatting>
  <conditionalFormatting sqref="J20 N20 R20 V20 Z20 AD20 AH20 AL20 AP20 AT20 AX20">
    <cfRule type="duplicateValues" dxfId="325" priority="11428"/>
  </conditionalFormatting>
  <conditionalFormatting sqref="AM20">
    <cfRule type="expression" dxfId="324" priority="11395">
      <formula>AND($F20&gt;AM20,AM20&lt;&gt;"")</formula>
    </cfRule>
    <cfRule type="expression" dxfId="323" priority="11396">
      <formula>AND($F20&lt;AM20,AM20&lt;&gt;"")</formula>
    </cfRule>
  </conditionalFormatting>
  <conditionalFormatting sqref="AQ20">
    <cfRule type="expression" dxfId="322" priority="11393">
      <formula>AND($F20&gt;AQ20,AQ20&lt;&gt;"")</formula>
    </cfRule>
    <cfRule type="expression" dxfId="321" priority="11394">
      <formula>AND($F20&lt;AQ20,AQ20&lt;&gt;"")</formula>
    </cfRule>
  </conditionalFormatting>
  <conditionalFormatting sqref="BG21">
    <cfRule type="expression" dxfId="320" priority="11386">
      <formula>BG21&lt;&gt;BL21</formula>
    </cfRule>
  </conditionalFormatting>
  <conditionalFormatting sqref="J21 N21 R21 V21 Z21 AD21 AH21 AL21 AP21 AT21 AX21">
    <cfRule type="duplicateValues" dxfId="319" priority="11390"/>
  </conditionalFormatting>
  <conditionalFormatting sqref="AM21">
    <cfRule type="expression" dxfId="318" priority="11357">
      <formula>AND($F21&gt;AM21,AM21&lt;&gt;"")</formula>
    </cfRule>
    <cfRule type="expression" dxfId="317" priority="11358">
      <formula>AND($F21&lt;AM21,AM21&lt;&gt;"")</formula>
    </cfRule>
  </conditionalFormatting>
  <conditionalFormatting sqref="AQ21">
    <cfRule type="expression" dxfId="316" priority="11355">
      <formula>AND($F21&gt;AQ21,AQ21&lt;&gt;"")</formula>
    </cfRule>
    <cfRule type="expression" dxfId="315" priority="11356">
      <formula>AND($F21&lt;AQ21,AQ21&lt;&gt;"")</formula>
    </cfRule>
  </conditionalFormatting>
  <conditionalFormatting sqref="BG22">
    <cfRule type="expression" dxfId="314" priority="11348">
      <formula>BG22&lt;&gt;BL22</formula>
    </cfRule>
  </conditionalFormatting>
  <conditionalFormatting sqref="J22 N22 R22 V22 Z22 AD22 AH22 AL22 AP22 AT22 AX22">
    <cfRule type="duplicateValues" dxfId="313" priority="11352"/>
  </conditionalFormatting>
  <conditionalFormatting sqref="AM22">
    <cfRule type="expression" dxfId="312" priority="11319">
      <formula>AND($F22&gt;AM22,AM22&lt;&gt;"")</formula>
    </cfRule>
    <cfRule type="expression" dxfId="311" priority="11320">
      <formula>AND($F22&lt;AM22,AM22&lt;&gt;"")</formula>
    </cfRule>
  </conditionalFormatting>
  <conditionalFormatting sqref="AQ22">
    <cfRule type="expression" dxfId="310" priority="11317">
      <formula>AND($F22&gt;AQ22,AQ22&lt;&gt;"")</formula>
    </cfRule>
    <cfRule type="expression" dxfId="309" priority="11318">
      <formula>AND($F22&lt;AQ22,AQ22&lt;&gt;"")</formula>
    </cfRule>
  </conditionalFormatting>
  <conditionalFormatting sqref="BG23">
    <cfRule type="expression" dxfId="308" priority="11310">
      <formula>BG23&lt;&gt;BL23</formula>
    </cfRule>
  </conditionalFormatting>
  <conditionalFormatting sqref="J23 N23 R23 V23 Z23 AD23 AH23 AL23 AP23 AT23 AX23">
    <cfRule type="duplicateValues" dxfId="307" priority="11314"/>
  </conditionalFormatting>
  <conditionalFormatting sqref="AM23">
    <cfRule type="expression" dxfId="306" priority="11281">
      <formula>AND($F23&gt;AM23,AM23&lt;&gt;"")</formula>
    </cfRule>
    <cfRule type="expression" dxfId="305" priority="11282">
      <formula>AND($F23&lt;AM23,AM23&lt;&gt;"")</formula>
    </cfRule>
  </conditionalFormatting>
  <conditionalFormatting sqref="AQ23">
    <cfRule type="expression" dxfId="304" priority="11279">
      <formula>AND($F23&gt;AQ23,AQ23&lt;&gt;"")</formula>
    </cfRule>
    <cfRule type="expression" dxfId="303" priority="11280">
      <formula>AND($F23&lt;AQ23,AQ23&lt;&gt;"")</formula>
    </cfRule>
  </conditionalFormatting>
  <conditionalFormatting sqref="BG24">
    <cfRule type="expression" dxfId="302" priority="11272">
      <formula>BG24&lt;&gt;BL24</formula>
    </cfRule>
  </conditionalFormatting>
  <conditionalFormatting sqref="J24 N24 R24 V24 Z24 AD24 AH24 AL24 AP24 AT24 AX24">
    <cfRule type="duplicateValues" dxfId="301" priority="11276"/>
  </conditionalFormatting>
  <conditionalFormatting sqref="AM24">
    <cfRule type="expression" dxfId="300" priority="11243">
      <formula>AND($F24&gt;AM24,AM24&lt;&gt;"")</formula>
    </cfRule>
    <cfRule type="expression" dxfId="299" priority="11244">
      <formula>AND($F24&lt;AM24,AM24&lt;&gt;"")</formula>
    </cfRule>
  </conditionalFormatting>
  <conditionalFormatting sqref="AQ24">
    <cfRule type="expression" dxfId="298" priority="11241">
      <formula>AND($F24&gt;AQ24,AQ24&lt;&gt;"")</formula>
    </cfRule>
    <cfRule type="expression" dxfId="297" priority="11242">
      <formula>AND($F24&lt;AQ24,AQ24&lt;&gt;"")</formula>
    </cfRule>
  </conditionalFormatting>
  <conditionalFormatting sqref="BG25">
    <cfRule type="expression" dxfId="296" priority="11234">
      <formula>BG25&lt;&gt;BL25</formula>
    </cfRule>
  </conditionalFormatting>
  <conditionalFormatting sqref="J25 N25 R25 V25 Z25 AD25 AH25 AL25 AP25 AT25 AX25">
    <cfRule type="duplicateValues" dxfId="295" priority="11238"/>
  </conditionalFormatting>
  <conditionalFormatting sqref="AM25">
    <cfRule type="expression" dxfId="294" priority="11205">
      <formula>AND($F25&gt;AM25,AM25&lt;&gt;"")</formula>
    </cfRule>
    <cfRule type="expression" dxfId="293" priority="11206">
      <formula>AND($F25&lt;AM25,AM25&lt;&gt;"")</formula>
    </cfRule>
  </conditionalFormatting>
  <conditionalFormatting sqref="AQ25">
    <cfRule type="expression" dxfId="292" priority="11203">
      <formula>AND($F25&gt;AQ25,AQ25&lt;&gt;"")</formula>
    </cfRule>
    <cfRule type="expression" dxfId="291" priority="11204">
      <formula>AND($F25&lt;AQ25,AQ25&lt;&gt;"")</formula>
    </cfRule>
  </conditionalFormatting>
  <conditionalFormatting sqref="BG26">
    <cfRule type="expression" dxfId="290" priority="11196">
      <formula>BG26&lt;&gt;BL26</formula>
    </cfRule>
  </conditionalFormatting>
  <conditionalFormatting sqref="J26 N26 R26 V26 Z26 AD26 AH26 AL26 AP26 AT26 AX26">
    <cfRule type="duplicateValues" dxfId="289" priority="11200"/>
  </conditionalFormatting>
  <conditionalFormatting sqref="AM26">
    <cfRule type="expression" dxfId="288" priority="11167">
      <formula>AND($F26&gt;AM26,AM26&lt;&gt;"")</formula>
    </cfRule>
    <cfRule type="expression" dxfId="287" priority="11168">
      <formula>AND($F26&lt;AM26,AM26&lt;&gt;"")</formula>
    </cfRule>
  </conditionalFormatting>
  <conditionalFormatting sqref="AQ26">
    <cfRule type="expression" dxfId="286" priority="11165">
      <formula>AND($F26&gt;AQ26,AQ26&lt;&gt;"")</formula>
    </cfRule>
    <cfRule type="expression" dxfId="285" priority="11166">
      <formula>AND($F26&lt;AQ26,AQ26&lt;&gt;"")</formula>
    </cfRule>
  </conditionalFormatting>
  <conditionalFormatting sqref="BG27">
    <cfRule type="expression" dxfId="284" priority="11158">
      <formula>BG27&lt;&gt;BL27</formula>
    </cfRule>
  </conditionalFormatting>
  <conditionalFormatting sqref="J27 N27 R27 V27 Z27 AD27 AH27 AL27 AP27 AT27 AX27">
    <cfRule type="duplicateValues" dxfId="283" priority="11162"/>
  </conditionalFormatting>
  <conditionalFormatting sqref="AM27">
    <cfRule type="expression" dxfId="282" priority="11129">
      <formula>AND($F27&gt;AM27,AM27&lt;&gt;"")</formula>
    </cfRule>
    <cfRule type="expression" dxfId="281" priority="11130">
      <formula>AND($F27&lt;AM27,AM27&lt;&gt;"")</formula>
    </cfRule>
  </conditionalFormatting>
  <conditionalFormatting sqref="AQ27">
    <cfRule type="expression" dxfId="280" priority="11127">
      <formula>AND($F27&gt;AQ27,AQ27&lt;&gt;"")</formula>
    </cfRule>
    <cfRule type="expression" dxfId="279" priority="11128">
      <formula>AND($F27&lt;AQ27,AQ27&lt;&gt;"")</formula>
    </cfRule>
  </conditionalFormatting>
  <conditionalFormatting sqref="BG28">
    <cfRule type="expression" dxfId="278" priority="11120">
      <formula>BG28&lt;&gt;BL28</formula>
    </cfRule>
  </conditionalFormatting>
  <conditionalFormatting sqref="J28 N28 R28 V28 Z28 AD28 AH28 AL28 AP28 AT28 AX28">
    <cfRule type="duplicateValues" dxfId="277" priority="11124"/>
  </conditionalFormatting>
  <conditionalFormatting sqref="AM28">
    <cfRule type="expression" dxfId="276" priority="11091">
      <formula>AND($F28&gt;AM28,AM28&lt;&gt;"")</formula>
    </cfRule>
    <cfRule type="expression" dxfId="275" priority="11092">
      <formula>AND($F28&lt;AM28,AM28&lt;&gt;"")</formula>
    </cfRule>
  </conditionalFormatting>
  <conditionalFormatting sqref="AQ28">
    <cfRule type="expression" dxfId="274" priority="11089">
      <formula>AND($F28&gt;AQ28,AQ28&lt;&gt;"")</formula>
    </cfRule>
    <cfRule type="expression" dxfId="273" priority="11090">
      <formula>AND($F28&lt;AQ28,AQ28&lt;&gt;"")</formula>
    </cfRule>
  </conditionalFormatting>
  <conditionalFormatting sqref="BG29">
    <cfRule type="expression" dxfId="272" priority="11082">
      <formula>BG29&lt;&gt;BL29</formula>
    </cfRule>
  </conditionalFormatting>
  <conditionalFormatting sqref="J29 N29 R29 V29 Z29 AD29 AH29 AL29 AP29 AT29 AX29">
    <cfRule type="duplicateValues" dxfId="271" priority="11086"/>
  </conditionalFormatting>
  <conditionalFormatting sqref="AM29">
    <cfRule type="expression" dxfId="270" priority="11053">
      <formula>AND($F29&gt;AM29,AM29&lt;&gt;"")</formula>
    </cfRule>
    <cfRule type="expression" dxfId="269" priority="11054">
      <formula>AND($F29&lt;AM29,AM29&lt;&gt;"")</formula>
    </cfRule>
  </conditionalFormatting>
  <conditionalFormatting sqref="AQ29">
    <cfRule type="expression" dxfId="268" priority="11051">
      <formula>AND($F29&gt;AQ29,AQ29&lt;&gt;"")</formula>
    </cfRule>
    <cfRule type="expression" dxfId="267" priority="11052">
      <formula>AND($F29&lt;AQ29,AQ29&lt;&gt;"")</formula>
    </cfRule>
  </conditionalFormatting>
  <conditionalFormatting sqref="BG30">
    <cfRule type="expression" dxfId="266" priority="11044">
      <formula>BG30&lt;&gt;BL30</formula>
    </cfRule>
  </conditionalFormatting>
  <conditionalFormatting sqref="J30 N30 R30 V30 Z30 AD30 AH30 AL30 AP30 AT30 AX30">
    <cfRule type="duplicateValues" dxfId="265" priority="11048"/>
  </conditionalFormatting>
  <conditionalFormatting sqref="AM30">
    <cfRule type="expression" dxfId="264" priority="11015">
      <formula>AND($F30&gt;AM30,AM30&lt;&gt;"")</formula>
    </cfRule>
    <cfRule type="expression" dxfId="263" priority="11016">
      <formula>AND($F30&lt;AM30,AM30&lt;&gt;"")</formula>
    </cfRule>
  </conditionalFormatting>
  <conditionalFormatting sqref="AQ30">
    <cfRule type="expression" dxfId="262" priority="11013">
      <formula>AND($F30&gt;AQ30,AQ30&lt;&gt;"")</formula>
    </cfRule>
    <cfRule type="expression" dxfId="261" priority="11014">
      <formula>AND($F30&lt;AQ30,AQ30&lt;&gt;"")</formula>
    </cfRule>
  </conditionalFormatting>
  <conditionalFormatting sqref="BG31">
    <cfRule type="expression" dxfId="260" priority="11006">
      <formula>BG31&lt;&gt;BL31</formula>
    </cfRule>
  </conditionalFormatting>
  <conditionalFormatting sqref="J31 N31 R31 V31 Z31 AD31 AH31 AL31 AP31 AT31 AX31">
    <cfRule type="duplicateValues" dxfId="259" priority="11010"/>
  </conditionalFormatting>
  <conditionalFormatting sqref="AM31">
    <cfRule type="expression" dxfId="258" priority="10977">
      <formula>AND($F31&gt;AM31,AM31&lt;&gt;"")</formula>
    </cfRule>
    <cfRule type="expression" dxfId="257" priority="10978">
      <formula>AND($F31&lt;AM31,AM31&lt;&gt;"")</formula>
    </cfRule>
  </conditionalFormatting>
  <conditionalFormatting sqref="AQ31">
    <cfRule type="expression" dxfId="256" priority="10975">
      <formula>AND($F31&gt;AQ31,AQ31&lt;&gt;"")</formula>
    </cfRule>
    <cfRule type="expression" dxfId="255" priority="10976">
      <formula>AND($F31&lt;AQ31,AQ31&lt;&gt;"")</formula>
    </cfRule>
  </conditionalFormatting>
  <conditionalFormatting sqref="BG32">
    <cfRule type="expression" dxfId="254" priority="10968">
      <formula>BG32&lt;&gt;BL32</formula>
    </cfRule>
  </conditionalFormatting>
  <conditionalFormatting sqref="J32 N32 R32 V32 Z32 AD32 AH32 AL32 AP32 AT32 AX32">
    <cfRule type="duplicateValues" dxfId="253" priority="10972"/>
  </conditionalFormatting>
  <conditionalFormatting sqref="AM32">
    <cfRule type="expression" dxfId="252" priority="10939">
      <formula>AND($F32&gt;AM32,AM32&lt;&gt;"")</formula>
    </cfRule>
    <cfRule type="expression" dxfId="251" priority="10940">
      <formula>AND($F32&lt;AM32,AM32&lt;&gt;"")</formula>
    </cfRule>
  </conditionalFormatting>
  <conditionalFormatting sqref="AQ32">
    <cfRule type="expression" dxfId="250" priority="10937">
      <formula>AND($F32&gt;AQ32,AQ32&lt;&gt;"")</formula>
    </cfRule>
    <cfRule type="expression" dxfId="249" priority="10938">
      <formula>AND($F32&lt;AQ32,AQ32&lt;&gt;"")</formula>
    </cfRule>
  </conditionalFormatting>
  <conditionalFormatting sqref="BG33">
    <cfRule type="expression" dxfId="248" priority="10930">
      <formula>BG33&lt;&gt;BL33</formula>
    </cfRule>
  </conditionalFormatting>
  <conditionalFormatting sqref="J33 N33 R33 V33 Z33 AD33 AH33 AL33 AP33 AT33 AX33">
    <cfRule type="duplicateValues" dxfId="247" priority="10934"/>
  </conditionalFormatting>
  <conditionalFormatting sqref="AM33">
    <cfRule type="expression" dxfId="246" priority="10901">
      <formula>AND($F33&gt;AM33,AM33&lt;&gt;"")</formula>
    </cfRule>
    <cfRule type="expression" dxfId="245" priority="10902">
      <formula>AND($F33&lt;AM33,AM33&lt;&gt;"")</formula>
    </cfRule>
  </conditionalFormatting>
  <conditionalFormatting sqref="AQ33">
    <cfRule type="expression" dxfId="244" priority="10899">
      <formula>AND($F33&gt;AQ33,AQ33&lt;&gt;"")</formula>
    </cfRule>
    <cfRule type="expression" dxfId="243" priority="10900">
      <formula>AND($F33&lt;AQ33,AQ33&lt;&gt;"")</formula>
    </cfRule>
  </conditionalFormatting>
  <conditionalFormatting sqref="BG34">
    <cfRule type="expression" dxfId="242" priority="10892">
      <formula>BG34&lt;&gt;BL34</formula>
    </cfRule>
  </conditionalFormatting>
  <conditionalFormatting sqref="J34 N34 R34 V34 Z34 AD34 AH34 AL34 AP34 AT34 AX34">
    <cfRule type="duplicateValues" dxfId="241" priority="10896"/>
  </conditionalFormatting>
  <conditionalFormatting sqref="AM34">
    <cfRule type="expression" dxfId="240" priority="10863">
      <formula>AND($F34&gt;AM34,AM34&lt;&gt;"")</formula>
    </cfRule>
    <cfRule type="expression" dxfId="239" priority="10864">
      <formula>AND($F34&lt;AM34,AM34&lt;&gt;"")</formula>
    </cfRule>
  </conditionalFormatting>
  <conditionalFormatting sqref="AQ34">
    <cfRule type="expression" dxfId="238" priority="10861">
      <formula>AND($F34&gt;AQ34,AQ34&lt;&gt;"")</formula>
    </cfRule>
    <cfRule type="expression" dxfId="237" priority="10862">
      <formula>AND($F34&lt;AQ34,AQ34&lt;&gt;"")</formula>
    </cfRule>
  </conditionalFormatting>
  <conditionalFormatting sqref="BG35">
    <cfRule type="expression" dxfId="236" priority="10854">
      <formula>BG35&lt;&gt;BL35</formula>
    </cfRule>
  </conditionalFormatting>
  <conditionalFormatting sqref="J35 N35 R35 V35 Z35 AD35 AH35 AL35 AP35 AT35 AX35">
    <cfRule type="duplicateValues" dxfId="235" priority="10858"/>
  </conditionalFormatting>
  <conditionalFormatting sqref="AM35">
    <cfRule type="expression" dxfId="234" priority="10825">
      <formula>AND($F35&gt;AM35,AM35&lt;&gt;"")</formula>
    </cfRule>
    <cfRule type="expression" dxfId="233" priority="10826">
      <formula>AND($F35&lt;AM35,AM35&lt;&gt;"")</formula>
    </cfRule>
  </conditionalFormatting>
  <conditionalFormatting sqref="AQ35">
    <cfRule type="expression" dxfId="232" priority="10823">
      <formula>AND($F35&gt;AQ35,AQ35&lt;&gt;"")</formula>
    </cfRule>
    <cfRule type="expression" dxfId="231" priority="10824">
      <formula>AND($F35&lt;AQ35,AQ35&lt;&gt;"")</formula>
    </cfRule>
  </conditionalFormatting>
  <conditionalFormatting sqref="BG36">
    <cfRule type="expression" dxfId="230" priority="10816">
      <formula>BG36&lt;&gt;BL36</formula>
    </cfRule>
  </conditionalFormatting>
  <conditionalFormatting sqref="J36 N36 R36 V36 Z36 AD36 AH36 AL36 AP36 AT36 AX36">
    <cfRule type="duplicateValues" dxfId="229" priority="10820"/>
  </conditionalFormatting>
  <conditionalFormatting sqref="AM36">
    <cfRule type="expression" dxfId="228" priority="10787">
      <formula>AND($F36&gt;AM36,AM36&lt;&gt;"")</formula>
    </cfRule>
    <cfRule type="expression" dxfId="227" priority="10788">
      <formula>AND($F36&lt;AM36,AM36&lt;&gt;"")</formula>
    </cfRule>
  </conditionalFormatting>
  <conditionalFormatting sqref="AQ36">
    <cfRule type="expression" dxfId="226" priority="10785">
      <formula>AND($F36&gt;AQ36,AQ36&lt;&gt;"")</formula>
    </cfRule>
    <cfRule type="expression" dxfId="225" priority="10786">
      <formula>AND($F36&lt;AQ36,AQ36&lt;&gt;"")</formula>
    </cfRule>
  </conditionalFormatting>
  <conditionalFormatting sqref="BG37">
    <cfRule type="expression" dxfId="224" priority="10778">
      <formula>BG37&lt;&gt;BL37</formula>
    </cfRule>
  </conditionalFormatting>
  <conditionalFormatting sqref="J37 N37 R37 V37 Z37 AD37 AH37 AL37 AP37 AT37 AX37">
    <cfRule type="duplicateValues" dxfId="223" priority="10782"/>
  </conditionalFormatting>
  <conditionalFormatting sqref="AM37">
    <cfRule type="expression" dxfId="222" priority="10749">
      <formula>AND($F37&gt;AM37,AM37&lt;&gt;"")</formula>
    </cfRule>
    <cfRule type="expression" dxfId="221" priority="10750">
      <formula>AND($F37&lt;AM37,AM37&lt;&gt;"")</formula>
    </cfRule>
  </conditionalFormatting>
  <conditionalFormatting sqref="AQ37">
    <cfRule type="expression" dxfId="220" priority="10747">
      <formula>AND($F37&gt;AQ37,AQ37&lt;&gt;"")</formula>
    </cfRule>
    <cfRule type="expression" dxfId="219" priority="10748">
      <formula>AND($F37&lt;AQ37,AQ37&lt;&gt;"")</formula>
    </cfRule>
  </conditionalFormatting>
  <conditionalFormatting sqref="BG38">
    <cfRule type="expression" dxfId="218" priority="10740">
      <formula>BG38&lt;&gt;BL38</formula>
    </cfRule>
  </conditionalFormatting>
  <conditionalFormatting sqref="J38 N38 R38 V38 Z38 AD38 AH38 AL38 AP38 AT38 AX38">
    <cfRule type="duplicateValues" dxfId="217" priority="10744"/>
  </conditionalFormatting>
  <conditionalFormatting sqref="AM38">
    <cfRule type="expression" dxfId="216" priority="10711">
      <formula>AND($F38&gt;AM38,AM38&lt;&gt;"")</formula>
    </cfRule>
    <cfRule type="expression" dxfId="215" priority="10712">
      <formula>AND($F38&lt;AM38,AM38&lt;&gt;"")</formula>
    </cfRule>
  </conditionalFormatting>
  <conditionalFormatting sqref="AQ38">
    <cfRule type="expression" dxfId="214" priority="10709">
      <formula>AND($F38&gt;AQ38,AQ38&lt;&gt;"")</formula>
    </cfRule>
    <cfRule type="expression" dxfId="213" priority="10710">
      <formula>AND($F38&lt;AQ38,AQ38&lt;&gt;"")</formula>
    </cfRule>
  </conditionalFormatting>
  <conditionalFormatting sqref="BG39">
    <cfRule type="expression" dxfId="212" priority="10702">
      <formula>BG39&lt;&gt;BL39</formula>
    </cfRule>
  </conditionalFormatting>
  <conditionalFormatting sqref="J39 N39 R39 V39 Z39 AD39 AH39 AL39 AP39 AT39 AX39">
    <cfRule type="duplicateValues" dxfId="211" priority="10706"/>
  </conditionalFormatting>
  <conditionalFormatting sqref="AM39">
    <cfRule type="expression" dxfId="210" priority="10673">
      <formula>AND($F39&gt;AM39,AM39&lt;&gt;"")</formula>
    </cfRule>
    <cfRule type="expression" dxfId="209" priority="10674">
      <formula>AND($F39&lt;AM39,AM39&lt;&gt;"")</formula>
    </cfRule>
  </conditionalFormatting>
  <conditionalFormatting sqref="AQ39">
    <cfRule type="expression" dxfId="208" priority="10671">
      <formula>AND($F39&gt;AQ39,AQ39&lt;&gt;"")</formula>
    </cfRule>
    <cfRule type="expression" dxfId="207" priority="10672">
      <formula>AND($F39&lt;AQ39,AQ39&lt;&gt;"")</formula>
    </cfRule>
  </conditionalFormatting>
  <conditionalFormatting sqref="BG40">
    <cfRule type="expression" dxfId="206" priority="10664">
      <formula>BG40&lt;&gt;BL40</formula>
    </cfRule>
  </conditionalFormatting>
  <conditionalFormatting sqref="J40 N40 R40 V40 Z40 AD40 AH40 AL40 AP40 AT40 AX40">
    <cfRule type="duplicateValues" dxfId="205" priority="10668"/>
  </conditionalFormatting>
  <conditionalFormatting sqref="AM40">
    <cfRule type="expression" dxfId="204" priority="10635">
      <formula>AND($F40&gt;AM40,AM40&lt;&gt;"")</formula>
    </cfRule>
    <cfRule type="expression" dxfId="203" priority="10636">
      <formula>AND($F40&lt;AM40,AM40&lt;&gt;"")</formula>
    </cfRule>
  </conditionalFormatting>
  <conditionalFormatting sqref="AQ40">
    <cfRule type="expression" dxfId="202" priority="10633">
      <formula>AND($F40&gt;AQ40,AQ40&lt;&gt;"")</formula>
    </cfRule>
    <cfRule type="expression" dxfId="201" priority="10634">
      <formula>AND($F40&lt;AQ40,AQ40&lt;&gt;"")</formula>
    </cfRule>
  </conditionalFormatting>
  <conditionalFormatting sqref="BG41">
    <cfRule type="expression" dxfId="200" priority="10626">
      <formula>BG41&lt;&gt;BL41</formula>
    </cfRule>
  </conditionalFormatting>
  <conditionalFormatting sqref="J41 N41 R41 V41 Z41 AD41 AH41 AL41 AP41 AT41 AX41">
    <cfRule type="duplicateValues" dxfId="199" priority="10630"/>
  </conditionalFormatting>
  <conditionalFormatting sqref="AM41">
    <cfRule type="expression" dxfId="198" priority="10597">
      <formula>AND($F41&gt;AM41,AM41&lt;&gt;"")</formula>
    </cfRule>
    <cfRule type="expression" dxfId="197" priority="10598">
      <formula>AND($F41&lt;AM41,AM41&lt;&gt;"")</formula>
    </cfRule>
  </conditionalFormatting>
  <conditionalFormatting sqref="AQ41">
    <cfRule type="expression" dxfId="196" priority="10595">
      <formula>AND($F41&gt;AQ41,AQ41&lt;&gt;"")</formula>
    </cfRule>
    <cfRule type="expression" dxfId="195" priority="10596">
      <formula>AND($F41&lt;AQ41,AQ41&lt;&gt;"")</formula>
    </cfRule>
  </conditionalFormatting>
  <conditionalFormatting sqref="BG42">
    <cfRule type="expression" dxfId="194" priority="10588">
      <formula>BG42&lt;&gt;BL42</formula>
    </cfRule>
  </conditionalFormatting>
  <conditionalFormatting sqref="J42 N42 R42 V42 Z42 AD42 AH42 AL42 AP42 AT42 AX42">
    <cfRule type="duplicateValues" dxfId="193" priority="10592"/>
  </conditionalFormatting>
  <conditionalFormatting sqref="AM42">
    <cfRule type="expression" dxfId="192" priority="10559">
      <formula>AND($F42&gt;AM42,AM42&lt;&gt;"")</formula>
    </cfRule>
    <cfRule type="expression" dxfId="191" priority="10560">
      <formula>AND($F42&lt;AM42,AM42&lt;&gt;"")</formula>
    </cfRule>
  </conditionalFormatting>
  <conditionalFormatting sqref="AQ42">
    <cfRule type="expression" dxfId="190" priority="10557">
      <formula>AND($F42&gt;AQ42,AQ42&lt;&gt;"")</formula>
    </cfRule>
    <cfRule type="expression" dxfId="189" priority="10558">
      <formula>AND($F42&lt;AQ42,AQ42&lt;&gt;"")</formula>
    </cfRule>
  </conditionalFormatting>
  <conditionalFormatting sqref="BG43">
    <cfRule type="expression" dxfId="188" priority="10550">
      <formula>BG43&lt;&gt;BL43</formula>
    </cfRule>
  </conditionalFormatting>
  <conditionalFormatting sqref="J43 N43 R43 V43 Z43 AD43 AH43 AL43 AP43 AT43 AX43">
    <cfRule type="duplicateValues" dxfId="187" priority="10554"/>
  </conditionalFormatting>
  <conditionalFormatting sqref="AM43">
    <cfRule type="expression" dxfId="186" priority="10521">
      <formula>AND($F43&gt;AM43,AM43&lt;&gt;"")</formula>
    </cfRule>
    <cfRule type="expression" dxfId="185" priority="10522">
      <formula>AND($F43&lt;AM43,AM43&lt;&gt;"")</formula>
    </cfRule>
  </conditionalFormatting>
  <conditionalFormatting sqref="AQ43">
    <cfRule type="expression" dxfId="184" priority="10519">
      <formula>AND($F43&gt;AQ43,AQ43&lt;&gt;"")</formula>
    </cfRule>
    <cfRule type="expression" dxfId="183" priority="10520">
      <formula>AND($F43&lt;AQ43,AQ43&lt;&gt;"")</formula>
    </cfRule>
  </conditionalFormatting>
  <conditionalFormatting sqref="BG44">
    <cfRule type="expression" dxfId="182" priority="10512">
      <formula>BG44&lt;&gt;BL44</formula>
    </cfRule>
  </conditionalFormatting>
  <conditionalFormatting sqref="J44 N44 R44 V44 Z44 AD44 AH44 AL44 AP44 AT44 AX44">
    <cfRule type="duplicateValues" dxfId="181" priority="10516"/>
  </conditionalFormatting>
  <conditionalFormatting sqref="AM44">
    <cfRule type="expression" dxfId="180" priority="10483">
      <formula>AND($F44&gt;AM44,AM44&lt;&gt;"")</formula>
    </cfRule>
    <cfRule type="expression" dxfId="179" priority="10484">
      <formula>AND($F44&lt;AM44,AM44&lt;&gt;"")</formula>
    </cfRule>
  </conditionalFormatting>
  <conditionalFormatting sqref="AQ44">
    <cfRule type="expression" dxfId="178" priority="10481">
      <formula>AND($F44&gt;AQ44,AQ44&lt;&gt;"")</formula>
    </cfRule>
    <cfRule type="expression" dxfId="177" priority="10482">
      <formula>AND($F44&lt;AQ44,AQ44&lt;&gt;"")</formula>
    </cfRule>
  </conditionalFormatting>
  <conditionalFormatting sqref="BG45">
    <cfRule type="expression" dxfId="176" priority="10474">
      <formula>BG45&lt;&gt;BL45</formula>
    </cfRule>
  </conditionalFormatting>
  <conditionalFormatting sqref="J45 N45 R45 V45 Z45 AD45 AH45 AL45 AP45 AT45 AX45">
    <cfRule type="duplicateValues" dxfId="175" priority="10478"/>
  </conditionalFormatting>
  <conditionalFormatting sqref="AM45">
    <cfRule type="expression" dxfId="174" priority="10445">
      <formula>AND($F45&gt;AM45,AM45&lt;&gt;"")</formula>
    </cfRule>
    <cfRule type="expression" dxfId="173" priority="10446">
      <formula>AND($F45&lt;AM45,AM45&lt;&gt;"")</formula>
    </cfRule>
  </conditionalFormatting>
  <conditionalFormatting sqref="AQ45">
    <cfRule type="expression" dxfId="172" priority="10443">
      <formula>AND($F45&gt;AQ45,AQ45&lt;&gt;"")</formula>
    </cfRule>
    <cfRule type="expression" dxfId="171" priority="10444">
      <formula>AND($F45&lt;AQ45,AQ45&lt;&gt;"")</formula>
    </cfRule>
  </conditionalFormatting>
  <conditionalFormatting sqref="BG46">
    <cfRule type="expression" dxfId="170" priority="10436">
      <formula>BG46&lt;&gt;BL46</formula>
    </cfRule>
  </conditionalFormatting>
  <conditionalFormatting sqref="J46 N46 R46 V46 Z46 AD46 AH46 AL46 AP46 AT46 AX46">
    <cfRule type="duplicateValues" dxfId="169" priority="10440"/>
  </conditionalFormatting>
  <conditionalFormatting sqref="AM46">
    <cfRule type="expression" dxfId="168" priority="10407">
      <formula>AND($F46&gt;AM46,AM46&lt;&gt;"")</formula>
    </cfRule>
    <cfRule type="expression" dxfId="167" priority="10408">
      <formula>AND($F46&lt;AM46,AM46&lt;&gt;"")</formula>
    </cfRule>
  </conditionalFormatting>
  <conditionalFormatting sqref="AQ46">
    <cfRule type="expression" dxfId="166" priority="10405">
      <formula>AND($F46&gt;AQ46,AQ46&lt;&gt;"")</formula>
    </cfRule>
    <cfRule type="expression" dxfId="165" priority="10406">
      <formula>AND($F46&lt;AQ46,AQ46&lt;&gt;"")</formula>
    </cfRule>
  </conditionalFormatting>
  <conditionalFormatting sqref="BG47">
    <cfRule type="expression" dxfId="164" priority="10398">
      <formula>BG47&lt;&gt;BL47</formula>
    </cfRule>
  </conditionalFormatting>
  <conditionalFormatting sqref="J47 N47 R47 V47 Z47 AD47 AH47 AL47 AP47 AT47 AX47">
    <cfRule type="duplicateValues" dxfId="163" priority="10402"/>
  </conditionalFormatting>
  <conditionalFormatting sqref="AM47">
    <cfRule type="expression" dxfId="162" priority="10369">
      <formula>AND($F47&gt;AM47,AM47&lt;&gt;"")</formula>
    </cfRule>
    <cfRule type="expression" dxfId="161" priority="10370">
      <formula>AND($F47&lt;AM47,AM47&lt;&gt;"")</formula>
    </cfRule>
  </conditionalFormatting>
  <conditionalFormatting sqref="AQ47">
    <cfRule type="expression" dxfId="160" priority="10367">
      <formula>AND($F47&gt;AQ47,AQ47&lt;&gt;"")</formula>
    </cfRule>
    <cfRule type="expression" dxfId="159" priority="10368">
      <formula>AND($F47&lt;AQ47,AQ47&lt;&gt;"")</formula>
    </cfRule>
  </conditionalFormatting>
  <conditionalFormatting sqref="BG48">
    <cfRule type="expression" dxfId="158" priority="10360">
      <formula>BG48&lt;&gt;BL48</formula>
    </cfRule>
  </conditionalFormatting>
  <conditionalFormatting sqref="J48 N48 R48 V48 Z48 AD48 AH48 AL48 AP48 AT48 AX48">
    <cfRule type="duplicateValues" dxfId="157" priority="10364"/>
  </conditionalFormatting>
  <conditionalFormatting sqref="AM48">
    <cfRule type="expression" dxfId="156" priority="10331">
      <formula>AND($F48&gt;AM48,AM48&lt;&gt;"")</formula>
    </cfRule>
    <cfRule type="expression" dxfId="155" priority="10332">
      <formula>AND($F48&lt;AM48,AM48&lt;&gt;"")</formula>
    </cfRule>
  </conditionalFormatting>
  <conditionalFormatting sqref="AQ48">
    <cfRule type="expression" dxfId="154" priority="10329">
      <formula>AND($F48&gt;AQ48,AQ48&lt;&gt;"")</formula>
    </cfRule>
    <cfRule type="expression" dxfId="153" priority="10330">
      <formula>AND($F48&lt;AQ48,AQ48&lt;&gt;"")</formula>
    </cfRule>
  </conditionalFormatting>
  <conditionalFormatting sqref="BG49">
    <cfRule type="expression" dxfId="152" priority="10322">
      <formula>BG49&lt;&gt;BL49</formula>
    </cfRule>
  </conditionalFormatting>
  <conditionalFormatting sqref="J49 N49 R49 V49 Z49 AD49 AH49 AL49 AP49 AT49 AX49">
    <cfRule type="duplicateValues" dxfId="151" priority="10326"/>
  </conditionalFormatting>
  <conditionalFormatting sqref="AM49">
    <cfRule type="expression" dxfId="150" priority="10293">
      <formula>AND($F49&gt;AM49,AM49&lt;&gt;"")</formula>
    </cfRule>
    <cfRule type="expression" dxfId="149" priority="10294">
      <formula>AND($F49&lt;AM49,AM49&lt;&gt;"")</formula>
    </cfRule>
  </conditionalFormatting>
  <conditionalFormatting sqref="AQ49">
    <cfRule type="expression" dxfId="148" priority="10291">
      <formula>AND($F49&gt;AQ49,AQ49&lt;&gt;"")</formula>
    </cfRule>
    <cfRule type="expression" dxfId="147" priority="10292">
      <formula>AND($F49&lt;AQ49,AQ49&lt;&gt;"")</formula>
    </cfRule>
  </conditionalFormatting>
  <conditionalFormatting sqref="BG50">
    <cfRule type="expression" dxfId="146" priority="10284">
      <formula>BG50&lt;&gt;BL50</formula>
    </cfRule>
  </conditionalFormatting>
  <conditionalFormatting sqref="J50 N50 R50 V50 Z50 AD50 AH50 AL50 AP50 AT50 AX50">
    <cfRule type="duplicateValues" dxfId="145" priority="10288"/>
  </conditionalFormatting>
  <conditionalFormatting sqref="AM50">
    <cfRule type="expression" dxfId="144" priority="10255">
      <formula>AND($F50&gt;AM50,AM50&lt;&gt;"")</formula>
    </cfRule>
    <cfRule type="expression" dxfId="143" priority="10256">
      <formula>AND($F50&lt;AM50,AM50&lt;&gt;"")</formula>
    </cfRule>
  </conditionalFormatting>
  <conditionalFormatting sqref="AQ50">
    <cfRule type="expression" dxfId="142" priority="10253">
      <formula>AND($F50&gt;AQ50,AQ50&lt;&gt;"")</formula>
    </cfRule>
    <cfRule type="expression" dxfId="141" priority="10254">
      <formula>AND($F50&lt;AQ50,AQ50&lt;&gt;"")</formula>
    </cfRule>
  </conditionalFormatting>
  <conditionalFormatting sqref="BG51">
    <cfRule type="expression" dxfId="140" priority="10246">
      <formula>BG51&lt;&gt;BL51</formula>
    </cfRule>
  </conditionalFormatting>
  <conditionalFormatting sqref="J51 N51 R51 V51 Z51 AD51 AH51 AL51 AP51 AT51 AX51">
    <cfRule type="duplicateValues" dxfId="139" priority="10250"/>
  </conditionalFormatting>
  <conditionalFormatting sqref="AM51">
    <cfRule type="expression" dxfId="138" priority="10217">
      <formula>AND($F51&gt;AM51,AM51&lt;&gt;"")</formula>
    </cfRule>
    <cfRule type="expression" dxfId="137" priority="10218">
      <formula>AND($F51&lt;AM51,AM51&lt;&gt;"")</formula>
    </cfRule>
  </conditionalFormatting>
  <conditionalFormatting sqref="AQ51">
    <cfRule type="expression" dxfId="136" priority="10215">
      <formula>AND($F51&gt;AQ51,AQ51&lt;&gt;"")</formula>
    </cfRule>
    <cfRule type="expression" dxfId="135" priority="10216">
      <formula>AND($F51&lt;AQ51,AQ51&lt;&gt;"")</formula>
    </cfRule>
  </conditionalFormatting>
  <conditionalFormatting sqref="BG52">
    <cfRule type="expression" dxfId="134" priority="10208">
      <formula>BG52&lt;&gt;BL52</formula>
    </cfRule>
  </conditionalFormatting>
  <conditionalFormatting sqref="J52 N52 R52 V52 Z52 AD52 AH52 AL52 AP52 AT52 AX52">
    <cfRule type="duplicateValues" dxfId="133" priority="10212"/>
  </conditionalFormatting>
  <conditionalFormatting sqref="AM52">
    <cfRule type="expression" dxfId="132" priority="10179">
      <formula>AND($F52&gt;AM52,AM52&lt;&gt;"")</formula>
    </cfRule>
    <cfRule type="expression" dxfId="131" priority="10180">
      <formula>AND($F52&lt;AM52,AM52&lt;&gt;"")</formula>
    </cfRule>
  </conditionalFormatting>
  <conditionalFormatting sqref="AQ52">
    <cfRule type="expression" dxfId="130" priority="10177">
      <formula>AND($F52&gt;AQ52,AQ52&lt;&gt;"")</formula>
    </cfRule>
    <cfRule type="expression" dxfId="129" priority="10178">
      <formula>AND($F52&lt;AQ52,AQ52&lt;&gt;"")</formula>
    </cfRule>
  </conditionalFormatting>
  <conditionalFormatting sqref="BG53">
    <cfRule type="expression" dxfId="128" priority="10170">
      <formula>BG53&lt;&gt;BL53</formula>
    </cfRule>
  </conditionalFormatting>
  <conditionalFormatting sqref="J53 N53 R53 V53 Z53 AD53 AH53 AL53 AP53 AT53 AX53">
    <cfRule type="duplicateValues" dxfId="127" priority="10174"/>
  </conditionalFormatting>
  <conditionalFormatting sqref="AM53">
    <cfRule type="expression" dxfId="126" priority="10141">
      <formula>AND($F53&gt;AM53,AM53&lt;&gt;"")</formula>
    </cfRule>
    <cfRule type="expression" dxfId="125" priority="10142">
      <formula>AND($F53&lt;AM53,AM53&lt;&gt;"")</formula>
    </cfRule>
  </conditionalFormatting>
  <conditionalFormatting sqref="AQ53">
    <cfRule type="expression" dxfId="124" priority="10139">
      <formula>AND($F53&gt;AQ53,AQ53&lt;&gt;"")</formula>
    </cfRule>
    <cfRule type="expression" dxfId="123" priority="10140">
      <formula>AND($F53&lt;AQ53,AQ53&lt;&gt;"")</formula>
    </cfRule>
  </conditionalFormatting>
  <conditionalFormatting sqref="BG54">
    <cfRule type="expression" dxfId="122" priority="10132">
      <formula>BG54&lt;&gt;BL54</formula>
    </cfRule>
  </conditionalFormatting>
  <conditionalFormatting sqref="J54 N54 R54 V54 Z54 AD54 AH54 AL54 AP54 AT54 AX54">
    <cfRule type="duplicateValues" dxfId="121" priority="10136"/>
  </conditionalFormatting>
  <conditionalFormatting sqref="AM54">
    <cfRule type="expression" dxfId="120" priority="10103">
      <formula>AND($F54&gt;AM54,AM54&lt;&gt;"")</formula>
    </cfRule>
    <cfRule type="expression" dxfId="119" priority="10104">
      <formula>AND($F54&lt;AM54,AM54&lt;&gt;"")</formula>
    </cfRule>
  </conditionalFormatting>
  <conditionalFormatting sqref="AQ54">
    <cfRule type="expression" dxfId="118" priority="10101">
      <formula>AND($F54&gt;AQ54,AQ54&lt;&gt;"")</formula>
    </cfRule>
    <cfRule type="expression" dxfId="117" priority="10102">
      <formula>AND($F54&lt;AQ54,AQ54&lt;&gt;"")</formula>
    </cfRule>
  </conditionalFormatting>
  <conditionalFormatting sqref="BG55">
    <cfRule type="expression" dxfId="116" priority="10094">
      <formula>BG55&lt;&gt;BL55</formula>
    </cfRule>
  </conditionalFormatting>
  <conditionalFormatting sqref="J55 N55 R55 V55 Z55 AD55 AH55 AL55 AP55 AT55 AX55">
    <cfRule type="duplicateValues" dxfId="115" priority="10098"/>
  </conditionalFormatting>
  <conditionalFormatting sqref="AM55">
    <cfRule type="expression" dxfId="114" priority="10065">
      <formula>AND($F55&gt;AM55,AM55&lt;&gt;"")</formula>
    </cfRule>
    <cfRule type="expression" dxfId="113" priority="10066">
      <formula>AND($F55&lt;AM55,AM55&lt;&gt;"")</formula>
    </cfRule>
  </conditionalFormatting>
  <conditionalFormatting sqref="AQ55">
    <cfRule type="expression" dxfId="112" priority="10063">
      <formula>AND($F55&gt;AQ55,AQ55&lt;&gt;"")</formula>
    </cfRule>
    <cfRule type="expression" dxfId="111" priority="10064">
      <formula>AND($F55&lt;AQ55,AQ55&lt;&gt;"")</formula>
    </cfRule>
  </conditionalFormatting>
  <conditionalFormatting sqref="BG56">
    <cfRule type="expression" dxfId="110" priority="10056">
      <formula>BG56&lt;&gt;BL56</formula>
    </cfRule>
  </conditionalFormatting>
  <conditionalFormatting sqref="J56 N56 R56 V56 Z56 AD56 AH56 AL56 AP56 AT56 AX56">
    <cfRule type="duplicateValues" dxfId="109" priority="10060"/>
  </conditionalFormatting>
  <conditionalFormatting sqref="AM56">
    <cfRule type="expression" dxfId="108" priority="10027">
      <formula>AND($F56&gt;AM56,AM56&lt;&gt;"")</formula>
    </cfRule>
    <cfRule type="expression" dxfId="107" priority="10028">
      <formula>AND($F56&lt;AM56,AM56&lt;&gt;"")</formula>
    </cfRule>
  </conditionalFormatting>
  <conditionalFormatting sqref="AQ56">
    <cfRule type="expression" dxfId="106" priority="10025">
      <formula>AND($F56&gt;AQ56,AQ56&lt;&gt;"")</formula>
    </cfRule>
    <cfRule type="expression" dxfId="105" priority="10026">
      <formula>AND($F56&lt;AQ56,AQ56&lt;&gt;"")</formula>
    </cfRule>
  </conditionalFormatting>
  <conditionalFormatting sqref="BG57">
    <cfRule type="expression" dxfId="104" priority="10018">
      <formula>BG57&lt;&gt;BL57</formula>
    </cfRule>
  </conditionalFormatting>
  <conditionalFormatting sqref="J57 N57 R57 V57 Z57 AD57 AH57 AL57 AP57 AT57 AX57">
    <cfRule type="duplicateValues" dxfId="103" priority="10022"/>
  </conditionalFormatting>
  <conditionalFormatting sqref="AM57">
    <cfRule type="expression" dxfId="102" priority="9989">
      <formula>AND($F57&gt;AM57,AM57&lt;&gt;"")</formula>
    </cfRule>
    <cfRule type="expression" dxfId="101" priority="9990">
      <formula>AND($F57&lt;AM57,AM57&lt;&gt;"")</formula>
    </cfRule>
  </conditionalFormatting>
  <conditionalFormatting sqref="AQ57">
    <cfRule type="expression" dxfId="100" priority="9987">
      <formula>AND($F57&gt;AQ57,AQ57&lt;&gt;"")</formula>
    </cfRule>
    <cfRule type="expression" dxfId="99" priority="9988">
      <formula>AND($F57&lt;AQ57,AQ57&lt;&gt;"")</formula>
    </cfRule>
  </conditionalFormatting>
  <conditionalFormatting sqref="BG58">
    <cfRule type="expression" dxfId="98" priority="9980">
      <formula>BG58&lt;&gt;BL58</formula>
    </cfRule>
  </conditionalFormatting>
  <conditionalFormatting sqref="J58 N58 R58 V58 Z58 AD58 AH58 AL58 AP58 AT58 AX58">
    <cfRule type="duplicateValues" dxfId="97" priority="9984"/>
  </conditionalFormatting>
  <conditionalFormatting sqref="AM58">
    <cfRule type="expression" dxfId="96" priority="9951">
      <formula>AND($F58&gt;AM58,AM58&lt;&gt;"")</formula>
    </cfRule>
    <cfRule type="expression" dxfId="95" priority="9952">
      <formula>AND($F58&lt;AM58,AM58&lt;&gt;"")</formula>
    </cfRule>
  </conditionalFormatting>
  <conditionalFormatting sqref="AQ58">
    <cfRule type="expression" dxfId="94" priority="9949">
      <formula>AND($F58&gt;AQ58,AQ58&lt;&gt;"")</formula>
    </cfRule>
    <cfRule type="expression" dxfId="93" priority="9950">
      <formula>AND($F58&lt;AQ58,AQ58&lt;&gt;"")</formula>
    </cfRule>
  </conditionalFormatting>
  <conditionalFormatting sqref="BG59">
    <cfRule type="expression" dxfId="92" priority="9942">
      <formula>BG59&lt;&gt;BL59</formula>
    </cfRule>
  </conditionalFormatting>
  <conditionalFormatting sqref="J59 N59 R59 V59 Z59 AD59 AH59 AL59 AP59 AT59 AX59">
    <cfRule type="duplicateValues" dxfId="91" priority="9946"/>
  </conditionalFormatting>
  <conditionalFormatting sqref="AM59">
    <cfRule type="expression" dxfId="90" priority="9913">
      <formula>AND($F59&gt;AM59,AM59&lt;&gt;"")</formula>
    </cfRule>
    <cfRule type="expression" dxfId="89" priority="9914">
      <formula>AND($F59&lt;AM59,AM59&lt;&gt;"")</formula>
    </cfRule>
  </conditionalFormatting>
  <conditionalFormatting sqref="AQ59">
    <cfRule type="expression" dxfId="88" priority="9911">
      <formula>AND($F59&gt;AQ59,AQ59&lt;&gt;"")</formula>
    </cfRule>
    <cfRule type="expression" dxfId="87" priority="9912">
      <formula>AND($F59&lt;AQ59,AQ59&lt;&gt;"")</formula>
    </cfRule>
  </conditionalFormatting>
  <conditionalFormatting sqref="BG60">
    <cfRule type="expression" dxfId="86" priority="9904">
      <formula>BG60&lt;&gt;BL60</formula>
    </cfRule>
  </conditionalFormatting>
  <conditionalFormatting sqref="J60 N60 R60 V60 Z60 AD60 AH60 AL60 AP60 AT60 AX60">
    <cfRule type="duplicateValues" dxfId="85" priority="9908"/>
  </conditionalFormatting>
  <conditionalFormatting sqref="AM60">
    <cfRule type="expression" dxfId="84" priority="9875">
      <formula>AND($F60&gt;AM60,AM60&lt;&gt;"")</formula>
    </cfRule>
    <cfRule type="expression" dxfId="83" priority="9876">
      <formula>AND($F60&lt;AM60,AM60&lt;&gt;"")</formula>
    </cfRule>
  </conditionalFormatting>
  <conditionalFormatting sqref="AQ60">
    <cfRule type="expression" dxfId="82" priority="9873">
      <formula>AND($F60&gt;AQ60,AQ60&lt;&gt;"")</formula>
    </cfRule>
    <cfRule type="expression" dxfId="81" priority="9874">
      <formula>AND($F60&lt;AQ60,AQ60&lt;&gt;"")</formula>
    </cfRule>
  </conditionalFormatting>
  <conditionalFormatting sqref="BG61">
    <cfRule type="expression" dxfId="80" priority="9866">
      <formula>BG61&lt;&gt;BL61</formula>
    </cfRule>
  </conditionalFormatting>
  <conditionalFormatting sqref="J61 N61 R61 V61 Z61 AD61 AH61 AL61 AP61 AT61 AX61">
    <cfRule type="duplicateValues" dxfId="79" priority="9870"/>
  </conditionalFormatting>
  <conditionalFormatting sqref="AM61">
    <cfRule type="expression" dxfId="78" priority="9837">
      <formula>AND($F61&gt;AM61,AM61&lt;&gt;"")</formula>
    </cfRule>
    <cfRule type="expression" dxfId="77" priority="9838">
      <formula>AND($F61&lt;AM61,AM61&lt;&gt;"")</formula>
    </cfRule>
  </conditionalFormatting>
  <conditionalFormatting sqref="AQ61">
    <cfRule type="expression" dxfId="76" priority="9835">
      <formula>AND($F61&gt;AQ61,AQ61&lt;&gt;"")</formula>
    </cfRule>
    <cfRule type="expression" dxfId="75" priority="9836">
      <formula>AND($F61&lt;AQ61,AQ61&lt;&gt;"")</formula>
    </cfRule>
  </conditionalFormatting>
  <conditionalFormatting sqref="BG62">
    <cfRule type="expression" dxfId="74" priority="9828">
      <formula>BG62&lt;&gt;BL62</formula>
    </cfRule>
  </conditionalFormatting>
  <conditionalFormatting sqref="J62 N62 R62 V62 Z62 AD62 AH62 AL62 AP62 AT62 AX62">
    <cfRule type="duplicateValues" dxfId="73" priority="9832"/>
  </conditionalFormatting>
  <conditionalFormatting sqref="AM62">
    <cfRule type="expression" dxfId="72" priority="9799">
      <formula>AND($F62&gt;AM62,AM62&lt;&gt;"")</formula>
    </cfRule>
    <cfRule type="expression" dxfId="71" priority="9800">
      <formula>AND($F62&lt;AM62,AM62&lt;&gt;"")</formula>
    </cfRule>
  </conditionalFormatting>
  <conditionalFormatting sqref="AQ62">
    <cfRule type="expression" dxfId="70" priority="9797">
      <formula>AND($F62&gt;AQ62,AQ62&lt;&gt;"")</formula>
    </cfRule>
    <cfRule type="expression" dxfId="69" priority="9798">
      <formula>AND($F62&lt;AQ62,AQ62&lt;&gt;"")</formula>
    </cfRule>
  </conditionalFormatting>
  <conditionalFormatting sqref="BG63">
    <cfRule type="expression" dxfId="68" priority="9790">
      <formula>BG63&lt;&gt;BL63</formula>
    </cfRule>
  </conditionalFormatting>
  <conditionalFormatting sqref="J63 N63 R63 V63 Z63 AD63 AH63 AL63 AP63 AT63 AX63">
    <cfRule type="duplicateValues" dxfId="67" priority="9794"/>
  </conditionalFormatting>
  <conditionalFormatting sqref="AM63">
    <cfRule type="expression" dxfId="66" priority="9761">
      <formula>AND($F63&gt;AM63,AM63&lt;&gt;"")</formula>
    </cfRule>
    <cfRule type="expression" dxfId="65" priority="9762">
      <formula>AND($F63&lt;AM63,AM63&lt;&gt;"")</formula>
    </cfRule>
  </conditionalFormatting>
  <conditionalFormatting sqref="AQ63">
    <cfRule type="expression" dxfId="64" priority="9759">
      <formula>AND($F63&gt;AQ63,AQ63&lt;&gt;"")</formula>
    </cfRule>
    <cfRule type="expression" dxfId="63" priority="9760">
      <formula>AND($F63&lt;AQ63,AQ63&lt;&gt;"")</formula>
    </cfRule>
  </conditionalFormatting>
  <conditionalFormatting sqref="BG64">
    <cfRule type="expression" dxfId="62" priority="9752">
      <formula>BG64&lt;&gt;BL64</formula>
    </cfRule>
  </conditionalFormatting>
  <conditionalFormatting sqref="J64 N64 R64 V64 Z64 AD64 AH64 AL64 AP64 AT64 AX64">
    <cfRule type="duplicateValues" dxfId="61" priority="9756"/>
  </conditionalFormatting>
  <conditionalFormatting sqref="AM64">
    <cfRule type="expression" dxfId="60" priority="9723">
      <formula>AND($F64&gt;AM64,AM64&lt;&gt;"")</formula>
    </cfRule>
    <cfRule type="expression" dxfId="59" priority="9724">
      <formula>AND($F64&lt;AM64,AM64&lt;&gt;"")</formula>
    </cfRule>
  </conditionalFormatting>
  <conditionalFormatting sqref="AQ64">
    <cfRule type="expression" dxfId="58" priority="9721">
      <formula>AND($F64&gt;AQ64,AQ64&lt;&gt;"")</formula>
    </cfRule>
    <cfRule type="expression" dxfId="57" priority="9722">
      <formula>AND($F64&lt;AQ64,AQ64&lt;&gt;"")</formula>
    </cfRule>
  </conditionalFormatting>
  <conditionalFormatting sqref="BG65">
    <cfRule type="expression" dxfId="56" priority="9714">
      <formula>BG65&lt;&gt;BL65</formula>
    </cfRule>
  </conditionalFormatting>
  <conditionalFormatting sqref="J65 N65 R65 V65 Z65 AD65 AH65 AL65 AP65 AT65 AX65">
    <cfRule type="duplicateValues" dxfId="55" priority="9718"/>
  </conditionalFormatting>
  <conditionalFormatting sqref="AM65">
    <cfRule type="expression" dxfId="54" priority="9685">
      <formula>AND($F65&gt;AM65,AM65&lt;&gt;"")</formula>
    </cfRule>
    <cfRule type="expression" dxfId="53" priority="9686">
      <formula>AND($F65&lt;AM65,AM65&lt;&gt;"")</formula>
    </cfRule>
  </conditionalFormatting>
  <conditionalFormatting sqref="AQ65">
    <cfRule type="expression" dxfId="52" priority="9683">
      <formula>AND($F65&gt;AQ65,AQ65&lt;&gt;"")</formula>
    </cfRule>
    <cfRule type="expression" dxfId="51" priority="9684">
      <formula>AND($F65&lt;AQ65,AQ65&lt;&gt;"")</formula>
    </cfRule>
  </conditionalFormatting>
  <conditionalFormatting sqref="BG66">
    <cfRule type="expression" dxfId="50" priority="9676">
      <formula>BG66&lt;&gt;BL66</formula>
    </cfRule>
  </conditionalFormatting>
  <conditionalFormatting sqref="J66 N66 R66 V66 Z66 AD66 AH66 AL66 AP66 AT66 AX66">
    <cfRule type="duplicateValues" dxfId="49" priority="9680"/>
  </conditionalFormatting>
  <conditionalFormatting sqref="AM66">
    <cfRule type="expression" dxfId="48" priority="9647">
      <formula>AND($F66&gt;AM66,AM66&lt;&gt;"")</formula>
    </cfRule>
    <cfRule type="expression" dxfId="47" priority="9648">
      <formula>AND($F66&lt;AM66,AM66&lt;&gt;"")</formula>
    </cfRule>
  </conditionalFormatting>
  <conditionalFormatting sqref="AQ66">
    <cfRule type="expression" dxfId="46" priority="9645">
      <formula>AND($F66&gt;AQ66,AQ66&lt;&gt;"")</formula>
    </cfRule>
    <cfRule type="expression" dxfId="45" priority="9646">
      <formula>AND($F66&lt;AQ66,AQ66&lt;&gt;"")</formula>
    </cfRule>
  </conditionalFormatting>
  <conditionalFormatting sqref="BG67">
    <cfRule type="expression" dxfId="44" priority="9638">
      <formula>BG67&lt;&gt;BL67</formula>
    </cfRule>
  </conditionalFormatting>
  <conditionalFormatting sqref="J67 N67 R67 V67 Z67 AD67 AH67 AL67 AP67 AT67 AX67">
    <cfRule type="duplicateValues" dxfId="43" priority="9642"/>
  </conditionalFormatting>
  <conditionalFormatting sqref="AM67">
    <cfRule type="expression" dxfId="42" priority="9609">
      <formula>AND($F67&gt;AM67,AM67&lt;&gt;"")</formula>
    </cfRule>
    <cfRule type="expression" dxfId="41" priority="9610">
      <formula>AND($F67&lt;AM67,AM67&lt;&gt;"")</formula>
    </cfRule>
  </conditionalFormatting>
  <conditionalFormatting sqref="AQ67">
    <cfRule type="expression" dxfId="40" priority="9607">
      <formula>AND($F67&gt;AQ67,AQ67&lt;&gt;"")</formula>
    </cfRule>
    <cfRule type="expression" dxfId="39" priority="9608">
      <formula>AND($F67&lt;AQ67,AQ67&lt;&gt;"")</formula>
    </cfRule>
  </conditionalFormatting>
  <conditionalFormatting sqref="BG68">
    <cfRule type="expression" dxfId="38" priority="9600">
      <formula>BG68&lt;&gt;BL68</formula>
    </cfRule>
  </conditionalFormatting>
  <conditionalFormatting sqref="J68 N68 R68 V68 Z68 AD68 AH68 AL68 AP68 AT68 AX68">
    <cfRule type="duplicateValues" dxfId="37" priority="9604"/>
  </conditionalFormatting>
  <conditionalFormatting sqref="AM68">
    <cfRule type="expression" dxfId="36" priority="9571">
      <formula>AND($F68&gt;AM68,AM68&lt;&gt;"")</formula>
    </cfRule>
    <cfRule type="expression" dxfId="35" priority="9572">
      <formula>AND($F68&lt;AM68,AM68&lt;&gt;"")</formula>
    </cfRule>
  </conditionalFormatting>
  <conditionalFormatting sqref="AQ68">
    <cfRule type="expression" dxfId="34" priority="9569">
      <formula>AND($F68&gt;AQ68,AQ68&lt;&gt;"")</formula>
    </cfRule>
    <cfRule type="expression" dxfId="33" priority="9570">
      <formula>AND($F68&lt;AQ68,AQ68&lt;&gt;"")</formula>
    </cfRule>
  </conditionalFormatting>
  <conditionalFormatting sqref="BT138">
    <cfRule type="cellIs" dxfId="32" priority="122" operator="greaterThan">
      <formula>0</formula>
    </cfRule>
  </conditionalFormatting>
  <conditionalFormatting sqref="C5:C89">
    <cfRule type="duplicateValues" dxfId="31" priority="1"/>
  </conditionalFormatting>
  <pageMargins left="0.23622047244094491" right="0" top="0.19685039370078741" bottom="0.19685039370078741" header="0" footer="0"/>
  <pageSetup paperSize="9" scale="21" fitToHeight="0" orientation="landscape" blackAndWhite="1" r:id="rId1"/>
  <headerFooter>
    <oddFooter>&amp;R&amp;Pof&amp;N</oddFooter>
  </headerFooter>
  <colBreaks count="1" manualBreakCount="1">
    <brk id="50" max="10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39997558519241921"/>
  </sheetPr>
  <dimension ref="B2:J124"/>
  <sheetViews>
    <sheetView view="pageBreakPreview" zoomScale="85" zoomScaleSheetLayoutView="85" workbookViewId="0">
      <pane xSplit="1" ySplit="3" topLeftCell="B4" activePane="bottomRight" state="frozen"/>
      <selection activeCell="AK7" sqref="AK7"/>
      <selection pane="topRight" activeCell="AK7" sqref="AK7"/>
      <selection pane="bottomLeft" activeCell="AK7" sqref="AK7"/>
      <selection pane="bottomRight" activeCell="B2" sqref="B2:H2"/>
    </sheetView>
  </sheetViews>
  <sheetFormatPr defaultColWidth="18.5703125" defaultRowHeight="12.75" x14ac:dyDescent="0.25"/>
  <cols>
    <col min="1" max="2" width="3.140625" style="234" customWidth="1"/>
    <col min="3" max="3" width="18.5703125" style="234"/>
    <col min="4" max="4" width="18.5703125" style="236"/>
    <col min="5" max="7" width="18.5703125" style="234"/>
    <col min="8" max="8" width="16.42578125" style="236" customWidth="1"/>
    <col min="9" max="9" width="8.42578125" style="233" customWidth="1"/>
    <col min="10" max="16384" width="18.5703125" style="234"/>
  </cols>
  <sheetData>
    <row r="2" spans="2:9" ht="26.25" customHeight="1" x14ac:dyDescent="0.25">
      <c r="B2" s="878" t="s">
        <v>146</v>
      </c>
      <c r="C2" s="878"/>
      <c r="D2" s="878"/>
      <c r="E2" s="878"/>
      <c r="F2" s="878"/>
      <c r="G2" s="878"/>
      <c r="H2" s="878"/>
    </row>
    <row r="3" spans="2:9" ht="19.5" x14ac:dyDescent="0.25">
      <c r="B3" s="235" t="str">
        <f>CONCATENATE("Indent No.-",Form!D2)</f>
        <v>Indent No.-abcd001</v>
      </c>
      <c r="E3" s="235"/>
      <c r="H3" s="237" t="str">
        <f>CONCATENATE("1$ = INR ",ROUND(Form!D10,2))</f>
        <v>1$ = INR 82.78</v>
      </c>
    </row>
    <row r="4" spans="2:9" ht="13.5" thickBot="1" x14ac:dyDescent="0.3">
      <c r="B4" s="238"/>
      <c r="C4" s="238"/>
      <c r="D4" s="239"/>
      <c r="E4" s="238"/>
      <c r="F4" s="238"/>
      <c r="G4" s="238"/>
      <c r="H4" s="239"/>
    </row>
    <row r="5" spans="2:9" ht="19.5" hidden="1" x14ac:dyDescent="0.25">
      <c r="B5" s="240" t="str">
        <f>'CST-Final'!G$2</f>
        <v xml:space="preserve">Aviation Equipment </v>
      </c>
      <c r="C5" s="241"/>
      <c r="D5" s="241"/>
      <c r="E5" s="242"/>
      <c r="F5" s="243" t="s">
        <v>147</v>
      </c>
      <c r="G5" s="244">
        <f>ROUND((F11/100000),2)</f>
        <v>0</v>
      </c>
      <c r="H5" s="245" t="s">
        <v>148</v>
      </c>
    </row>
    <row r="6" spans="2:9" ht="9" hidden="1" customHeight="1" x14ac:dyDescent="0.25">
      <c r="B6" s="246" t="str">
        <f>'CST-Final'!H$3</f>
        <v>Avi. Equip.</v>
      </c>
      <c r="C6" s="878"/>
      <c r="D6" s="878"/>
      <c r="E6" s="878"/>
      <c r="F6" s="878"/>
      <c r="G6" s="878"/>
      <c r="H6" s="247"/>
    </row>
    <row r="7" spans="2:9" ht="15.75" hidden="1" customHeight="1" x14ac:dyDescent="0.25">
      <c r="B7" s="248"/>
      <c r="C7" s="249"/>
      <c r="D7" s="250"/>
      <c r="E7" s="249"/>
      <c r="F7" s="249"/>
      <c r="G7" s="251" t="s">
        <v>149</v>
      </c>
      <c r="H7" s="252">
        <f>COUNTIFS('CST-Final'!A:A,"&gt;0",IF(B6='CST-Final'!$H$3,'CST-Final'!$H:$H,IF(B6='CST-Final'!$L$3,'CST-Final'!$L:$L,IF(B6='CST-Final'!$P$3,'CST-Final'!$P:$P,IF(B6='CST-Final'!$T$3,'CST-Final'!$T:$T,IF(B6='CST-Final'!$X$3,'CST-Final'!$X:$X,IF(B6='CST-Final'!$AB$3,'CST-Final'!$AB:$AB,IF(B6='CST-Final'!$AF$3,'CST-Final'!$AF:$AF,IF(B6='CST-Final'!$AJ$3,'CST-Final'!$AJ:$AJ,IF(B6='CST-Final'!$AN$3,'CST-Final'!$AN:$AN,IF(B6='CST-Final'!$AR$3,'CST-Final'!$AR:$AR,IF(B6='CST-Final'!$AV$3,'CST-Final'!$AV:$AV,IF(B6='CST-Final'!$AZ$3,'CST-Final'!$AZ:$AZ,1)))))))))))),"&gt;0")</f>
        <v>0</v>
      </c>
    </row>
    <row r="8" spans="2:9" s="561" customFormat="1" ht="24" hidden="1" x14ac:dyDescent="0.25">
      <c r="B8" s="558"/>
      <c r="C8" s="559" t="s">
        <v>150</v>
      </c>
      <c r="D8" s="559" t="s">
        <v>151</v>
      </c>
      <c r="E8" s="559" t="s">
        <v>480</v>
      </c>
      <c r="F8" s="559" t="s">
        <v>523</v>
      </c>
      <c r="G8" s="559" t="s">
        <v>524</v>
      </c>
      <c r="H8" s="560" t="s">
        <v>152</v>
      </c>
      <c r="I8" s="255"/>
    </row>
    <row r="9" spans="2:9" hidden="1" x14ac:dyDescent="0.25">
      <c r="B9" s="248"/>
      <c r="C9" s="256">
        <v>1</v>
      </c>
      <c r="D9" s="257" t="s">
        <v>153</v>
      </c>
      <c r="E9" s="256">
        <f>COUNTIFS('CST-Final'!$AZ:$AZ,D9,'CST-Final'!$AY:$AY,B6)</f>
        <v>0</v>
      </c>
      <c r="F9" s="256">
        <f>SUMIFS('CST-Final'!$BR$5:$BR$89,'CST-Final'!$AZ$5:$AZ$89,D9,'CST-Final'!$AY$5:$AY$89,B6)</f>
        <v>0</v>
      </c>
      <c r="G9" s="256">
        <f>SUMIFS('CST-Final'!$BS$5:$BS$89,'CST-Final'!$AZ$5:$AZ$89,D9,'CST-Final'!$AY$5:$AY$89,B6)</f>
        <v>0</v>
      </c>
      <c r="H9" s="258">
        <f>COUNTIFS('CST-Final'!BT:BT,"&gt;0",'CST-Final'!$AZ:$AZ,D9,'CST-Final'!$AY:$AY,B6)</f>
        <v>0</v>
      </c>
    </row>
    <row r="10" spans="2:9" hidden="1" x14ac:dyDescent="0.25">
      <c r="B10" s="248"/>
      <c r="C10" s="256">
        <v>2</v>
      </c>
      <c r="D10" s="259" t="s">
        <v>154</v>
      </c>
      <c r="E10" s="256">
        <f>COUNTIFS('CST-Final'!$AZ:$AZ,D10,'CST-Final'!$AY:$AY,B6)</f>
        <v>0</v>
      </c>
      <c r="F10" s="256">
        <f>SUMIFS('CST-Final'!$BR$5:$BR$89,'CST-Final'!$AZ$5:$AZ$89,D10,'CST-Final'!$AY$5:$AY$89,B6)</f>
        <v>0</v>
      </c>
      <c r="G10" s="256">
        <f>SUMIFS('CST-Final'!$BS$5:$BS$89,'CST-Final'!$AZ$5:$AZ$89,D10,'CST-Final'!$AY$5:$AY$89,B6)</f>
        <v>0</v>
      </c>
      <c r="H10" s="258">
        <f>COUNTIFS('CST-Final'!BT:BT,"&gt;0",'CST-Final'!$AZ:$AZ,D10,'CST-Final'!$AY:$AY,B6)</f>
        <v>0</v>
      </c>
    </row>
    <row r="11" spans="2:9" s="263" customFormat="1" ht="15" hidden="1" customHeight="1" x14ac:dyDescent="0.25">
      <c r="B11" s="260"/>
      <c r="C11" s="876" t="s">
        <v>155</v>
      </c>
      <c r="D11" s="877"/>
      <c r="E11" s="261">
        <f>SUM(E9:E10)</f>
        <v>0</v>
      </c>
      <c r="F11" s="261">
        <f>SUM(F9:F10)</f>
        <v>0</v>
      </c>
      <c r="G11" s="261">
        <f>SUM(G9:G10)</f>
        <v>0</v>
      </c>
      <c r="H11" s="262">
        <f>SUM(H9:H10)</f>
        <v>0</v>
      </c>
      <c r="I11" s="233"/>
    </row>
    <row r="12" spans="2:9" hidden="1" x14ac:dyDescent="0.25">
      <c r="B12" s="248"/>
      <c r="C12" s="249"/>
      <c r="D12" s="250"/>
      <c r="E12" s="264"/>
      <c r="F12" s="265"/>
      <c r="G12" s="265"/>
      <c r="H12" s="247"/>
      <c r="I12" s="266"/>
    </row>
    <row r="13" spans="2:9" ht="15.75" hidden="1" x14ac:dyDescent="0.25">
      <c r="B13" s="267"/>
      <c r="C13" s="268"/>
      <c r="D13" s="879" t="s">
        <v>142</v>
      </c>
      <c r="E13" s="879"/>
      <c r="F13" s="879"/>
      <c r="G13" s="269">
        <f>IF(SUM(F11:G11)=0,0,(F11-G11)/G11)</f>
        <v>0</v>
      </c>
      <c r="H13" s="270"/>
      <c r="I13" s="266"/>
    </row>
    <row r="14" spans="2:9" ht="13.5" hidden="1" thickBot="1" x14ac:dyDescent="0.3">
      <c r="B14" s="271"/>
      <c r="C14" s="272"/>
      <c r="D14" s="273"/>
      <c r="E14" s="272"/>
      <c r="F14" s="272"/>
      <c r="G14" s="272"/>
      <c r="H14" s="274"/>
    </row>
    <row r="15" spans="2:9" ht="20.25" hidden="1" thickTop="1" x14ac:dyDescent="0.25">
      <c r="B15" s="240" t="str">
        <f>'CST-Final'!K$2</f>
        <v>Avitronic Ltd, Russia</v>
      </c>
      <c r="C15" s="241"/>
      <c r="D15" s="241"/>
      <c r="E15" s="242"/>
      <c r="F15" s="243" t="s">
        <v>147</v>
      </c>
      <c r="G15" s="244">
        <f>ROUND((F21/100000),2)</f>
        <v>0</v>
      </c>
      <c r="H15" s="245" t="s">
        <v>148</v>
      </c>
    </row>
    <row r="16" spans="2:9" ht="9.75" hidden="1" customHeight="1" x14ac:dyDescent="0.25">
      <c r="B16" s="246" t="str">
        <f>'CST-Final'!L$3</f>
        <v>Avitronic</v>
      </c>
      <c r="C16" s="878"/>
      <c r="D16" s="878"/>
      <c r="E16" s="878"/>
      <c r="F16" s="878"/>
      <c r="G16" s="878"/>
      <c r="H16" s="247"/>
    </row>
    <row r="17" spans="2:9" ht="15.75" hidden="1" customHeight="1" x14ac:dyDescent="0.25">
      <c r="B17" s="248"/>
      <c r="C17" s="249"/>
      <c r="D17" s="250"/>
      <c r="E17" s="249"/>
      <c r="F17" s="249"/>
      <c r="G17" s="251" t="s">
        <v>149</v>
      </c>
      <c r="H17" s="252">
        <f>COUNTIFS('CST-Final'!A:A,"&gt;0",IF(B16='CST-Final'!$H$3,'CST-Final'!$H:$H,IF(B16='CST-Final'!$L$3,'CST-Final'!$L:$L,IF(B16='CST-Final'!$P$3,'CST-Final'!$P:$P,IF(B16='CST-Final'!$T$3,'CST-Final'!$T:$T,IF(B16='CST-Final'!$X$3,'CST-Final'!$X:$X,IF(B16='CST-Final'!$AB$3,'CST-Final'!$AB:$AB,IF(B16='CST-Final'!$AF$3,'CST-Final'!$AF:$AF,IF(B16='CST-Final'!$AJ$3,'CST-Final'!$AJ:$AJ,IF(B16='CST-Final'!$AN$3,'CST-Final'!$AN:$AN,IF(B16='CST-Final'!$AR$3,'CST-Final'!$AR:$AR,IF(B16='CST-Final'!$AV$3,'CST-Final'!$AV:$AV,IF(B16='CST-Final'!$AZ$3,'CST-Final'!$AZ:$AZ,1)))))))))))),"&gt;0")</f>
        <v>0</v>
      </c>
    </row>
    <row r="18" spans="2:9" s="561" customFormat="1" ht="24" hidden="1" x14ac:dyDescent="0.25">
      <c r="B18" s="558"/>
      <c r="C18" s="559" t="s">
        <v>150</v>
      </c>
      <c r="D18" s="559" t="s">
        <v>151</v>
      </c>
      <c r="E18" s="559" t="s">
        <v>480</v>
      </c>
      <c r="F18" s="559" t="s">
        <v>523</v>
      </c>
      <c r="G18" s="559" t="s">
        <v>524</v>
      </c>
      <c r="H18" s="560" t="s">
        <v>152</v>
      </c>
      <c r="I18" s="255"/>
    </row>
    <row r="19" spans="2:9" hidden="1" x14ac:dyDescent="0.25">
      <c r="B19" s="248"/>
      <c r="C19" s="256">
        <v>1</v>
      </c>
      <c r="D19" s="257" t="s">
        <v>153</v>
      </c>
      <c r="E19" s="256">
        <f>COUNTIFS('CST-Final'!$AZ:$AZ,D19,'CST-Final'!$AY:$AY,B16)</f>
        <v>0</v>
      </c>
      <c r="F19" s="256">
        <f>SUMIFS('CST-Final'!$BR$5:$BR$89,'CST-Final'!$AZ$5:$AZ$89,D19,'CST-Final'!$AY$5:$AY$89,B16)</f>
        <v>0</v>
      </c>
      <c r="G19" s="256">
        <f>SUMIFS('CST-Final'!$BS$5:$BS$89,'CST-Final'!$AZ$5:$AZ$89,D19,'CST-Final'!$AY$5:$AY$89,B16)</f>
        <v>0</v>
      </c>
      <c r="H19" s="258">
        <f>COUNTIFS('CST-Final'!BT:BT,"&gt;0",'CST-Final'!$AZ:$AZ,D19,'CST-Final'!$AY:$AY,B16)</f>
        <v>0</v>
      </c>
    </row>
    <row r="20" spans="2:9" hidden="1" x14ac:dyDescent="0.25">
      <c r="B20" s="248"/>
      <c r="C20" s="256">
        <v>2</v>
      </c>
      <c r="D20" s="259" t="s">
        <v>154</v>
      </c>
      <c r="E20" s="256">
        <f>COUNTIFS('CST-Final'!$AZ:$AZ,D20,'CST-Final'!$AY:$AY,B16)</f>
        <v>0</v>
      </c>
      <c r="F20" s="256">
        <f>SUMIFS('CST-Final'!$BR$5:$BR$89,'CST-Final'!$AZ$5:$AZ$89,D20,'CST-Final'!$AY$5:$AY$89,B16)</f>
        <v>0</v>
      </c>
      <c r="G20" s="256">
        <f>SUMIFS('CST-Final'!$BS$5:$BS$89,'CST-Final'!$AZ$5:$AZ$89,D20,'CST-Final'!$AY$5:$AY$89,B16)</f>
        <v>0</v>
      </c>
      <c r="H20" s="258">
        <f>COUNTIFS('CST-Final'!BT:BT,"&gt;0",'CST-Final'!$AZ:$AZ,D20,'CST-Final'!$AY:$AY,B16)</f>
        <v>0</v>
      </c>
    </row>
    <row r="21" spans="2:9" s="263" customFormat="1" ht="15" hidden="1" customHeight="1" x14ac:dyDescent="0.25">
      <c r="B21" s="260"/>
      <c r="C21" s="876" t="s">
        <v>155</v>
      </c>
      <c r="D21" s="877"/>
      <c r="E21" s="261">
        <f>SUM(E19:E20)</f>
        <v>0</v>
      </c>
      <c r="F21" s="261">
        <f>SUM(F19:F20)</f>
        <v>0</v>
      </c>
      <c r="G21" s="261">
        <f>SUM(G19:G20)</f>
        <v>0</v>
      </c>
      <c r="H21" s="262">
        <f>SUM(H19:H20)</f>
        <v>0</v>
      </c>
      <c r="I21" s="233"/>
    </row>
    <row r="22" spans="2:9" hidden="1" x14ac:dyDescent="0.25">
      <c r="B22" s="248"/>
      <c r="C22" s="249"/>
      <c r="D22" s="250"/>
      <c r="E22" s="264"/>
      <c r="F22" s="265"/>
      <c r="G22" s="265"/>
      <c r="H22" s="247"/>
      <c r="I22" s="266"/>
    </row>
    <row r="23" spans="2:9" ht="15.75" hidden="1" x14ac:dyDescent="0.25">
      <c r="B23" s="267"/>
      <c r="C23" s="268"/>
      <c r="D23" s="879" t="s">
        <v>142</v>
      </c>
      <c r="E23" s="879"/>
      <c r="F23" s="879"/>
      <c r="G23" s="269">
        <f>IF(SUM(F21:G21)=0,0,(F21-G21)/G21)</f>
        <v>0</v>
      </c>
      <c r="H23" s="270"/>
      <c r="I23" s="266"/>
    </row>
    <row r="24" spans="2:9" ht="13.5" hidden="1" thickBot="1" x14ac:dyDescent="0.3">
      <c r="B24" s="271"/>
      <c r="C24" s="272"/>
      <c r="D24" s="273"/>
      <c r="E24" s="272"/>
      <c r="F24" s="272"/>
      <c r="G24" s="272"/>
      <c r="H24" s="274"/>
    </row>
    <row r="25" spans="2:9" ht="19.5" x14ac:dyDescent="0.25">
      <c r="B25" s="240" t="str">
        <f>'CST-Final'!O$2</f>
        <v>GIS</v>
      </c>
      <c r="C25" s="241"/>
      <c r="D25" s="241"/>
      <c r="E25" s="242"/>
      <c r="F25" s="243" t="s">
        <v>147</v>
      </c>
      <c r="G25" s="244">
        <f>ROUND((F31/100000),2)</f>
        <v>849.38</v>
      </c>
      <c r="H25" s="245" t="s">
        <v>148</v>
      </c>
    </row>
    <row r="26" spans="2:9" ht="18" x14ac:dyDescent="0.25">
      <c r="B26" s="246" t="str">
        <f>'CST-Final'!P$3</f>
        <v>GIS</v>
      </c>
      <c r="C26" s="878"/>
      <c r="D26" s="878"/>
      <c r="E26" s="878"/>
      <c r="F26" s="878"/>
      <c r="G26" s="878"/>
      <c r="H26" s="247"/>
    </row>
    <row r="27" spans="2:9" ht="15.75" customHeight="1" x14ac:dyDescent="0.25">
      <c r="B27" s="248"/>
      <c r="C27" s="249"/>
      <c r="D27" s="250"/>
      <c r="E27" s="249"/>
      <c r="F27" s="249"/>
      <c r="G27" s="251" t="s">
        <v>149</v>
      </c>
      <c r="H27" s="252">
        <f>COUNTIFS('CST-Final'!A:A,"&gt;0",IF(B26='CST-Final'!$H$3,'CST-Final'!$H:$H,IF(B26='CST-Final'!$L$3,'CST-Final'!$L:$L,IF(B26='CST-Final'!$P$3,'CST-Final'!$P:$P,IF(B26='CST-Final'!$T$3,'CST-Final'!$T:$T,IF(B26='CST-Final'!$X$3,'CST-Final'!$X:$X,IF(B26='CST-Final'!$AB$3,'CST-Final'!$AB:$AB,IF(B26='CST-Final'!$AF$3,'CST-Final'!$AF:$AF,IF(B26='CST-Final'!$AJ$3,'CST-Final'!$AJ:$AJ,IF(B26='CST-Final'!$AN$3,'CST-Final'!$AN:$AN,IF(B26='CST-Final'!$AR$3,'CST-Final'!$AR:$AR,IF(B26='CST-Final'!$AV$3,'CST-Final'!$AV:$AV,IF(B26='CST-Final'!$AZ$3,'CST-Final'!$AZ:$AZ,1)))))))))))),"&gt;0")</f>
        <v>48</v>
      </c>
    </row>
    <row r="28" spans="2:9" s="561" customFormat="1" ht="24" x14ac:dyDescent="0.25">
      <c r="B28" s="558"/>
      <c r="C28" s="559" t="s">
        <v>150</v>
      </c>
      <c r="D28" s="559" t="s">
        <v>151</v>
      </c>
      <c r="E28" s="559" t="s">
        <v>480</v>
      </c>
      <c r="F28" s="559" t="s">
        <v>523</v>
      </c>
      <c r="G28" s="559" t="s">
        <v>524</v>
      </c>
      <c r="H28" s="560" t="s">
        <v>152</v>
      </c>
      <c r="I28" s="255"/>
    </row>
    <row r="29" spans="2:9" x14ac:dyDescent="0.25">
      <c r="B29" s="248"/>
      <c r="C29" s="256">
        <v>1</v>
      </c>
      <c r="D29" s="257" t="s">
        <v>153</v>
      </c>
      <c r="E29" s="256">
        <f>COUNTIFS('CST-Final'!$AZ:$AZ,D29,'CST-Final'!$AY:$AY,B26)</f>
        <v>7</v>
      </c>
      <c r="F29" s="256">
        <f>SUMIFS('CST-Final'!$BR$5:$BR$89,'CST-Final'!$AZ$5:$AZ$89,D29,'CST-Final'!$AY$5:$AY$89,B26)</f>
        <v>38902834.570000008</v>
      </c>
      <c r="G29" s="256">
        <f>SUMIFS('CST-Final'!$BS$5:$BS$89,'CST-Final'!$AZ$5:$AZ$89,D29,'CST-Final'!$AY$5:$AY$89,B26)</f>
        <v>15179839.380000001</v>
      </c>
      <c r="H29" s="258">
        <f>COUNTIFS('CST-Final'!BT:BT,"&gt;0",'CST-Final'!$AZ:$AZ,D29,'CST-Final'!$AY:$AY,B26)</f>
        <v>4</v>
      </c>
    </row>
    <row r="30" spans="2:9" x14ac:dyDescent="0.25">
      <c r="B30" s="248"/>
      <c r="C30" s="256">
        <v>2</v>
      </c>
      <c r="D30" s="259" t="s">
        <v>154</v>
      </c>
      <c r="E30" s="256">
        <f>COUNTIFS('CST-Final'!$AZ:$AZ,D30,'CST-Final'!$AY:$AY,B26)</f>
        <v>10</v>
      </c>
      <c r="F30" s="256">
        <f>SUMIFS('CST-Final'!$BR$5:$BR$89,'CST-Final'!$AZ$5:$AZ$89,D30,'CST-Final'!$AY$5:$AY$89,B26)</f>
        <v>46035611.859999992</v>
      </c>
      <c r="G30" s="256">
        <f>SUMIFS('CST-Final'!$BS$5:$BS$89,'CST-Final'!$AZ$5:$AZ$89,D30,'CST-Final'!$AY$5:$AY$89,B26)</f>
        <v>83542074.649999991</v>
      </c>
      <c r="H30" s="258">
        <f>COUNTIFS('CST-Final'!BT:BT,"&gt;0",'CST-Final'!$AZ:$AZ,D30,'CST-Final'!$AY:$AY,B26)</f>
        <v>2</v>
      </c>
    </row>
    <row r="31" spans="2:9" s="263" customFormat="1" ht="15" customHeight="1" x14ac:dyDescent="0.25">
      <c r="B31" s="260"/>
      <c r="C31" s="876" t="s">
        <v>155</v>
      </c>
      <c r="D31" s="877"/>
      <c r="E31" s="261">
        <f>SUM(E29:E30)</f>
        <v>17</v>
      </c>
      <c r="F31" s="261">
        <f>SUM(F29:F30)</f>
        <v>84938446.430000007</v>
      </c>
      <c r="G31" s="261">
        <f>SUM(G29:G30)</f>
        <v>98721914.029999986</v>
      </c>
      <c r="H31" s="262">
        <f>SUM(H29:H30)</f>
        <v>6</v>
      </c>
      <c r="I31" s="233"/>
    </row>
    <row r="32" spans="2:9" x14ac:dyDescent="0.25">
      <c r="B32" s="248"/>
      <c r="C32" s="249"/>
      <c r="D32" s="250"/>
      <c r="E32" s="264"/>
      <c r="F32" s="265"/>
      <c r="G32" s="265"/>
      <c r="H32" s="247"/>
      <c r="I32" s="266"/>
    </row>
    <row r="33" spans="2:9" ht="15.75" x14ac:dyDescent="0.25">
      <c r="B33" s="267"/>
      <c r="C33" s="268"/>
      <c r="D33" s="879" t="s">
        <v>142</v>
      </c>
      <c r="E33" s="879"/>
      <c r="F33" s="879"/>
      <c r="G33" s="269">
        <f>IF(SUM(F31:G31)=0,0,(F31-G31)/G31)</f>
        <v>-0.13961912849270131</v>
      </c>
      <c r="H33" s="270"/>
      <c r="I33" s="266"/>
    </row>
    <row r="34" spans="2:9" ht="13.5" thickBot="1" x14ac:dyDescent="0.3">
      <c r="B34" s="271"/>
      <c r="C34" s="272"/>
      <c r="D34" s="273"/>
      <c r="E34" s="272"/>
      <c r="F34" s="272"/>
      <c r="G34" s="272"/>
      <c r="H34" s="274"/>
    </row>
    <row r="35" spans="2:9" ht="20.25" thickTop="1" x14ac:dyDescent="0.25">
      <c r="B35" s="240" t="str">
        <f>'CST-Final'!S$2</f>
        <v>INDO AVIA SERVICES LTD</v>
      </c>
      <c r="C35" s="241"/>
      <c r="D35" s="241"/>
      <c r="E35" s="242"/>
      <c r="F35" s="243" t="s">
        <v>147</v>
      </c>
      <c r="G35" s="244">
        <f>ROUND((F41/100000),2)</f>
        <v>116.13</v>
      </c>
      <c r="H35" s="245" t="s">
        <v>148</v>
      </c>
    </row>
    <row r="36" spans="2:9" ht="18" x14ac:dyDescent="0.25">
      <c r="B36" s="246" t="str">
        <f>'CST-Final'!T$3</f>
        <v>IASL</v>
      </c>
      <c r="C36" s="878"/>
      <c r="D36" s="878"/>
      <c r="E36" s="878"/>
      <c r="F36" s="878"/>
      <c r="G36" s="878"/>
      <c r="H36" s="247"/>
    </row>
    <row r="37" spans="2:9" ht="15.75" customHeight="1" x14ac:dyDescent="0.25">
      <c r="B37" s="248"/>
      <c r="C37" s="249"/>
      <c r="D37" s="250"/>
      <c r="E37" s="249"/>
      <c r="F37" s="249"/>
      <c r="G37" s="251" t="s">
        <v>149</v>
      </c>
      <c r="H37" s="252">
        <f>COUNTIFS('CST-Final'!A:A,"&gt;0",IF(B36='CST-Final'!$H$3,'CST-Final'!$H:$H,IF(B36='CST-Final'!$L$3,'CST-Final'!$L:$L,IF(B36='CST-Final'!$P$3,'CST-Final'!$P:$P,IF(B36='CST-Final'!$T$3,'CST-Final'!$T:$T,IF(B36='CST-Final'!$X$3,'CST-Final'!$X:$X,IF(B36='CST-Final'!$AB$3,'CST-Final'!$AB:$AB,IF(B36='CST-Final'!$AF$3,'CST-Final'!$AF:$AF,IF(B36='CST-Final'!$AJ$3,'CST-Final'!$AJ:$AJ,IF(B36='CST-Final'!$AN$3,'CST-Final'!$AN:$AN,IF(B36='CST-Final'!$AR$3,'CST-Final'!$AR:$AR,IF(B36='CST-Final'!$AV$3,'CST-Final'!$AV:$AV,IF(B36='CST-Final'!$AZ$3,'CST-Final'!$AZ:$AZ,1)))))))))))),"&gt;0")</f>
        <v>41</v>
      </c>
    </row>
    <row r="38" spans="2:9" ht="25.5" x14ac:dyDescent="0.25">
      <c r="B38" s="253"/>
      <c r="C38" s="251" t="s">
        <v>150</v>
      </c>
      <c r="D38" s="251" t="s">
        <v>151</v>
      </c>
      <c r="E38" s="251" t="s">
        <v>480</v>
      </c>
      <c r="F38" s="559" t="s">
        <v>523</v>
      </c>
      <c r="G38" s="559" t="s">
        <v>524</v>
      </c>
      <c r="H38" s="254" t="s">
        <v>152</v>
      </c>
      <c r="I38" s="255"/>
    </row>
    <row r="39" spans="2:9" x14ac:dyDescent="0.25">
      <c r="B39" s="248"/>
      <c r="C39" s="256">
        <v>1</v>
      </c>
      <c r="D39" s="257" t="s">
        <v>153</v>
      </c>
      <c r="E39" s="256">
        <f>COUNTIFS('CST-Final'!$AZ:$AZ,D39,'CST-Final'!$AY:$AY,B36)</f>
        <v>0</v>
      </c>
      <c r="F39" s="256">
        <f>SUMIFS('CST-Final'!$BR$5:$BR$89,'CST-Final'!$AZ$5:$AZ$89,D39,'CST-Final'!$AY$5:$AY$89,B36)</f>
        <v>0</v>
      </c>
      <c r="G39" s="256">
        <f>SUMIFS('CST-Final'!$BS$5:$BS$89,'CST-Final'!$AZ$5:$AZ$89,D39,'CST-Final'!$AY$5:$AY$89,B36)</f>
        <v>0</v>
      </c>
      <c r="H39" s="258">
        <f>COUNTIFS('CST-Final'!BT:BT,"&gt;0",'CST-Final'!$AZ:$AZ,D39,'CST-Final'!$AY:$AY,B36)</f>
        <v>0</v>
      </c>
    </row>
    <row r="40" spans="2:9" x14ac:dyDescent="0.25">
      <c r="B40" s="248"/>
      <c r="C40" s="256">
        <v>2</v>
      </c>
      <c r="D40" s="259" t="s">
        <v>154</v>
      </c>
      <c r="E40" s="256">
        <f>COUNTIFS('CST-Final'!$AZ:$AZ,D40,'CST-Final'!$AY:$AY,B36)</f>
        <v>2</v>
      </c>
      <c r="F40" s="256">
        <f>SUMIFS('CST-Final'!$BR$5:$BR$89,'CST-Final'!$AZ$5:$AZ$89,D40,'CST-Final'!$AY$5:$AY$89,B36)</f>
        <v>11612788.370000001</v>
      </c>
      <c r="G40" s="256">
        <f>SUMIFS('CST-Final'!$BS$5:$BS$89,'CST-Final'!$AZ$5:$AZ$89,D40,'CST-Final'!$AY$5:$AY$89,B36)</f>
        <v>9004122.2400000002</v>
      </c>
      <c r="H40" s="258">
        <f>COUNTIFS('CST-Final'!BT:BT,"&gt;0",'CST-Final'!$AZ:$AZ,D40,'CST-Final'!$AY:$AY,B36)</f>
        <v>1</v>
      </c>
    </row>
    <row r="41" spans="2:9" s="263" customFormat="1" ht="15" customHeight="1" x14ac:dyDescent="0.25">
      <c r="B41" s="260"/>
      <c r="C41" s="876" t="s">
        <v>155</v>
      </c>
      <c r="D41" s="877"/>
      <c r="E41" s="261">
        <f>SUM(E39:E40)</f>
        <v>2</v>
      </c>
      <c r="F41" s="261">
        <f>SUM(F39:F40)</f>
        <v>11612788.370000001</v>
      </c>
      <c r="G41" s="261">
        <f>SUM(G39:G40)</f>
        <v>9004122.2400000002</v>
      </c>
      <c r="H41" s="262">
        <f>SUM(H39:H40)</f>
        <v>1</v>
      </c>
      <c r="I41" s="233"/>
    </row>
    <row r="42" spans="2:9" x14ac:dyDescent="0.25">
      <c r="B42" s="248"/>
      <c r="C42" s="249"/>
      <c r="D42" s="250"/>
      <c r="E42" s="264"/>
      <c r="F42" s="265"/>
      <c r="G42" s="265"/>
      <c r="H42" s="247"/>
      <c r="I42" s="266"/>
    </row>
    <row r="43" spans="2:9" ht="15.75" x14ac:dyDescent="0.25">
      <c r="B43" s="267"/>
      <c r="C43" s="268"/>
      <c r="D43" s="879" t="s">
        <v>142</v>
      </c>
      <c r="E43" s="879"/>
      <c r="F43" s="879"/>
      <c r="G43" s="269">
        <f>IF(SUM(F41:G41)=0,0,(F41-G41)/G41)</f>
        <v>0.28971909315171634</v>
      </c>
      <c r="H43" s="270"/>
      <c r="I43" s="266"/>
    </row>
    <row r="44" spans="2:9" ht="13.5" thickBot="1" x14ac:dyDescent="0.3">
      <c r="B44" s="271"/>
      <c r="C44" s="272"/>
      <c r="D44" s="273"/>
      <c r="E44" s="272"/>
      <c r="F44" s="272"/>
      <c r="G44" s="272"/>
      <c r="H44" s="274"/>
    </row>
    <row r="45" spans="2:9" ht="20.25" hidden="1" thickTop="1" x14ac:dyDescent="0.25">
      <c r="B45" s="240" t="str">
        <f>'CST-Final'!W$2</f>
        <v>AEC (AEC)</v>
      </c>
      <c r="C45" s="241"/>
      <c r="D45" s="241"/>
      <c r="E45" s="242"/>
      <c r="F45" s="243" t="s">
        <v>147</v>
      </c>
      <c r="G45" s="244">
        <f>ROUND((F51/100000),2)</f>
        <v>0</v>
      </c>
      <c r="H45" s="245" t="s">
        <v>148</v>
      </c>
    </row>
    <row r="46" spans="2:9" ht="18" hidden="1" x14ac:dyDescent="0.25">
      <c r="B46" s="246" t="str">
        <f>'CST-Final'!X$3</f>
        <v>AEC</v>
      </c>
      <c r="C46" s="878"/>
      <c r="D46" s="878"/>
      <c r="E46" s="878"/>
      <c r="F46" s="878"/>
      <c r="G46" s="878"/>
      <c r="H46" s="247"/>
    </row>
    <row r="47" spans="2:9" ht="15.75" hidden="1" customHeight="1" x14ac:dyDescent="0.25">
      <c r="B47" s="248"/>
      <c r="C47" s="249"/>
      <c r="D47" s="250"/>
      <c r="E47" s="249"/>
      <c r="F47" s="249"/>
      <c r="G47" s="251" t="s">
        <v>149</v>
      </c>
      <c r="H47" s="252">
        <f>COUNTIFS('CST-Final'!A:A,"&gt;0",IF(B46='CST-Final'!$H$3,'CST-Final'!$H:$H,IF(B46='CST-Final'!$L$3,'CST-Final'!$L:$L,IF(B46='CST-Final'!$P$3,'CST-Final'!$P:$P,IF(B46='CST-Final'!$T$3,'CST-Final'!$T:$T,IF(B46='CST-Final'!$X$3,'CST-Final'!$X:$X,IF(B46='CST-Final'!$AB$3,'CST-Final'!$AB:$AB,IF(B46='CST-Final'!$AF$3,'CST-Final'!$AF:$AF,IF(B46='CST-Final'!$AJ$3,'CST-Final'!$AJ:$AJ,IF(B46='CST-Final'!$AN$3,'CST-Final'!$AN:$AN,IF(B46='CST-Final'!$AR$3,'CST-Final'!$AR:$AR,IF(B46='CST-Final'!$AV$3,'CST-Final'!$AV:$AV,IF(B46='CST-Final'!$AZ$3,'CST-Final'!$AZ:$AZ,1)))))))))))),"&gt;0")</f>
        <v>0</v>
      </c>
    </row>
    <row r="48" spans="2:9" ht="25.5" hidden="1" x14ac:dyDescent="0.25">
      <c r="B48" s="253"/>
      <c r="C48" s="251" t="s">
        <v>150</v>
      </c>
      <c r="D48" s="251" t="s">
        <v>151</v>
      </c>
      <c r="E48" s="251" t="s">
        <v>480</v>
      </c>
      <c r="F48" s="559" t="s">
        <v>523</v>
      </c>
      <c r="G48" s="559" t="s">
        <v>524</v>
      </c>
      <c r="H48" s="254" t="s">
        <v>152</v>
      </c>
      <c r="I48" s="255"/>
    </row>
    <row r="49" spans="2:9" hidden="1" x14ac:dyDescent="0.25">
      <c r="B49" s="248"/>
      <c r="C49" s="256">
        <v>1</v>
      </c>
      <c r="D49" s="257" t="s">
        <v>153</v>
      </c>
      <c r="E49" s="256">
        <f>COUNTIFS('CST-Final'!$AZ:$AZ,D49,'CST-Final'!$AY:$AY,B46)</f>
        <v>0</v>
      </c>
      <c r="F49" s="256">
        <f>SUMIFS('CST-Final'!$BR$5:$BR$89,'CST-Final'!$AZ$5:$AZ$89,D49,'CST-Final'!$AY$5:$AY$89,B46)</f>
        <v>0</v>
      </c>
      <c r="G49" s="256">
        <f>SUMIFS('CST-Final'!$BS$5:$BS$89,'CST-Final'!$AZ$5:$AZ$89,D49,'CST-Final'!$AY$5:$AY$89,B46)</f>
        <v>0</v>
      </c>
      <c r="H49" s="258">
        <f>COUNTIFS('CST-Final'!BT:BT,"&gt;0",'CST-Final'!$AZ:$AZ,D49,'CST-Final'!$AY:$AY,B46)</f>
        <v>0</v>
      </c>
    </row>
    <row r="50" spans="2:9" hidden="1" x14ac:dyDescent="0.25">
      <c r="B50" s="248"/>
      <c r="C50" s="256">
        <v>2</v>
      </c>
      <c r="D50" s="259" t="s">
        <v>154</v>
      </c>
      <c r="E50" s="256">
        <f>COUNTIFS('CST-Final'!$AZ:$AZ,D50,'CST-Final'!$AY:$AY,B46)</f>
        <v>0</v>
      </c>
      <c r="F50" s="256">
        <f>SUMIFS('CST-Final'!$BR$5:$BR$89,'CST-Final'!$AZ$5:$AZ$89,D50,'CST-Final'!$AY$5:$AY$89,B46)</f>
        <v>0</v>
      </c>
      <c r="G50" s="256">
        <f>SUMIFS('CST-Final'!$BS$5:$BS$89,'CST-Final'!$AZ$5:$AZ$89,D50,'CST-Final'!$AY$5:$AY$89,B46)</f>
        <v>0</v>
      </c>
      <c r="H50" s="258">
        <f>COUNTIFS('CST-Final'!BT:BT,"&gt;0",'CST-Final'!$AZ:$AZ,D50,'CST-Final'!$AY:$AY,B46)</f>
        <v>0</v>
      </c>
    </row>
    <row r="51" spans="2:9" s="263" customFormat="1" ht="15" hidden="1" customHeight="1" x14ac:dyDescent="0.25">
      <c r="B51" s="260"/>
      <c r="C51" s="876" t="s">
        <v>155</v>
      </c>
      <c r="D51" s="877"/>
      <c r="E51" s="261">
        <f>SUM(E49:E50)</f>
        <v>0</v>
      </c>
      <c r="F51" s="261">
        <f>SUM(F49:F50)</f>
        <v>0</v>
      </c>
      <c r="G51" s="261">
        <f>SUM(G49:G50)</f>
        <v>0</v>
      </c>
      <c r="H51" s="262">
        <f>SUM(H49:H50)</f>
        <v>0</v>
      </c>
      <c r="I51" s="233"/>
    </row>
    <row r="52" spans="2:9" hidden="1" x14ac:dyDescent="0.25">
      <c r="B52" s="248"/>
      <c r="C52" s="249"/>
      <c r="D52" s="250"/>
      <c r="E52" s="264"/>
      <c r="F52" s="265"/>
      <c r="G52" s="265"/>
      <c r="H52" s="247"/>
      <c r="I52" s="266"/>
    </row>
    <row r="53" spans="2:9" ht="15.75" hidden="1" x14ac:dyDescent="0.25">
      <c r="B53" s="267"/>
      <c r="C53" s="268"/>
      <c r="D53" s="879" t="s">
        <v>142</v>
      </c>
      <c r="E53" s="879"/>
      <c r="F53" s="879"/>
      <c r="G53" s="269">
        <f>IF(SUM(F51:G51)=0,0,(F51-G51)/G51)</f>
        <v>0</v>
      </c>
      <c r="H53" s="270"/>
      <c r="I53" s="266"/>
    </row>
    <row r="54" spans="2:9" ht="13.5" hidden="1" thickBot="1" x14ac:dyDescent="0.3">
      <c r="B54" s="271"/>
      <c r="C54" s="272"/>
      <c r="D54" s="273"/>
      <c r="E54" s="272"/>
      <c r="F54" s="272"/>
      <c r="G54" s="272"/>
      <c r="H54" s="274"/>
    </row>
    <row r="55" spans="2:9" ht="20.25" thickTop="1" x14ac:dyDescent="0.25">
      <c r="B55" s="240" t="str">
        <f>'CST-Final'!AA$2</f>
        <v>ADRYS Technologies (ADRYS)</v>
      </c>
      <c r="C55" s="241"/>
      <c r="D55" s="241"/>
      <c r="E55" s="242"/>
      <c r="F55" s="243" t="s">
        <v>147</v>
      </c>
      <c r="G55" s="244">
        <f>ROUND((F61/100000),2)</f>
        <v>12.82</v>
      </c>
      <c r="H55" s="245" t="s">
        <v>148</v>
      </c>
    </row>
    <row r="56" spans="2:9" ht="18" x14ac:dyDescent="0.25">
      <c r="B56" s="246" t="str">
        <f>'CST-Final'!AB$3</f>
        <v>ADRYS</v>
      </c>
      <c r="C56" s="878"/>
      <c r="D56" s="878"/>
      <c r="E56" s="878"/>
      <c r="F56" s="878"/>
      <c r="G56" s="878"/>
      <c r="H56" s="247"/>
    </row>
    <row r="57" spans="2:9" ht="15.75" customHeight="1" x14ac:dyDescent="0.25">
      <c r="B57" s="248"/>
      <c r="C57" s="249"/>
      <c r="D57" s="250"/>
      <c r="E57" s="249"/>
      <c r="F57" s="249"/>
      <c r="G57" s="251" t="s">
        <v>149</v>
      </c>
      <c r="H57" s="252">
        <f>COUNTIFS('CST-Final'!A:A,"&gt;0",IF(B56='CST-Final'!$H$3,'CST-Final'!$H:$H,IF(B56='CST-Final'!$L$3,'CST-Final'!$L:$L,IF(B56='CST-Final'!$P$3,'CST-Final'!$P:$P,IF(B56='CST-Final'!$T$3,'CST-Final'!$T:$T,IF(B56='CST-Final'!$X$3,'CST-Final'!$X:$X,IF(B56='CST-Final'!$AB$3,'CST-Final'!$AB:$AB,IF(B56='CST-Final'!$AF$3,'CST-Final'!$AF:$AF,IF(B56='CST-Final'!$AJ$3,'CST-Final'!$AJ:$AJ,IF(B56='CST-Final'!$AN$3,'CST-Final'!$AN:$AN,IF(B56='CST-Final'!$AR$3,'CST-Final'!$AR:$AR,IF(B56='CST-Final'!$AV$3,'CST-Final'!$AV:$AV,IF(B56='CST-Final'!$AZ$3,'CST-Final'!$AZ:$AZ,1)))))))))))),"&gt;0")</f>
        <v>37</v>
      </c>
    </row>
    <row r="58" spans="2:9" ht="25.5" x14ac:dyDescent="0.25">
      <c r="B58" s="253"/>
      <c r="C58" s="251" t="s">
        <v>150</v>
      </c>
      <c r="D58" s="251" t="s">
        <v>151</v>
      </c>
      <c r="E58" s="251" t="s">
        <v>480</v>
      </c>
      <c r="F58" s="559" t="s">
        <v>523</v>
      </c>
      <c r="G58" s="559" t="s">
        <v>524</v>
      </c>
      <c r="H58" s="254" t="s">
        <v>152</v>
      </c>
      <c r="I58" s="255"/>
    </row>
    <row r="59" spans="2:9" x14ac:dyDescent="0.25">
      <c r="B59" s="248"/>
      <c r="C59" s="256">
        <v>1</v>
      </c>
      <c r="D59" s="257" t="s">
        <v>153</v>
      </c>
      <c r="E59" s="256">
        <f>COUNTIFS('CST-Final'!$AZ:$AZ,D59,'CST-Final'!$AY:$AY,B56)</f>
        <v>1</v>
      </c>
      <c r="F59" s="256">
        <f>SUMIFS('CST-Final'!$BR$5:$BR$89,'CST-Final'!$AZ$5:$AZ$89,D59,'CST-Final'!$AY$5:$AY$89,B56)</f>
        <v>13328.1</v>
      </c>
      <c r="G59" s="256">
        <f>SUMIFS('CST-Final'!$BS$5:$BS$89,'CST-Final'!$AZ$5:$AZ$89,D59,'CST-Final'!$AY$5:$AY$89,B56)</f>
        <v>494886.35</v>
      </c>
      <c r="H59" s="258">
        <f>COUNTIFS('CST-Final'!BT:BT,"&gt;0",'CST-Final'!$AZ:$AZ,D59,'CST-Final'!$AY:$AY,B56)</f>
        <v>0</v>
      </c>
    </row>
    <row r="60" spans="2:9" x14ac:dyDescent="0.25">
      <c r="B60" s="248"/>
      <c r="C60" s="256">
        <v>2</v>
      </c>
      <c r="D60" s="259" t="s">
        <v>154</v>
      </c>
      <c r="E60" s="256">
        <f>COUNTIFS('CST-Final'!$AZ:$AZ,D60,'CST-Final'!$AY:$AY,B56)</f>
        <v>29</v>
      </c>
      <c r="F60" s="256">
        <f>SUMIFS('CST-Final'!$BR$5:$BR$89,'CST-Final'!$AZ$5:$AZ$89,D60,'CST-Final'!$AY$5:$AY$89,B56)</f>
        <v>1268240.3999999999</v>
      </c>
      <c r="G60" s="256">
        <f>SUMIFS('CST-Final'!$BS$5:$BS$89,'CST-Final'!$AZ$5:$AZ$89,D60,'CST-Final'!$AY$5:$AY$89,B56)</f>
        <v>9513272.7100000009</v>
      </c>
      <c r="H60" s="258">
        <f>COUNTIFS('CST-Final'!BT:BT,"&gt;0",'CST-Final'!$AZ:$AZ,D60,'CST-Final'!$AY:$AY,B56)</f>
        <v>3</v>
      </c>
    </row>
    <row r="61" spans="2:9" s="263" customFormat="1" ht="15" customHeight="1" x14ac:dyDescent="0.25">
      <c r="B61" s="260"/>
      <c r="C61" s="876" t="s">
        <v>155</v>
      </c>
      <c r="D61" s="877"/>
      <c r="E61" s="261">
        <f>SUM(E59:E60)</f>
        <v>30</v>
      </c>
      <c r="F61" s="261">
        <f>SUM(F59:F60)</f>
        <v>1281568.5</v>
      </c>
      <c r="G61" s="261">
        <f>SUM(G59:G60)</f>
        <v>10008159.060000001</v>
      </c>
      <c r="H61" s="262">
        <f>SUM(H59:H60)</f>
        <v>3</v>
      </c>
      <c r="I61" s="233"/>
    </row>
    <row r="62" spans="2:9" x14ac:dyDescent="0.25">
      <c r="B62" s="248"/>
      <c r="C62" s="249"/>
      <c r="D62" s="250"/>
      <c r="E62" s="264"/>
      <c r="F62" s="265"/>
      <c r="G62" s="265"/>
      <c r="H62" s="247"/>
      <c r="I62" s="266"/>
    </row>
    <row r="63" spans="2:9" ht="15.75" x14ac:dyDescent="0.25">
      <c r="B63" s="267"/>
      <c r="C63" s="268"/>
      <c r="D63" s="879" t="s">
        <v>142</v>
      </c>
      <c r="E63" s="879"/>
      <c r="F63" s="879"/>
      <c r="G63" s="269">
        <f>IF(SUM(F61:G61)=0,0,(F61-G61)/G61)</f>
        <v>-0.87194762869805953</v>
      </c>
      <c r="H63" s="270"/>
      <c r="I63" s="266"/>
    </row>
    <row r="64" spans="2:9" ht="13.5" thickBot="1" x14ac:dyDescent="0.3">
      <c r="B64" s="271"/>
      <c r="C64" s="272"/>
      <c r="D64" s="273"/>
      <c r="E64" s="272"/>
      <c r="F64" s="272"/>
      <c r="G64" s="272"/>
      <c r="H64" s="274"/>
    </row>
    <row r="65" spans="2:9" ht="20.25" hidden="1" thickTop="1" x14ac:dyDescent="0.25">
      <c r="B65" s="240" t="str">
        <f>'CST-Final'!AE$2</f>
        <v>AVIAZAPCHAST (AZP)</v>
      </c>
      <c r="C65" s="241"/>
      <c r="D65" s="241"/>
      <c r="E65" s="242"/>
      <c r="F65" s="243" t="s">
        <v>147</v>
      </c>
      <c r="G65" s="244">
        <f>ROUND((F71/100000),2)</f>
        <v>0</v>
      </c>
      <c r="H65" s="245" t="s">
        <v>148</v>
      </c>
    </row>
    <row r="66" spans="2:9" ht="18" hidden="1" x14ac:dyDescent="0.25">
      <c r="B66" s="246" t="str">
        <f>'CST-Final'!AF$3</f>
        <v>AZP</v>
      </c>
      <c r="C66" s="878"/>
      <c r="D66" s="878"/>
      <c r="E66" s="878"/>
      <c r="F66" s="878"/>
      <c r="G66" s="878"/>
      <c r="H66" s="247"/>
    </row>
    <row r="67" spans="2:9" ht="15.75" hidden="1" customHeight="1" x14ac:dyDescent="0.25">
      <c r="B67" s="248"/>
      <c r="C67" s="249"/>
      <c r="D67" s="250"/>
      <c r="E67" s="249"/>
      <c r="F67" s="249"/>
      <c r="G67" s="251" t="s">
        <v>149</v>
      </c>
      <c r="H67" s="252">
        <f>COUNTIFS('CST-Final'!A:A,"&gt;0",IF(B66='CST-Final'!$H$3,'CST-Final'!$H:$H,IF(B66='CST-Final'!$L$3,'CST-Final'!$L:$L,IF(B66='CST-Final'!$P$3,'CST-Final'!$P:$P,IF(B66='CST-Final'!$T$3,'CST-Final'!$T:$T,IF(B66='CST-Final'!$X$3,'CST-Final'!$X:$X,IF(B66='CST-Final'!$AB$3,'CST-Final'!$AB:$AB,IF(B66='CST-Final'!$AF$3,'CST-Final'!$AF:$AF,IF(B66='CST-Final'!$AJ$3,'CST-Final'!$AJ:$AJ,IF(B66='CST-Final'!$AN$3,'CST-Final'!$AN:$AN,IF(B66='CST-Final'!$AR$3,'CST-Final'!$AR:$AR,IF(B66='CST-Final'!$AV$3,'CST-Final'!$AV:$AV,IF(B66='CST-Final'!$AZ$3,'CST-Final'!$AZ:$AZ,1)))))))))))),"&gt;0")</f>
        <v>0</v>
      </c>
    </row>
    <row r="68" spans="2:9" ht="25.5" hidden="1" x14ac:dyDescent="0.25">
      <c r="B68" s="253"/>
      <c r="C68" s="251" t="s">
        <v>150</v>
      </c>
      <c r="D68" s="251" t="s">
        <v>151</v>
      </c>
      <c r="E68" s="251" t="s">
        <v>480</v>
      </c>
      <c r="F68" s="559" t="s">
        <v>523</v>
      </c>
      <c r="G68" s="559" t="s">
        <v>524</v>
      </c>
      <c r="H68" s="254" t="s">
        <v>152</v>
      </c>
      <c r="I68" s="255"/>
    </row>
    <row r="69" spans="2:9" hidden="1" x14ac:dyDescent="0.25">
      <c r="B69" s="248"/>
      <c r="C69" s="256">
        <v>1</v>
      </c>
      <c r="D69" s="257" t="s">
        <v>153</v>
      </c>
      <c r="E69" s="256">
        <f>COUNTIFS('CST-Final'!$AZ:$AZ,D69,'CST-Final'!$AY:$AY,B66)</f>
        <v>0</v>
      </c>
      <c r="F69" s="256">
        <f>SUMIFS('CST-Final'!$BR$5:$BR$89,'CST-Final'!$AZ$5:$AZ$89,D69,'CST-Final'!$AY$5:$AY$89,B66)</f>
        <v>0</v>
      </c>
      <c r="G69" s="256">
        <f>SUMIFS('CST-Final'!$BS$5:$BS$89,'CST-Final'!$AZ$5:$AZ$89,D69,'CST-Final'!$AY$5:$AY$89,B66)</f>
        <v>0</v>
      </c>
      <c r="H69" s="258">
        <f>COUNTIFS('CST-Final'!BT:BT,"&gt;0",'CST-Final'!$AZ:$AZ,D69,'CST-Final'!$AY:$AY,B66)</f>
        <v>0</v>
      </c>
    </row>
    <row r="70" spans="2:9" hidden="1" x14ac:dyDescent="0.25">
      <c r="B70" s="248"/>
      <c r="C70" s="256">
        <v>2</v>
      </c>
      <c r="D70" s="259" t="s">
        <v>154</v>
      </c>
      <c r="E70" s="256">
        <f>COUNTIFS('CST-Final'!$AZ:$AZ,D70,'CST-Final'!$AY:$AY,B66)</f>
        <v>0</v>
      </c>
      <c r="F70" s="256">
        <f>SUMIFS('CST-Final'!$BR$5:$BR$89,'CST-Final'!$AZ$5:$AZ$89,D70,'CST-Final'!$AY$5:$AY$89,B66)</f>
        <v>0</v>
      </c>
      <c r="G70" s="256">
        <f>SUMIFS('CST-Final'!$BS$5:$BS$89,'CST-Final'!$AZ$5:$AZ$89,D70,'CST-Final'!$AY$5:$AY$89,B66)</f>
        <v>0</v>
      </c>
      <c r="H70" s="258">
        <f>COUNTIFS('CST-Final'!BT:BT,"&gt;0",'CST-Final'!$AZ:$AZ,D70,'CST-Final'!$AY:$AY,B66)</f>
        <v>0</v>
      </c>
    </row>
    <row r="71" spans="2:9" s="263" customFormat="1" ht="15" hidden="1" customHeight="1" x14ac:dyDescent="0.25">
      <c r="B71" s="260"/>
      <c r="C71" s="876" t="s">
        <v>155</v>
      </c>
      <c r="D71" s="877"/>
      <c r="E71" s="261">
        <f>SUM(E69:E70)</f>
        <v>0</v>
      </c>
      <c r="F71" s="261">
        <f>SUM(F69:F70)</f>
        <v>0</v>
      </c>
      <c r="G71" s="261">
        <f>SUM(G69:G70)</f>
        <v>0</v>
      </c>
      <c r="H71" s="262">
        <f>SUM(H69:H70)</f>
        <v>0</v>
      </c>
      <c r="I71" s="233"/>
    </row>
    <row r="72" spans="2:9" hidden="1" x14ac:dyDescent="0.25">
      <c r="B72" s="248"/>
      <c r="C72" s="249"/>
      <c r="D72" s="250"/>
      <c r="E72" s="264"/>
      <c r="F72" s="265"/>
      <c r="G72" s="265"/>
      <c r="H72" s="247"/>
      <c r="I72" s="266"/>
    </row>
    <row r="73" spans="2:9" ht="15.75" hidden="1" x14ac:dyDescent="0.25">
      <c r="B73" s="267"/>
      <c r="C73" s="268"/>
      <c r="D73" s="879" t="s">
        <v>142</v>
      </c>
      <c r="E73" s="879"/>
      <c r="F73" s="879"/>
      <c r="G73" s="269">
        <f>IF(SUM(F71:G71)=0,0,(F71-G71)/G71)</f>
        <v>0</v>
      </c>
      <c r="H73" s="270"/>
      <c r="I73" s="266"/>
    </row>
    <row r="74" spans="2:9" ht="13.5" hidden="1" thickBot="1" x14ac:dyDescent="0.3">
      <c r="B74" s="271"/>
      <c r="C74" s="272"/>
      <c r="D74" s="273"/>
      <c r="E74" s="272"/>
      <c r="F74" s="272"/>
      <c r="G74" s="272"/>
      <c r="H74" s="274"/>
    </row>
    <row r="75" spans="2:9" ht="20.25" thickTop="1" x14ac:dyDescent="0.25">
      <c r="B75" s="240" t="str">
        <f>'CST-Final'!AI$2</f>
        <v>Eurasia Special Technologies (EST)</v>
      </c>
      <c r="C75" s="241"/>
      <c r="D75" s="241"/>
      <c r="E75" s="242"/>
      <c r="F75" s="243" t="s">
        <v>147</v>
      </c>
      <c r="G75" s="244">
        <f>ROUND((F81/100000),2)</f>
        <v>0.9</v>
      </c>
      <c r="H75" s="245" t="s">
        <v>148</v>
      </c>
    </row>
    <row r="76" spans="2:9" ht="18" x14ac:dyDescent="0.25">
      <c r="B76" s="246" t="str">
        <f>'CST-Final'!AJ$3</f>
        <v>EST</v>
      </c>
      <c r="C76" s="878"/>
      <c r="D76" s="878"/>
      <c r="E76" s="878"/>
      <c r="F76" s="878"/>
      <c r="G76" s="878"/>
      <c r="H76" s="247"/>
    </row>
    <row r="77" spans="2:9" ht="15.75" customHeight="1" x14ac:dyDescent="0.25">
      <c r="B77" s="248"/>
      <c r="C77" s="249"/>
      <c r="D77" s="250"/>
      <c r="E77" s="249"/>
      <c r="F77" s="249"/>
      <c r="G77" s="251" t="s">
        <v>149</v>
      </c>
      <c r="H77" s="252">
        <f>COUNTIFS('CST-Final'!A:A,"&gt;0",IF(B76='CST-Final'!$H$3,'CST-Final'!$H:$H,IF(B76='CST-Final'!$L$3,'CST-Final'!$L:$L,IF(B76='CST-Final'!$P$3,'CST-Final'!$P:$P,IF(B76='CST-Final'!$T$3,'CST-Final'!$T:$T,IF(B76='CST-Final'!$X$3,'CST-Final'!$X:$X,IF(B76='CST-Final'!$AB$3,'CST-Final'!$AB:$AB,IF(B76='CST-Final'!$AF$3,'CST-Final'!$AF:$AF,IF(B76='CST-Final'!$AJ$3,'CST-Final'!$AJ:$AJ,IF(B76='CST-Final'!$AN$3,'CST-Final'!$AN:$AN,IF(B76='CST-Final'!$AR$3,'CST-Final'!$AR:$AR,IF(B76='CST-Final'!$AV$3,'CST-Final'!$AV:$AV,IF(B76='CST-Final'!$AZ$3,'CST-Final'!$AZ:$AZ,1)))))))))))),"&gt;0")</f>
        <v>7</v>
      </c>
    </row>
    <row r="78" spans="2:9" s="561" customFormat="1" ht="24" x14ac:dyDescent="0.25">
      <c r="B78" s="558"/>
      <c r="C78" s="559" t="s">
        <v>150</v>
      </c>
      <c r="D78" s="559" t="s">
        <v>151</v>
      </c>
      <c r="E78" s="559" t="s">
        <v>480</v>
      </c>
      <c r="F78" s="559" t="s">
        <v>523</v>
      </c>
      <c r="G78" s="559" t="s">
        <v>524</v>
      </c>
      <c r="H78" s="560" t="s">
        <v>152</v>
      </c>
      <c r="I78" s="255"/>
    </row>
    <row r="79" spans="2:9" x14ac:dyDescent="0.25">
      <c r="B79" s="248"/>
      <c r="C79" s="256">
        <v>1</v>
      </c>
      <c r="D79" s="257" t="s">
        <v>153</v>
      </c>
      <c r="E79" s="256">
        <f>COUNTIFS('CST-Final'!$AZ:$AZ,D79,'CST-Final'!$AY:$AY,B76)</f>
        <v>0</v>
      </c>
      <c r="F79" s="256">
        <f>SUMIFS('CST-Final'!$BR$5:$BR$89,'CST-Final'!$AZ$5:$AZ$89,D79,'CST-Final'!$AY$5:$AY$89,B76)</f>
        <v>0</v>
      </c>
      <c r="G79" s="256">
        <f>SUMIFS('CST-Final'!$BS$5:$BS$89,'CST-Final'!$AZ$5:$AZ$89,D79,'CST-Final'!$AY$5:$AY$89,B76)</f>
        <v>0</v>
      </c>
      <c r="H79" s="258">
        <f>COUNTIFS('CST-Final'!BT:BT,"&gt;0",'CST-Final'!$AZ:$AZ,D79,'CST-Final'!$AY:$AY,B76)</f>
        <v>0</v>
      </c>
    </row>
    <row r="80" spans="2:9" x14ac:dyDescent="0.25">
      <c r="B80" s="248"/>
      <c r="C80" s="256">
        <v>2</v>
      </c>
      <c r="D80" s="259" t="s">
        <v>154</v>
      </c>
      <c r="E80" s="256">
        <f>COUNTIFS('CST-Final'!$AZ:$AZ,D80,'CST-Final'!$AY:$AY,B76)</f>
        <v>1</v>
      </c>
      <c r="F80" s="256">
        <f>SUMIFS('CST-Final'!$BR$5:$BR$89,'CST-Final'!$AZ$5:$AZ$89,D80,'CST-Final'!$AY$5:$AY$89,B76)</f>
        <v>90104.8</v>
      </c>
      <c r="G80" s="256">
        <f>SUMIFS('CST-Final'!$BS$5:$BS$89,'CST-Final'!$AZ$5:$AZ$89,D80,'CST-Final'!$AY$5:$AY$89,B76)</f>
        <v>236828.04</v>
      </c>
      <c r="H80" s="258">
        <f>COUNTIFS('CST-Final'!BT:BT,"&gt;0",'CST-Final'!$AZ:$AZ,D80,'CST-Final'!$AY:$AY,B76)</f>
        <v>0</v>
      </c>
    </row>
    <row r="81" spans="2:9" s="263" customFormat="1" ht="15" customHeight="1" x14ac:dyDescent="0.25">
      <c r="B81" s="260"/>
      <c r="C81" s="876" t="s">
        <v>155</v>
      </c>
      <c r="D81" s="877"/>
      <c r="E81" s="261">
        <f>SUM(E79:E80)</f>
        <v>1</v>
      </c>
      <c r="F81" s="261">
        <f>SUM(F79:F80)</f>
        <v>90104.8</v>
      </c>
      <c r="G81" s="261">
        <f>SUM(G79:G80)</f>
        <v>236828.04</v>
      </c>
      <c r="H81" s="262">
        <f>SUM(H79:H80)</f>
        <v>0</v>
      </c>
      <c r="I81" s="233"/>
    </row>
    <row r="82" spans="2:9" x14ac:dyDescent="0.25">
      <c r="B82" s="248"/>
      <c r="C82" s="249"/>
      <c r="D82" s="250"/>
      <c r="E82" s="264"/>
      <c r="F82" s="265"/>
      <c r="G82" s="265"/>
      <c r="H82" s="247"/>
      <c r="I82" s="266"/>
    </row>
    <row r="83" spans="2:9" ht="15.75" x14ac:dyDescent="0.25">
      <c r="B83" s="267"/>
      <c r="C83" s="268"/>
      <c r="D83" s="879" t="s">
        <v>142</v>
      </c>
      <c r="E83" s="879"/>
      <c r="F83" s="879"/>
      <c r="G83" s="269">
        <f>IF(SUM(F81:G81)=0,0,(F81-G81)/G81)</f>
        <v>-0.6195349165580224</v>
      </c>
      <c r="H83" s="270"/>
      <c r="I83" s="266"/>
    </row>
    <row r="84" spans="2:9" ht="13.5" thickBot="1" x14ac:dyDescent="0.3">
      <c r="B84" s="271"/>
      <c r="C84" s="272"/>
      <c r="D84" s="273"/>
      <c r="E84" s="272"/>
      <c r="F84" s="272"/>
      <c r="G84" s="272"/>
      <c r="H84" s="274"/>
    </row>
    <row r="85" spans="2:9" ht="20.25" hidden="1" thickTop="1" x14ac:dyDescent="0.25">
      <c r="B85" s="240" t="str">
        <f>'CST-Final'!AM$2</f>
        <v>NASC (NASC)</v>
      </c>
      <c r="C85" s="241"/>
      <c r="D85" s="241"/>
      <c r="E85" s="242"/>
      <c r="F85" s="243" t="s">
        <v>147</v>
      </c>
      <c r="G85" s="244">
        <f>ROUND((F91/100000),2)</f>
        <v>0</v>
      </c>
      <c r="H85" s="245" t="s">
        <v>148</v>
      </c>
    </row>
    <row r="86" spans="2:9" ht="18" hidden="1" x14ac:dyDescent="0.25">
      <c r="B86" s="246" t="str">
        <f>'CST-Final'!AN$3</f>
        <v>NASC</v>
      </c>
      <c r="C86" s="878"/>
      <c r="D86" s="878"/>
      <c r="E86" s="878"/>
      <c r="F86" s="878"/>
      <c r="G86" s="878"/>
      <c r="H86" s="247"/>
    </row>
    <row r="87" spans="2:9" ht="15.75" hidden="1" customHeight="1" x14ac:dyDescent="0.25">
      <c r="B87" s="248"/>
      <c r="C87" s="249"/>
      <c r="D87" s="250"/>
      <c r="E87" s="249"/>
      <c r="F87" s="249"/>
      <c r="G87" s="251" t="s">
        <v>149</v>
      </c>
      <c r="H87" s="252">
        <f>COUNTIFS('CST-Final'!A:A,"&gt;0",IF(B86='CST-Final'!$H$3,'CST-Final'!$H:$H,IF(B86='CST-Final'!$L$3,'CST-Final'!$L:$L,IF(B86='CST-Final'!$P$3,'CST-Final'!$P:$P,IF(B86='CST-Final'!$T$3,'CST-Final'!$T:$T,IF(B86='CST-Final'!$X$3,'CST-Final'!$X:$X,IF(B86='CST-Final'!$AB$3,'CST-Final'!$AB:$AB,IF(B86='CST-Final'!$AF$3,'CST-Final'!$AF:$AF,IF(B86='CST-Final'!$AJ$3,'CST-Final'!$AJ:$AJ,IF(B86='CST-Final'!$AN$3,'CST-Final'!$AN:$AN,IF(B86='CST-Final'!$AR$3,'CST-Final'!$AR:$AR,IF(B86='CST-Final'!$AV$3,'CST-Final'!$AV:$AV,IF(B86='CST-Final'!$AZ$3,'CST-Final'!$AZ:$AZ,1)))))))))))),"&gt;0")</f>
        <v>0</v>
      </c>
    </row>
    <row r="88" spans="2:9" ht="25.5" hidden="1" x14ac:dyDescent="0.25">
      <c r="B88" s="253"/>
      <c r="C88" s="251" t="s">
        <v>150</v>
      </c>
      <c r="D88" s="251" t="s">
        <v>151</v>
      </c>
      <c r="E88" s="251" t="s">
        <v>480</v>
      </c>
      <c r="F88" s="559" t="s">
        <v>523</v>
      </c>
      <c r="G88" s="559" t="s">
        <v>524</v>
      </c>
      <c r="H88" s="254" t="s">
        <v>152</v>
      </c>
      <c r="I88" s="255"/>
    </row>
    <row r="89" spans="2:9" hidden="1" x14ac:dyDescent="0.25">
      <c r="B89" s="248"/>
      <c r="C89" s="256">
        <v>1</v>
      </c>
      <c r="D89" s="257" t="s">
        <v>153</v>
      </c>
      <c r="E89" s="256">
        <f>COUNTIFS('CST-Final'!$AZ:$AZ,D89,'CST-Final'!$AY:$AY,B86)</f>
        <v>0</v>
      </c>
      <c r="F89" s="256">
        <f>SUMIFS('CST-Final'!$BR$5:$BR$89,'CST-Final'!$AZ$5:$AZ$89,D89,'CST-Final'!$AY$5:$AY$89,B86)</f>
        <v>0</v>
      </c>
      <c r="G89" s="256">
        <f>SUMIFS('CST-Final'!$BS$5:$BS$89,'CST-Final'!$AZ$5:$AZ$89,D89,'CST-Final'!$AY$5:$AY$89,B86)</f>
        <v>0</v>
      </c>
      <c r="H89" s="258">
        <f>COUNTIFS('CST-Final'!BT:BT,"&gt;0",'CST-Final'!$AZ:$AZ,D89,'CST-Final'!$AY:$AY,B86)</f>
        <v>0</v>
      </c>
    </row>
    <row r="90" spans="2:9" hidden="1" x14ac:dyDescent="0.25">
      <c r="B90" s="248"/>
      <c r="C90" s="256">
        <v>2</v>
      </c>
      <c r="D90" s="259" t="s">
        <v>154</v>
      </c>
      <c r="E90" s="256">
        <f>COUNTIFS('CST-Final'!$AZ:$AZ,D90,'CST-Final'!$AY:$AY,B86)</f>
        <v>0</v>
      </c>
      <c r="F90" s="256">
        <f>SUMIFS('CST-Final'!$BR$5:$BR$89,'CST-Final'!$AZ$5:$AZ$89,D90,'CST-Final'!$AY$5:$AY$89,B86)</f>
        <v>0</v>
      </c>
      <c r="G90" s="256">
        <f>SUMIFS('CST-Final'!$BS$5:$BS$89,'CST-Final'!$AZ$5:$AZ$89,D90,'CST-Final'!$AY$5:$AY$89,B86)</f>
        <v>0</v>
      </c>
      <c r="H90" s="258">
        <f>COUNTIFS('CST-Final'!BT:BT,"&gt;0",'CST-Final'!$AZ:$AZ,D90,'CST-Final'!$AY:$AY,B86)</f>
        <v>0</v>
      </c>
    </row>
    <row r="91" spans="2:9" s="263" customFormat="1" ht="15" hidden="1" customHeight="1" x14ac:dyDescent="0.25">
      <c r="B91" s="260"/>
      <c r="C91" s="876" t="s">
        <v>155</v>
      </c>
      <c r="D91" s="877"/>
      <c r="E91" s="261">
        <f>SUM(E89:E90)</f>
        <v>0</v>
      </c>
      <c r="F91" s="261">
        <f>SUM(F89:F90)</f>
        <v>0</v>
      </c>
      <c r="G91" s="261">
        <f>SUM(G89:G90)</f>
        <v>0</v>
      </c>
      <c r="H91" s="262">
        <f>SUM(H89:H90)</f>
        <v>0</v>
      </c>
      <c r="I91" s="233"/>
    </row>
    <row r="92" spans="2:9" hidden="1" x14ac:dyDescent="0.25">
      <c r="B92" s="248"/>
      <c r="C92" s="249"/>
      <c r="D92" s="250"/>
      <c r="E92" s="264"/>
      <c r="F92" s="265"/>
      <c r="G92" s="265"/>
      <c r="H92" s="247"/>
      <c r="I92" s="266"/>
    </row>
    <row r="93" spans="2:9" ht="15.75" hidden="1" x14ac:dyDescent="0.25">
      <c r="B93" s="267"/>
      <c r="C93" s="268"/>
      <c r="D93" s="879" t="s">
        <v>142</v>
      </c>
      <c r="E93" s="879"/>
      <c r="F93" s="879"/>
      <c r="G93" s="269">
        <f>IF(SUM(F91:G91)=0,0,(F91-G91)/G91)</f>
        <v>0</v>
      </c>
      <c r="H93" s="270"/>
      <c r="I93" s="266"/>
    </row>
    <row r="94" spans="2:9" ht="13.5" hidden="1" thickBot="1" x14ac:dyDescent="0.3">
      <c r="B94" s="271"/>
      <c r="C94" s="272"/>
      <c r="D94" s="273"/>
      <c r="E94" s="272"/>
      <c r="F94" s="272"/>
      <c r="G94" s="272"/>
      <c r="H94" s="274"/>
    </row>
    <row r="95" spans="2:9" ht="20.25" hidden="1" thickTop="1" x14ac:dyDescent="0.25">
      <c r="B95" s="240" t="str">
        <f>'CST-Final'!AQ$2</f>
        <v>ROE (ROE)</v>
      </c>
      <c r="C95" s="241"/>
      <c r="D95" s="241"/>
      <c r="E95" s="242"/>
      <c r="F95" s="243" t="s">
        <v>147</v>
      </c>
      <c r="G95" s="244">
        <f>ROUND((F101/100000),2)</f>
        <v>0</v>
      </c>
      <c r="H95" s="245" t="s">
        <v>148</v>
      </c>
    </row>
    <row r="96" spans="2:9" ht="18" hidden="1" x14ac:dyDescent="0.25">
      <c r="B96" s="246" t="str">
        <f>'CST-Final'!AR$3</f>
        <v>ROE</v>
      </c>
      <c r="C96" s="878"/>
      <c r="D96" s="878"/>
      <c r="E96" s="878"/>
      <c r="F96" s="878"/>
      <c r="G96" s="878"/>
      <c r="H96" s="247"/>
    </row>
    <row r="97" spans="2:9" ht="15.75" hidden="1" customHeight="1" x14ac:dyDescent="0.25">
      <c r="B97" s="248"/>
      <c r="C97" s="249"/>
      <c r="D97" s="250"/>
      <c r="E97" s="249"/>
      <c r="F97" s="249"/>
      <c r="G97" s="251" t="s">
        <v>149</v>
      </c>
      <c r="H97" s="252">
        <f>COUNTIFS('CST-Final'!A:A,"&gt;0",IF(B96='CST-Final'!$H$3,'CST-Final'!$H:$H,IF(B96='CST-Final'!$L$3,'CST-Final'!$L:$L,IF(B96='CST-Final'!$P$3,'CST-Final'!$P:$P,IF(B96='CST-Final'!$T$3,'CST-Final'!$T:$T,IF(B96='CST-Final'!$X$3,'CST-Final'!$X:$X,IF(B96='CST-Final'!$AB$3,'CST-Final'!$AB:$AB,IF(B96='CST-Final'!$AF$3,'CST-Final'!$AF:$AF,IF(B96='CST-Final'!$AJ$3,'CST-Final'!$AJ:$AJ,IF(B96='CST-Final'!$AN$3,'CST-Final'!$AN:$AN,IF(B96='CST-Final'!$AR$3,'CST-Final'!$AR:$AR,IF(B96='CST-Final'!$AV$3,'CST-Final'!$AV:$AV,IF(B96='CST-Final'!$AZ$3,'CST-Final'!$AZ:$AZ,1)))))))))))),"&gt;0")</f>
        <v>0</v>
      </c>
    </row>
    <row r="98" spans="2:9" ht="25.5" hidden="1" x14ac:dyDescent="0.25">
      <c r="B98" s="253"/>
      <c r="C98" s="251" t="s">
        <v>150</v>
      </c>
      <c r="D98" s="251" t="s">
        <v>151</v>
      </c>
      <c r="E98" s="251" t="s">
        <v>480</v>
      </c>
      <c r="F98" s="559" t="s">
        <v>523</v>
      </c>
      <c r="G98" s="559" t="s">
        <v>524</v>
      </c>
      <c r="H98" s="254" t="s">
        <v>152</v>
      </c>
      <c r="I98" s="255"/>
    </row>
    <row r="99" spans="2:9" hidden="1" x14ac:dyDescent="0.25">
      <c r="B99" s="248"/>
      <c r="C99" s="256">
        <v>1</v>
      </c>
      <c r="D99" s="257" t="s">
        <v>153</v>
      </c>
      <c r="E99" s="256">
        <f>COUNTIFS('CST-Final'!$AZ:$AZ,D99,'CST-Final'!$AY:$AY,B96)</f>
        <v>0</v>
      </c>
      <c r="F99" s="256">
        <f>SUMIFS('CST-Final'!$BR$5:$BR$89,'CST-Final'!$AZ$5:$AZ$89,D99,'CST-Final'!$AY$5:$AY$89,B96)</f>
        <v>0</v>
      </c>
      <c r="G99" s="256">
        <f>SUMIFS('CST-Final'!$BS$5:$BS$89,'CST-Final'!$AZ$5:$AZ$89,D99,'CST-Final'!$AY$5:$AY$89,B96)</f>
        <v>0</v>
      </c>
      <c r="H99" s="258">
        <f>COUNTIFS('CST-Final'!BT:BT,"&gt;0",'CST-Final'!$AZ:$AZ,D99,'CST-Final'!$AY:$AY,B96)</f>
        <v>0</v>
      </c>
    </row>
    <row r="100" spans="2:9" hidden="1" x14ac:dyDescent="0.25">
      <c r="B100" s="248"/>
      <c r="C100" s="256">
        <v>2</v>
      </c>
      <c r="D100" s="259" t="s">
        <v>154</v>
      </c>
      <c r="E100" s="256">
        <f>COUNTIFS('CST-Final'!$AZ:$AZ,D100,'CST-Final'!$AY:$AY,B96)</f>
        <v>0</v>
      </c>
      <c r="F100" s="256">
        <f>SUMIFS('CST-Final'!$BR$5:$BR$89,'CST-Final'!$AZ$5:$AZ$89,D100,'CST-Final'!$AY$5:$AY$89,B96)</f>
        <v>0</v>
      </c>
      <c r="G100" s="256">
        <f>SUMIFS('CST-Final'!$BS$5:$BS$89,'CST-Final'!$AZ$5:$AZ$89,D100,'CST-Final'!$AY$5:$AY$89,B96)</f>
        <v>0</v>
      </c>
      <c r="H100" s="258">
        <f>COUNTIFS('CST-Final'!BT:BT,"&gt;0",'CST-Final'!$AZ:$AZ,D100,'CST-Final'!$AY:$AY,B96)</f>
        <v>0</v>
      </c>
    </row>
    <row r="101" spans="2:9" s="263" customFormat="1" ht="15" hidden="1" customHeight="1" x14ac:dyDescent="0.25">
      <c r="B101" s="260"/>
      <c r="C101" s="876" t="s">
        <v>155</v>
      </c>
      <c r="D101" s="877"/>
      <c r="E101" s="261">
        <f>SUM(E99:E100)</f>
        <v>0</v>
      </c>
      <c r="F101" s="261">
        <f>SUM(F99:F100)</f>
        <v>0</v>
      </c>
      <c r="G101" s="261">
        <f>SUM(G99:G100)</f>
        <v>0</v>
      </c>
      <c r="H101" s="262">
        <f>SUM(H99:H100)</f>
        <v>0</v>
      </c>
      <c r="I101" s="233"/>
    </row>
    <row r="102" spans="2:9" hidden="1" x14ac:dyDescent="0.25">
      <c r="B102" s="248"/>
      <c r="C102" s="249"/>
      <c r="D102" s="250"/>
      <c r="E102" s="264"/>
      <c r="F102" s="265"/>
      <c r="G102" s="265"/>
      <c r="H102" s="247"/>
      <c r="I102" s="266"/>
    </row>
    <row r="103" spans="2:9" ht="15.75" hidden="1" x14ac:dyDescent="0.25">
      <c r="B103" s="267"/>
      <c r="C103" s="268"/>
      <c r="D103" s="879" t="s">
        <v>142</v>
      </c>
      <c r="E103" s="879"/>
      <c r="F103" s="879"/>
      <c r="G103" s="269">
        <f>IF(SUM(F101:G101)=0,0,(F101-G101)/G101)</f>
        <v>0</v>
      </c>
      <c r="H103" s="270"/>
      <c r="I103" s="266"/>
    </row>
    <row r="104" spans="2:9" ht="13.5" hidden="1" thickBot="1" x14ac:dyDescent="0.3">
      <c r="B104" s="271"/>
      <c r="C104" s="272"/>
      <c r="D104" s="273"/>
      <c r="E104" s="272"/>
      <c r="F104" s="272"/>
      <c r="G104" s="272"/>
      <c r="H104" s="274"/>
    </row>
    <row r="105" spans="2:9" ht="20.25" hidden="1" thickTop="1" x14ac:dyDescent="0.25">
      <c r="B105" s="240" t="str">
        <f>'CST-Final'!AU$2</f>
        <v>VEKS-M</v>
      </c>
      <c r="C105" s="241"/>
      <c r="D105" s="241"/>
      <c r="E105" s="242"/>
      <c r="F105" s="243" t="s">
        <v>147</v>
      </c>
      <c r="G105" s="244">
        <f>ROUND((F111/100000),2)</f>
        <v>0</v>
      </c>
      <c r="H105" s="245" t="s">
        <v>148</v>
      </c>
    </row>
    <row r="106" spans="2:9" ht="18" hidden="1" x14ac:dyDescent="0.25">
      <c r="B106" s="246" t="str">
        <f>'CST-Final'!AV$3</f>
        <v>VEKS-M</v>
      </c>
      <c r="C106" s="878"/>
      <c r="D106" s="878"/>
      <c r="E106" s="878"/>
      <c r="F106" s="878"/>
      <c r="G106" s="878"/>
      <c r="H106" s="247"/>
    </row>
    <row r="107" spans="2:9" ht="15.75" hidden="1" customHeight="1" x14ac:dyDescent="0.25">
      <c r="B107" s="248"/>
      <c r="C107" s="249"/>
      <c r="D107" s="250"/>
      <c r="E107" s="249"/>
      <c r="F107" s="249"/>
      <c r="G107" s="251" t="s">
        <v>149</v>
      </c>
      <c r="H107" s="252">
        <f>COUNTIFS('CST-Final'!A:A,"&gt;0",IF(B106='CST-Final'!$H$3,'CST-Final'!$H:$H,IF(B106='CST-Final'!$L$3,'CST-Final'!$L:$L,IF(B106='CST-Final'!$P$3,'CST-Final'!$P:$P,IF(B106='CST-Final'!$T$3,'CST-Final'!$T:$T,IF(B106='CST-Final'!$X$3,'CST-Final'!$X:$X,IF(B106='CST-Final'!$AB$3,'CST-Final'!$AB:$AB,IF(B106='CST-Final'!$AF$3,'CST-Final'!$AF:$AF,IF(B106='CST-Final'!$AJ$3,'CST-Final'!$AJ:$AJ,IF(B106='CST-Final'!$AN$3,'CST-Final'!$AN:$AN,IF(B106='CST-Final'!$AR$3,'CST-Final'!$AR:$AR,IF(B106='CST-Final'!$AV$3,'CST-Final'!$AV:$AV,IF(B106='CST-Final'!$AZ$3,'CST-Final'!$AZ:$AZ,1)))))))))))),"&gt;0")</f>
        <v>0</v>
      </c>
    </row>
    <row r="108" spans="2:9" ht="25.5" hidden="1" x14ac:dyDescent="0.25">
      <c r="B108" s="253"/>
      <c r="C108" s="251" t="s">
        <v>150</v>
      </c>
      <c r="D108" s="251" t="s">
        <v>151</v>
      </c>
      <c r="E108" s="251" t="s">
        <v>480</v>
      </c>
      <c r="F108" s="559" t="s">
        <v>523</v>
      </c>
      <c r="G108" s="559" t="s">
        <v>524</v>
      </c>
      <c r="H108" s="254" t="s">
        <v>152</v>
      </c>
      <c r="I108" s="255"/>
    </row>
    <row r="109" spans="2:9" hidden="1" x14ac:dyDescent="0.25">
      <c r="B109" s="248"/>
      <c r="C109" s="256">
        <v>1</v>
      </c>
      <c r="D109" s="257" t="s">
        <v>153</v>
      </c>
      <c r="E109" s="256">
        <f>COUNTIFS('CST-Final'!$AZ:$AZ,D109,'CST-Final'!$AY:$AY,B106)</f>
        <v>0</v>
      </c>
      <c r="F109" s="256">
        <f>SUMIFS('CST-Final'!$BR$5:$BR$89,'CST-Final'!$AZ$5:$AZ$89,D109,'CST-Final'!$AY$5:$AY$89,B106)</f>
        <v>0</v>
      </c>
      <c r="G109" s="256">
        <f>SUMIFS('CST-Final'!$BS$5:$BS$89,'CST-Final'!$AZ$5:$AZ$89,D109,'CST-Final'!$AY$5:$AY$89,B106)</f>
        <v>0</v>
      </c>
      <c r="H109" s="258">
        <f>COUNTIFS('CST-Final'!BT:BT,"&gt;0",'CST-Final'!$AZ:$AZ,D109,'CST-Final'!$AY:$AY,B106)</f>
        <v>0</v>
      </c>
    </row>
    <row r="110" spans="2:9" hidden="1" x14ac:dyDescent="0.25">
      <c r="B110" s="248"/>
      <c r="C110" s="256">
        <v>2</v>
      </c>
      <c r="D110" s="259" t="s">
        <v>154</v>
      </c>
      <c r="E110" s="256">
        <f>COUNTIFS('CST-Final'!$AZ:$AZ,D110,'CST-Final'!$AY:$AY,B106)</f>
        <v>0</v>
      </c>
      <c r="F110" s="256">
        <f>SUMIFS('CST-Final'!$BR$5:$BR$89,'CST-Final'!$AZ$5:$AZ$89,D110,'CST-Final'!$AY$5:$AY$89,B106)</f>
        <v>0</v>
      </c>
      <c r="G110" s="256">
        <f>SUMIFS('CST-Final'!$BS$5:$BS$89,'CST-Final'!$AZ$5:$AZ$89,D110,'CST-Final'!$AY$5:$AY$89,B106)</f>
        <v>0</v>
      </c>
      <c r="H110" s="258">
        <f>COUNTIFS('CST-Final'!BT:BT,"&gt;0",'CST-Final'!$AZ:$AZ,D110,'CST-Final'!$AY:$AY,B106)</f>
        <v>0</v>
      </c>
    </row>
    <row r="111" spans="2:9" s="263" customFormat="1" ht="15" hidden="1" customHeight="1" x14ac:dyDescent="0.25">
      <c r="B111" s="260"/>
      <c r="C111" s="876" t="s">
        <v>155</v>
      </c>
      <c r="D111" s="877"/>
      <c r="E111" s="261">
        <f>SUM(E109:E110)</f>
        <v>0</v>
      </c>
      <c r="F111" s="261">
        <f>SUM(F109:F110)</f>
        <v>0</v>
      </c>
      <c r="G111" s="261">
        <f>SUM(G109:G110)</f>
        <v>0</v>
      </c>
      <c r="H111" s="262">
        <f>SUM(H109:H110)</f>
        <v>0</v>
      </c>
      <c r="I111" s="233"/>
    </row>
    <row r="112" spans="2:9" ht="6.75" hidden="1" customHeight="1" x14ac:dyDescent="0.25">
      <c r="B112" s="248"/>
      <c r="C112" s="249"/>
      <c r="D112" s="250"/>
      <c r="E112" s="264"/>
      <c r="F112" s="265"/>
      <c r="G112" s="265"/>
      <c r="H112" s="247"/>
      <c r="I112" s="266"/>
    </row>
    <row r="113" spans="2:10" ht="15.75" hidden="1" x14ac:dyDescent="0.25">
      <c r="B113" s="267"/>
      <c r="C113" s="268"/>
      <c r="D113" s="879" t="s">
        <v>142</v>
      </c>
      <c r="E113" s="879"/>
      <c r="F113" s="879"/>
      <c r="G113" s="269">
        <f>IF(SUM(F111:G111)=0,0,(F111-G111)/G111)</f>
        <v>0</v>
      </c>
      <c r="H113" s="270"/>
      <c r="I113" s="266"/>
    </row>
    <row r="114" spans="2:10" ht="6" hidden="1" customHeight="1" thickBot="1" x14ac:dyDescent="0.3">
      <c r="B114" s="271"/>
      <c r="C114" s="272"/>
      <c r="D114" s="273"/>
      <c r="E114" s="272"/>
      <c r="F114" s="272"/>
      <c r="G114" s="272"/>
      <c r="H114" s="274"/>
    </row>
    <row r="115" spans="2:10" ht="7.5" customHeight="1" thickTop="1" x14ac:dyDescent="0.25">
      <c r="B115" s="278"/>
      <c r="C115" s="249"/>
      <c r="D115" s="250"/>
      <c r="E115" s="249"/>
      <c r="F115" s="249"/>
      <c r="G115" s="249"/>
      <c r="H115" s="279"/>
    </row>
    <row r="116" spans="2:10" ht="19.5" x14ac:dyDescent="0.25">
      <c r="B116" s="278" t="s">
        <v>156</v>
      </c>
      <c r="C116" s="249"/>
      <c r="D116" s="250"/>
      <c r="E116" s="280">
        <f>COUNTIFS('CST-Final'!$AY:$AY,$B$116)</f>
        <v>33</v>
      </c>
      <c r="F116" s="249"/>
      <c r="G116" s="249"/>
      <c r="H116" s="279"/>
    </row>
    <row r="117" spans="2:10" ht="8.25" customHeight="1" x14ac:dyDescent="0.25">
      <c r="B117" s="278"/>
      <c r="C117" s="249"/>
      <c r="D117" s="250"/>
      <c r="E117" s="281"/>
      <c r="F117" s="249"/>
      <c r="G117" s="249"/>
      <c r="H117" s="279"/>
    </row>
    <row r="118" spans="2:10" ht="19.5" x14ac:dyDescent="0.25">
      <c r="B118" s="278" t="s">
        <v>157</v>
      </c>
      <c r="C118" s="249"/>
      <c r="D118" s="250"/>
      <c r="E118" s="280">
        <f>COUNTIFS('CST-Final'!$AY:$AY,$B$118)</f>
        <v>2</v>
      </c>
      <c r="F118" s="249"/>
      <c r="G118" s="249"/>
      <c r="H118" s="279"/>
    </row>
    <row r="119" spans="2:10" ht="15" hidden="1" customHeight="1" x14ac:dyDescent="0.25">
      <c r="B119" s="278"/>
      <c r="C119" s="249"/>
      <c r="D119" s="250"/>
      <c r="E119" s="281"/>
      <c r="F119" s="249"/>
      <c r="G119" s="249"/>
      <c r="H119" s="279"/>
    </row>
    <row r="120" spans="2:10" ht="19.5" hidden="1" x14ac:dyDescent="0.25">
      <c r="B120" s="278" t="s">
        <v>158</v>
      </c>
      <c r="C120" s="249"/>
      <c r="D120" s="250"/>
      <c r="E120" s="280">
        <f>COUNTIFS('CST-Final'!$AY:$AY,$B$120)</f>
        <v>0</v>
      </c>
      <c r="F120" s="249"/>
      <c r="G120" s="249"/>
      <c r="H120" s="279"/>
    </row>
    <row r="121" spans="2:10" ht="7.5" customHeight="1" thickBot="1" x14ac:dyDescent="0.3">
      <c r="B121" s="271"/>
      <c r="C121" s="272"/>
      <c r="D121" s="273"/>
      <c r="E121" s="272"/>
      <c r="F121" s="272"/>
      <c r="G121" s="272"/>
      <c r="H121" s="274"/>
    </row>
    <row r="122" spans="2:10" ht="18.75" thickTop="1" x14ac:dyDescent="0.25">
      <c r="B122" s="248"/>
      <c r="C122" s="249"/>
      <c r="D122" s="250"/>
      <c r="E122" s="249"/>
      <c r="F122" s="275" t="s">
        <v>147</v>
      </c>
      <c r="G122" s="276">
        <f>ROUND((F11+F21+F31+F41+F51+F61+F71+F81+F91+F101+F111)/100000,2)</f>
        <v>979.23</v>
      </c>
      <c r="H122" s="277" t="s">
        <v>148</v>
      </c>
    </row>
    <row r="123" spans="2:10" ht="26.25" x14ac:dyDescent="0.25">
      <c r="B123" s="278" t="s">
        <v>159</v>
      </c>
      <c r="C123" s="249"/>
      <c r="D123" s="250"/>
      <c r="E123" s="282">
        <f>E11+E21+E31+E41+E51+E61+E71+E81+E91+E101+E111+E116+E118+E120</f>
        <v>85</v>
      </c>
      <c r="F123" s="249"/>
      <c r="G123" s="283"/>
      <c r="H123" s="279"/>
      <c r="J123" s="284"/>
    </row>
    <row r="124" spans="2:10" s="290" customFormat="1" ht="5.25" customHeight="1" thickBot="1" x14ac:dyDescent="0.3">
      <c r="B124" s="285"/>
      <c r="C124" s="286"/>
      <c r="D124" s="287"/>
      <c r="E124" s="286"/>
      <c r="F124" s="286"/>
      <c r="G124" s="288"/>
      <c r="H124" s="289"/>
      <c r="I124" s="233"/>
    </row>
  </sheetData>
  <mergeCells count="34">
    <mergeCell ref="D113:F113"/>
    <mergeCell ref="C46:G46"/>
    <mergeCell ref="C51:D51"/>
    <mergeCell ref="D53:F53"/>
    <mergeCell ref="C56:G56"/>
    <mergeCell ref="C61:D61"/>
    <mergeCell ref="D63:F63"/>
    <mergeCell ref="C66:G66"/>
    <mergeCell ref="C71:D71"/>
    <mergeCell ref="D73:F73"/>
    <mergeCell ref="C111:D111"/>
    <mergeCell ref="D43:F43"/>
    <mergeCell ref="C96:G96"/>
    <mergeCell ref="C101:D101"/>
    <mergeCell ref="D103:F103"/>
    <mergeCell ref="C106:G106"/>
    <mergeCell ref="C76:G76"/>
    <mergeCell ref="C81:D81"/>
    <mergeCell ref="D83:F83"/>
    <mergeCell ref="C86:G86"/>
    <mergeCell ref="C91:D91"/>
    <mergeCell ref="D93:F93"/>
    <mergeCell ref="C41:D41"/>
    <mergeCell ref="B2:H2"/>
    <mergeCell ref="C6:G6"/>
    <mergeCell ref="C11:D11"/>
    <mergeCell ref="D13:F13"/>
    <mergeCell ref="C16:G16"/>
    <mergeCell ref="C21:D21"/>
    <mergeCell ref="D23:F23"/>
    <mergeCell ref="C26:G26"/>
    <mergeCell ref="C31:D31"/>
    <mergeCell ref="D33:F33"/>
    <mergeCell ref="C36:G36"/>
  </mergeCells>
  <conditionalFormatting sqref="E116">
    <cfRule type="cellIs" dxfId="30" priority="33" operator="equal">
      <formula>0</formula>
    </cfRule>
  </conditionalFormatting>
  <conditionalFormatting sqref="E118">
    <cfRule type="cellIs" dxfId="29" priority="32" operator="equal">
      <formula>0</formula>
    </cfRule>
  </conditionalFormatting>
  <conditionalFormatting sqref="E120">
    <cfRule type="cellIs" dxfId="28" priority="31" operator="equal">
      <formula>0</formula>
    </cfRule>
  </conditionalFormatting>
  <conditionalFormatting sqref="H47">
    <cfRule type="cellIs" dxfId="27" priority="19" operator="equal">
      <formula>0</formula>
    </cfRule>
  </conditionalFormatting>
  <conditionalFormatting sqref="H7">
    <cfRule type="cellIs" dxfId="26" priority="10" operator="equal">
      <formula>0</formula>
    </cfRule>
  </conditionalFormatting>
  <conditionalFormatting sqref="H57">
    <cfRule type="cellIs" dxfId="25" priority="9" operator="equal">
      <formula>0</formula>
    </cfRule>
  </conditionalFormatting>
  <conditionalFormatting sqref="H67">
    <cfRule type="cellIs" dxfId="24" priority="8" operator="equal">
      <formula>0</formula>
    </cfRule>
  </conditionalFormatting>
  <conditionalFormatting sqref="H77">
    <cfRule type="cellIs" dxfId="23" priority="7" operator="equal">
      <formula>0</formula>
    </cfRule>
  </conditionalFormatting>
  <conditionalFormatting sqref="H87">
    <cfRule type="cellIs" dxfId="22" priority="6" operator="equal">
      <formula>0</formula>
    </cfRule>
  </conditionalFormatting>
  <conditionalFormatting sqref="H97">
    <cfRule type="cellIs" dxfId="21" priority="5" operator="equal">
      <formula>0</formula>
    </cfRule>
  </conditionalFormatting>
  <conditionalFormatting sqref="H107">
    <cfRule type="cellIs" dxfId="20" priority="4" operator="equal">
      <formula>0</formula>
    </cfRule>
  </conditionalFormatting>
  <conditionalFormatting sqref="H17">
    <cfRule type="cellIs" dxfId="19" priority="3" operator="equal">
      <formula>0</formula>
    </cfRule>
  </conditionalFormatting>
  <conditionalFormatting sqref="H27">
    <cfRule type="cellIs" dxfId="18" priority="2" operator="equal">
      <formula>0</formula>
    </cfRule>
  </conditionalFormatting>
  <conditionalFormatting sqref="H37">
    <cfRule type="cellIs" dxfId="17" priority="1" operator="equal">
      <formula>0</formula>
    </cfRule>
  </conditionalFormatting>
  <pageMargins left="0.59055118110236227" right="0.15748031496062992" top="0.31496062992125984" bottom="0.23622047244094491" header="0.15748031496062992" footer="0.15748031496062992"/>
  <pageSetup paperSize="9" scale="77" orientation="portrait" r:id="rId1"/>
  <headerFooter alignWithMargins="0"/>
  <rowBreaks count="1" manualBreakCount="1">
    <brk id="54" min="1"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filterMode="1">
    <tabColor rgb="FFFF0000"/>
    <pageSetUpPr fitToPage="1"/>
  </sheetPr>
  <dimension ref="A1:P51"/>
  <sheetViews>
    <sheetView workbookViewId="0">
      <selection activeCell="K8" sqref="K8"/>
    </sheetView>
  </sheetViews>
  <sheetFormatPr defaultRowHeight="15" x14ac:dyDescent="0.25"/>
  <cols>
    <col min="1" max="1" width="5.7109375" customWidth="1"/>
    <col min="2" max="2" width="8.42578125" style="426" hidden="1" customWidth="1"/>
    <col min="3" max="6" width="8.42578125" hidden="1" customWidth="1"/>
    <col min="7" max="7" width="11.7109375" customWidth="1"/>
    <col min="8" max="8" width="10.42578125" customWidth="1"/>
    <col min="9" max="9" width="9.140625" style="299" customWidth="1"/>
    <col min="10" max="10" width="7.85546875" customWidth="1"/>
    <col min="11" max="11" width="14.5703125" customWidth="1"/>
    <col min="12" max="12" width="15.85546875" customWidth="1"/>
    <col min="13" max="13" width="11.7109375" customWidth="1"/>
    <col min="14" max="14" width="26" customWidth="1"/>
    <col min="15" max="15" width="0" hidden="1" customWidth="1"/>
  </cols>
  <sheetData>
    <row r="1" spans="1:15" ht="79.5" customHeight="1" x14ac:dyDescent="0.25">
      <c r="A1" s="291"/>
      <c r="C1" s="201" t="s">
        <v>160</v>
      </c>
      <c r="D1" s="201" t="s">
        <v>161</v>
      </c>
      <c r="E1" s="201" t="s">
        <v>162</v>
      </c>
      <c r="F1" s="201" t="s">
        <v>163</v>
      </c>
      <c r="G1" s="433" t="s">
        <v>164</v>
      </c>
      <c r="H1" s="433" t="s">
        <v>165</v>
      </c>
      <c r="I1" s="433" t="s">
        <v>166</v>
      </c>
      <c r="J1" s="433" t="s">
        <v>167</v>
      </c>
      <c r="K1" s="433" t="s">
        <v>481</v>
      </c>
      <c r="L1" s="433" t="s">
        <v>482</v>
      </c>
      <c r="M1" s="433" t="s">
        <v>169</v>
      </c>
      <c r="N1" s="433" t="str">
        <f>"Landed Cost in INR Lakhs @ USD 1=INR"&amp;FIXED(Form!D10,2)&amp;" including Customs, IGST and other duties on assessable value (100%) and F&amp;I @1.26% on basic landed cost"</f>
        <v>Landed Cost in INR Lakhs @ USD 1=INR82.78 including Customs, IGST and other duties on assessable value (100%) and F&amp;I @1.26% on basic landed cost</v>
      </c>
      <c r="O1" s="455">
        <f>'CST-Final'!BQ1</f>
        <v>0</v>
      </c>
    </row>
    <row r="2" spans="1:15" hidden="1" x14ac:dyDescent="0.25">
      <c r="A2" s="201"/>
      <c r="B2" s="427"/>
      <c r="C2" s="201">
        <f>H2</f>
        <v>1</v>
      </c>
      <c r="D2" s="201">
        <f>J2+J3</f>
        <v>0</v>
      </c>
      <c r="E2" s="294">
        <f>K2+K3</f>
        <v>0</v>
      </c>
      <c r="F2" s="295" t="str">
        <f>M2</f>
        <v/>
      </c>
      <c r="G2" s="397" t="str">
        <f>$B$4</f>
        <v>Avi. Equip.</v>
      </c>
      <c r="H2" s="433">
        <f>COUNTIFS('CST-Final'!B:B,"&gt;0",IF(G2='CST-Final'!$H$3,'CST-Final'!$H:$H,IF(G2='CST-Final'!$L$3,'CST-Final'!$L:$L,IF(G2='CST-Final'!$P$3,'CST-Final'!$P:$P,IF(G2='CST-Final'!$T$3,'CST-Final'!$T:$T,IF(G2='CST-Final'!$X$3,'CST-Final'!$X:$X,IF(G2='CST-Final'!$AB$3,'CST-Final'!$AB:$AB,IF(G2='CST-Final'!$AF$3,'CST-Final'!$AF:$AF,IF(G2='CST-Final'!$AJ$3,'CST-Final'!$AJ:$AJ,IF(G2='CST-Final'!$AN$3,'CST-Final'!$AN:$AN,IF(G2='CST-Final'!$AR$3,'CST-Final'!$AR:$AR,IF(G2='CST-Final'!$AV$3,'CST-Final'!$AV:$AV,IF(G2='CST-Final'!$AZ$3,'CST-Final'!$AZ:$AZ,1)))))))))))),"&gt;0")+COUNTIFS('CST-Final'!B:B,"&gt;0",IF(G2='CST-Final'!$H$3,'CST-Final'!$H:$H,IF(G2='CST-Final'!$L$3,'CST-Final'!$L:$L,IF(G2='CST-Final'!$P$3,'CST-Final'!$P:$P,IF(G2='CST-Final'!$T$3,'CST-Final'!$T:$T,IF(G2='CST-Final'!$X$3,'CST-Final'!$X:$X,IF(G2='CST-Final'!$AB$3,'CST-Final'!$AB:$AB,IF(G2='CST-Final'!$AF$3,'CST-Final'!$AF:$AF,IF(G2='CST-Final'!$AJ$3,'CST-Final'!$AJ:$AJ,IF(G2='CST-Final'!$AN$3,'CST-Final'!$AN:$AN,IF(G2='CST-Final'!$AR$3,'CST-Final'!$AR:$AR,IF(G2='CST-Final'!$AV$3,'CST-Final'!$AV:$AV,IF(G2='CST-Final'!$AZ$3,'CST-Final'!$AZ:$AZ,1)))))))))))),"TEC Rejected")</f>
        <v>1</v>
      </c>
      <c r="I2" s="433" t="s">
        <v>170</v>
      </c>
      <c r="J2" s="433">
        <f>COUNTIFS('CST-Final'!$AZ:$AZ,I2,'CST-Final'!$AY:$AY,G2)</f>
        <v>0</v>
      </c>
      <c r="K2" s="434">
        <f>SUMIFS('CST-Final'!$BC$5:$BC$89,'CST-Final'!$AZ$5:$AZ$89,I2,'CST-Final'!$AY$5:$AY$89,G2)</f>
        <v>0</v>
      </c>
      <c r="L2" s="434">
        <f>IF(OR(G2="EST",G2="ADRYS"),SUMIFS('CST-Final'!$BS$5:$BS$89,'CST-Final'!$AZ$5:$AZ$89,I2,'CST-Final'!$AY$5:$AY$89,G2),SUMIFS('CST-Final'!$BQ$5:$BQ$89,'CST-Final'!$AZ$5:$AZ$89,I2,'CST-Final'!$AY$5:$AY$89,G2))</f>
        <v>0</v>
      </c>
      <c r="M2" s="435" t="str">
        <f t="shared" ref="M2:M34" si="0">IF(SUM(K2:L2)=0,"",((K2-L2)/L2))</f>
        <v/>
      </c>
      <c r="N2" s="434">
        <f>(K2*Form!$D$10*1.3224)/100000</f>
        <v>0</v>
      </c>
    </row>
    <row r="3" spans="1:15" hidden="1" x14ac:dyDescent="0.25">
      <c r="B3" s="427"/>
      <c r="C3" s="201">
        <f>C2</f>
        <v>1</v>
      </c>
      <c r="D3" s="201">
        <f>D2</f>
        <v>0</v>
      </c>
      <c r="E3" s="294">
        <f>E2</f>
        <v>0</v>
      </c>
      <c r="F3" s="295" t="str">
        <f t="shared" ref="F3:F34" si="1">M3</f>
        <v/>
      </c>
      <c r="G3" s="397" t="str">
        <f>$B$4</f>
        <v>Avi. Equip.</v>
      </c>
      <c r="H3" s="433">
        <f>H2</f>
        <v>1</v>
      </c>
      <c r="I3" s="433" t="s">
        <v>171</v>
      </c>
      <c r="J3" s="562">
        <f>COUNTIFS('CST-Final'!$AZ:$AZ,I3,'CST-Final'!$AY:$AY,G2)</f>
        <v>0</v>
      </c>
      <c r="K3" s="436">
        <f>SUMIFS('CST-Final'!$BC$5:$BC$89,'CST-Final'!$AZ$5:$AZ$89,I3,'CST-Final'!$AY$5:$AY$89,G3)</f>
        <v>0</v>
      </c>
      <c r="L3" s="436">
        <f>IF(OR(G3="EST",G3="ADRYS"),SUMIFS('CST-Final'!$BS$5:$BS$89,'CST-Final'!$AZ$5:$AZ$89,I3,'CST-Final'!$AY$5:$AY$89,G3),SUMIFS('CST-Final'!$BQ$5:$BQ$89,'CST-Final'!$AZ$5:$AZ$89,I3,'CST-Final'!$AY$5:$AY$89,G3))</f>
        <v>0</v>
      </c>
      <c r="M3" s="437" t="str">
        <f t="shared" si="0"/>
        <v/>
      </c>
      <c r="N3" s="436">
        <f>(K3*Form!$D$10*1.3224)/100000</f>
        <v>0</v>
      </c>
    </row>
    <row r="4" spans="1:15" s="296" customFormat="1" hidden="1" x14ac:dyDescent="0.25">
      <c r="B4" s="428" t="str">
        <f>'CST-Final'!H$3</f>
        <v>Avi. Equip.</v>
      </c>
      <c r="C4" s="201">
        <f>C2</f>
        <v>1</v>
      </c>
      <c r="D4" s="201">
        <f>+D2</f>
        <v>0</v>
      </c>
      <c r="E4" s="294">
        <f>+E2</f>
        <v>0</v>
      </c>
      <c r="F4" s="295" t="str">
        <f t="shared" si="1"/>
        <v/>
      </c>
      <c r="G4" s="882" t="s">
        <v>172</v>
      </c>
      <c r="H4" s="883"/>
      <c r="I4" s="884"/>
      <c r="J4" s="392">
        <f>IF(SUM(J2:J3)=J3,0,IF(SUM(J2:J3)=J2,0,SUM(J2:J3)))</f>
        <v>0</v>
      </c>
      <c r="K4" s="436">
        <f>SUM(K2:K3)</f>
        <v>0</v>
      </c>
      <c r="L4" s="436">
        <f>SUM(L2:L3)</f>
        <v>0</v>
      </c>
      <c r="M4" s="437" t="str">
        <f t="shared" si="0"/>
        <v/>
      </c>
      <c r="N4" s="436">
        <f>(K4*Form!$D$10*1.3224)/100000</f>
        <v>0</v>
      </c>
    </row>
    <row r="5" spans="1:15" hidden="1" x14ac:dyDescent="0.25">
      <c r="C5" s="201">
        <f>H5</f>
        <v>1</v>
      </c>
      <c r="D5" s="201">
        <f>J5+J6</f>
        <v>0</v>
      </c>
      <c r="E5" s="294">
        <f>K5+K6</f>
        <v>0</v>
      </c>
      <c r="F5" s="295" t="str">
        <f t="shared" si="1"/>
        <v/>
      </c>
      <c r="G5" s="397" t="str">
        <f>$B$7</f>
        <v>Avitronic</v>
      </c>
      <c r="H5" s="433">
        <f>COUNTIFS('CST-Final'!B:B,"&gt;0",IF(G5='CST-Final'!$H$3,'CST-Final'!$H:$H,IF(G5='CST-Final'!$L$3,'CST-Final'!$L:$L,IF(G5='CST-Final'!$P$3,'CST-Final'!$P:$P,IF(G5='CST-Final'!$T$3,'CST-Final'!$T:$T,IF(G5='CST-Final'!$X$3,'CST-Final'!$X:$X,IF(G5='CST-Final'!$AB$3,'CST-Final'!$AB:$AB,IF(G5='CST-Final'!$AF$3,'CST-Final'!$AF:$AF,IF(G5='CST-Final'!$AJ$3,'CST-Final'!$AJ:$AJ,IF(G5='CST-Final'!$AN$3,'CST-Final'!$AN:$AN,IF(G5='CST-Final'!$AR$3,'CST-Final'!$AR:$AR,IF(G5='CST-Final'!$AV$3,'CST-Final'!$AV:$AV,IF(G5='CST-Final'!$AZ$3,'CST-Final'!$AZ:$AZ,1)))))))))))),"&gt;0")+COUNTIFS('CST-Final'!B:B,"&gt;0",IF(G5='CST-Final'!$H$3,'CST-Final'!$H:$H,IF(G5='CST-Final'!$L$3,'CST-Final'!$L:$L,IF(G5='CST-Final'!$P$3,'CST-Final'!$P:$P,IF(G5='CST-Final'!$T$3,'CST-Final'!$T:$T,IF(G5='CST-Final'!$X$3,'CST-Final'!$X:$X,IF(G5='CST-Final'!$AB$3,'CST-Final'!$AB:$AB,IF(G5='CST-Final'!$AF$3,'CST-Final'!$AF:$AF,IF(G5='CST-Final'!$AJ$3,'CST-Final'!$AJ:$AJ,IF(G5='CST-Final'!$AN$3,'CST-Final'!$AN:$AN,IF(G5='CST-Final'!$AR$3,'CST-Final'!$AR:$AR,IF(G5='CST-Final'!$AV$3,'CST-Final'!$AV:$AV,IF(G5='CST-Final'!$AZ$3,'CST-Final'!$AZ:$AZ,1)))))))))))),"TEC Rejected")</f>
        <v>1</v>
      </c>
      <c r="I5" s="433" t="s">
        <v>170</v>
      </c>
      <c r="J5" s="433">
        <f>COUNTIFS('CST-Final'!$AZ:$AZ,I5,'CST-Final'!$AY:$AY,G5)</f>
        <v>0</v>
      </c>
      <c r="K5" s="434">
        <f>SUMIFS('CST-Final'!$BC$5:$BC$89,'CST-Final'!$AZ$5:$AZ$89,I5,'CST-Final'!$AY$5:$AY$89,G5)</f>
        <v>0</v>
      </c>
      <c r="L5" s="434">
        <f>IF(OR(G5="EST",G5="ADRYS"),SUMIFS('CST-Final'!$BS$5:$BS$89,'CST-Final'!$AZ$5:$AZ$89,I5,'CST-Final'!$AY$5:$AY$89,G5),SUMIFS('CST-Final'!$BQ$5:$BQ$89,'CST-Final'!$AZ$5:$AZ$89,I5,'CST-Final'!$AY$5:$AY$89,G5))</f>
        <v>0</v>
      </c>
      <c r="M5" s="435" t="str">
        <f t="shared" si="0"/>
        <v/>
      </c>
      <c r="N5" s="434">
        <f>(K5*Form!$D$10*1.3224)/100000</f>
        <v>0</v>
      </c>
    </row>
    <row r="6" spans="1:15" hidden="1" x14ac:dyDescent="0.25">
      <c r="C6" s="201">
        <f>C5</f>
        <v>1</v>
      </c>
      <c r="D6" s="201">
        <f>D5</f>
        <v>0</v>
      </c>
      <c r="E6" s="294">
        <f>E5</f>
        <v>0</v>
      </c>
      <c r="F6" s="295" t="str">
        <f t="shared" si="1"/>
        <v/>
      </c>
      <c r="G6" s="397" t="str">
        <f>$B$7</f>
        <v>Avitronic</v>
      </c>
      <c r="H6" s="433">
        <f>H5</f>
        <v>1</v>
      </c>
      <c r="I6" s="433" t="s">
        <v>171</v>
      </c>
      <c r="J6" s="562">
        <f>COUNTIFS('CST-Final'!$AZ:$AZ,I6,'CST-Final'!$AY:$AY,G5)</f>
        <v>0</v>
      </c>
      <c r="K6" s="436">
        <f>SUMIFS('CST-Final'!$BC$5:$BC$89,'CST-Final'!$AZ$5:$AZ$89,I6,'CST-Final'!$AY$5:$AY$89,G6)</f>
        <v>0</v>
      </c>
      <c r="L6" s="436">
        <f>IF(OR(G6="EST",G6="ADRYS"),SUMIFS('CST-Final'!$BS$5:$BS$89,'CST-Final'!$AZ$5:$AZ$89,I6,'CST-Final'!$AY$5:$AY$89,G6),SUMIFS('CST-Final'!$BQ$5:$BQ$89,'CST-Final'!$AZ$5:$AZ$89,I6,'CST-Final'!$AY$5:$AY$89,G6))</f>
        <v>0</v>
      </c>
      <c r="M6" s="437" t="str">
        <f t="shared" si="0"/>
        <v/>
      </c>
      <c r="N6" s="436">
        <f>(K6*Form!$D$10*1.3224)/100000</f>
        <v>0</v>
      </c>
    </row>
    <row r="7" spans="1:15" s="296" customFormat="1" hidden="1" x14ac:dyDescent="0.25">
      <c r="B7" s="428" t="str">
        <f>'CST-Final'!L$3</f>
        <v>Avitronic</v>
      </c>
      <c r="C7" s="201">
        <f>C5</f>
        <v>1</v>
      </c>
      <c r="D7" s="201">
        <f>+D5</f>
        <v>0</v>
      </c>
      <c r="E7" s="294">
        <f>+E5</f>
        <v>0</v>
      </c>
      <c r="F7" s="295" t="str">
        <f t="shared" si="1"/>
        <v/>
      </c>
      <c r="G7" s="882" t="s">
        <v>172</v>
      </c>
      <c r="H7" s="883"/>
      <c r="I7" s="884"/>
      <c r="J7" s="392">
        <f>IF(SUM(J5:J6)=J6,0,IF(SUM(J5:J6)=J5,0,SUM(J5:J6)))</f>
        <v>0</v>
      </c>
      <c r="K7" s="436">
        <f>SUM(K5:K6)</f>
        <v>0</v>
      </c>
      <c r="L7" s="436">
        <f>SUM(L5:L6)</f>
        <v>0</v>
      </c>
      <c r="M7" s="437" t="str">
        <f t="shared" si="0"/>
        <v/>
      </c>
      <c r="N7" s="436">
        <f>(K7*Form!$D$10*1.3224)/100000</f>
        <v>0</v>
      </c>
    </row>
    <row r="8" spans="1:15" x14ac:dyDescent="0.25">
      <c r="C8" s="201">
        <f>H8</f>
        <v>48</v>
      </c>
      <c r="D8" s="201">
        <f>J8+J9</f>
        <v>17</v>
      </c>
      <c r="E8" s="294">
        <f>K8+K9</f>
        <v>775918.4</v>
      </c>
      <c r="F8" s="295">
        <f t="shared" si="1"/>
        <v>1.5627961867427331</v>
      </c>
      <c r="G8" s="397" t="str">
        <f>$B$10</f>
        <v>GIS</v>
      </c>
      <c r="H8" s="433">
        <f>COUNTIFS('CST-Final'!B:B,"&gt;0",IF(G8='CST-Final'!$H$3,'CST-Final'!$H:$H,IF(G8='CST-Final'!$L$3,'CST-Final'!$L:$L,IF(G8='CST-Final'!$P$3,'CST-Final'!$P:$P,IF(G8='CST-Final'!$T$3,'CST-Final'!$T:$T,IF(G8='CST-Final'!$X$3,'CST-Final'!$X:$X,IF(G8='CST-Final'!$AB$3,'CST-Final'!$AB:$AB,IF(G8='CST-Final'!$AF$3,'CST-Final'!$AF:$AF,IF(G8='CST-Final'!$AJ$3,'CST-Final'!$AJ:$AJ,IF(G8='CST-Final'!$AN$3,'CST-Final'!$AN:$AN,IF(G8='CST-Final'!$AR$3,'CST-Final'!$AR:$AR,IF(G8='CST-Final'!$AV$3,'CST-Final'!$AV:$AV,IF(G8='CST-Final'!$AZ$3,'CST-Final'!$AZ:$AZ,1)))))))))))),"&gt;0")+COUNTIFS('CST-Final'!B:B,"&gt;0",IF(G8='CST-Final'!$H$3,'CST-Final'!$H:$H,IF(G8='CST-Final'!$L$3,'CST-Final'!$L:$L,IF(G8='CST-Final'!$P$3,'CST-Final'!$P:$P,IF(G8='CST-Final'!$T$3,'CST-Final'!$T:$T,IF(G8='CST-Final'!$X$3,'CST-Final'!$X:$X,IF(G8='CST-Final'!$AB$3,'CST-Final'!$AB:$AB,IF(G8='CST-Final'!$AF$3,'CST-Final'!$AF:$AF,IF(G8='CST-Final'!$AJ$3,'CST-Final'!$AJ:$AJ,IF(G8='CST-Final'!$AN$3,'CST-Final'!$AN:$AN,IF(G8='CST-Final'!$AR$3,'CST-Final'!$AR:$AR,IF(G8='CST-Final'!$AV$3,'CST-Final'!$AV:$AV,IF(G8='CST-Final'!$AZ$3,'CST-Final'!$AZ:$AZ,1)))))))))))),"TEC Rejected")</f>
        <v>48</v>
      </c>
      <c r="I8" s="433" t="s">
        <v>170</v>
      </c>
      <c r="J8" s="433">
        <f>COUNTIFS('CST-Final'!$AZ:$AZ,I8,'CST-Final'!$AY:$AY,G8)</f>
        <v>7</v>
      </c>
      <c r="K8" s="434">
        <f>SUMIFS('CST-Final'!$BC$5:$BC$89,'CST-Final'!$AZ$5:$AZ$89,I8,'CST-Final'!$AY$5:$AY$89,G8)</f>
        <v>355380</v>
      </c>
      <c r="L8" s="434">
        <f>IF(OR(G8="EST",G8="ADRYS"),SUMIFS('CST-Final'!$BS$5:$BS$89,'CST-Final'!$AZ$5:$AZ$89,I8,'CST-Final'!$AY$5:$AY$89,G8),SUMIFS('CST-Final'!$BQ$5:$BQ$89,'CST-Final'!$AZ$5:$AZ$89,I8,'CST-Final'!$AY$5:$AY$89,G8))</f>
        <v>138668.84999999998</v>
      </c>
      <c r="M8" s="435">
        <f t="shared" si="0"/>
        <v>1.5627961867427331</v>
      </c>
      <c r="N8" s="434">
        <f>(K8*Form!$D$10*1.3224)/100000</f>
        <v>389.02834503360003</v>
      </c>
    </row>
    <row r="9" spans="1:15" x14ac:dyDescent="0.25">
      <c r="C9" s="201">
        <f>C8</f>
        <v>48</v>
      </c>
      <c r="D9" s="201">
        <f>D8</f>
        <v>17</v>
      </c>
      <c r="E9" s="294">
        <f>E8</f>
        <v>775918.4</v>
      </c>
      <c r="F9" s="295">
        <f t="shared" si="1"/>
        <v>-0.44895297193932948</v>
      </c>
      <c r="G9" s="397" t="str">
        <f>$B$10</f>
        <v>GIS</v>
      </c>
      <c r="H9" s="433">
        <f>H8</f>
        <v>48</v>
      </c>
      <c r="I9" s="433" t="s">
        <v>171</v>
      </c>
      <c r="J9" s="433">
        <f>COUNTIFS('CST-Final'!$AZ:$AZ,I9,'CST-Final'!$AY:$AY,G8)</f>
        <v>10</v>
      </c>
      <c r="K9" s="434">
        <f>SUMIFS('CST-Final'!$BC$5:$BC$89,'CST-Final'!$AZ$5:$AZ$89,I9,'CST-Final'!$AY$5:$AY$89,G9)</f>
        <v>420538.4</v>
      </c>
      <c r="L9" s="434">
        <f>IF(OR(G9="EST",G9="ADRYS"),SUMIFS('CST-Final'!$BS$5:$BS$89,'CST-Final'!$AZ$5:$AZ$89,I9,'CST-Final'!$AY$5:$AY$89,G9),SUMIFS('CST-Final'!$BQ$5:$BQ$89,'CST-Final'!$AZ$5:$AZ$89,I9,'CST-Final'!$AY$5:$AY$89,G9))</f>
        <v>763162.45</v>
      </c>
      <c r="M9" s="435">
        <f t="shared" si="0"/>
        <v>-0.44895297193932948</v>
      </c>
      <c r="N9" s="434">
        <f>(K9*Form!$D$10*1.3224)/100000</f>
        <v>460.35611957644807</v>
      </c>
    </row>
    <row r="10" spans="1:15" s="296" customFormat="1" x14ac:dyDescent="0.25">
      <c r="B10" s="428" t="str">
        <f>'CST-Final'!P$3</f>
        <v>GIS</v>
      </c>
      <c r="C10" s="201">
        <f>C8</f>
        <v>48</v>
      </c>
      <c r="D10" s="201">
        <f>+D8</f>
        <v>17</v>
      </c>
      <c r="E10" s="294">
        <f>+E8</f>
        <v>775918.4</v>
      </c>
      <c r="F10" s="295">
        <f t="shared" si="1"/>
        <v>-0.13961912832255868</v>
      </c>
      <c r="G10" s="882" t="s">
        <v>172</v>
      </c>
      <c r="H10" s="883"/>
      <c r="I10" s="884"/>
      <c r="J10" s="392">
        <f>IF(SUM(J8:J9)=J9,0,IF(SUM(J8:J9)=J8,0,SUM(J8:J9)))</f>
        <v>17</v>
      </c>
      <c r="K10" s="436">
        <f>SUM(K8:K9)</f>
        <v>775918.4</v>
      </c>
      <c r="L10" s="436">
        <f>SUM(L8:L9)</f>
        <v>901831.29999999993</v>
      </c>
      <c r="M10" s="437">
        <f t="shared" si="0"/>
        <v>-0.13961912832255868</v>
      </c>
      <c r="N10" s="436">
        <f>(K10*Form!$D$10*1.3224)/100000</f>
        <v>849.3844646100481</v>
      </c>
    </row>
    <row r="11" spans="1:15" hidden="1" x14ac:dyDescent="0.25">
      <c r="C11" s="201">
        <f>H11</f>
        <v>41</v>
      </c>
      <c r="D11" s="201">
        <f>J11+J12</f>
        <v>2</v>
      </c>
      <c r="E11" s="294">
        <f>K11+K12</f>
        <v>106083.6</v>
      </c>
      <c r="F11" s="295" t="str">
        <f t="shared" si="1"/>
        <v/>
      </c>
      <c r="G11" s="397" t="str">
        <f>$B$13</f>
        <v>IASL</v>
      </c>
      <c r="H11" s="433">
        <f>COUNTIFS('CST-Final'!B:B,"&gt;0",IF(G11='CST-Final'!$H$3,'CST-Final'!$H:$H,IF(G11='CST-Final'!$L$3,'CST-Final'!$L:$L,IF(G11='CST-Final'!$P$3,'CST-Final'!$P:$P,IF(G11='CST-Final'!$T$3,'CST-Final'!$T:$T,IF(G11='CST-Final'!$X$3,'CST-Final'!$X:$X,IF(G11='CST-Final'!$AB$3,'CST-Final'!$AB:$AB,IF(G11='CST-Final'!$AF$3,'CST-Final'!$AF:$AF,IF(G11='CST-Final'!$AJ$3,'CST-Final'!$AJ:$AJ,IF(G11='CST-Final'!$AN$3,'CST-Final'!$AN:$AN,IF(G11='CST-Final'!$AR$3,'CST-Final'!$AR:$AR,IF(G11='CST-Final'!$AV$3,'CST-Final'!$AV:$AV,IF(G11='CST-Final'!$AZ$3,'CST-Final'!$AZ:$AZ,1)))))))))))),"&gt;0")+COUNTIFS('CST-Final'!B:B,"&gt;0",IF(G11='CST-Final'!$H$3,'CST-Final'!$H:$H,IF(G11='CST-Final'!$L$3,'CST-Final'!$L:$L,IF(G11='CST-Final'!$P$3,'CST-Final'!$P:$P,IF(G11='CST-Final'!$T$3,'CST-Final'!$T:$T,IF(G11='CST-Final'!$X$3,'CST-Final'!$X:$X,IF(G11='CST-Final'!$AB$3,'CST-Final'!$AB:$AB,IF(G11='CST-Final'!$AF$3,'CST-Final'!$AF:$AF,IF(G11='CST-Final'!$AJ$3,'CST-Final'!$AJ:$AJ,IF(G11='CST-Final'!$AN$3,'CST-Final'!$AN:$AN,IF(G11='CST-Final'!$AR$3,'CST-Final'!$AR:$AR,IF(G11='CST-Final'!$AV$3,'CST-Final'!$AV:$AV,IF(G11='CST-Final'!$AZ$3,'CST-Final'!$AZ:$AZ,1)))))))))))),"TEC Rejected")</f>
        <v>41</v>
      </c>
      <c r="I11" s="433" t="s">
        <v>170</v>
      </c>
      <c r="J11" s="433">
        <f>COUNTIFS('CST-Final'!$AZ:$AZ,I11,'CST-Final'!$AY:$AY,G11)</f>
        <v>0</v>
      </c>
      <c r="K11" s="434">
        <f>SUMIFS('CST-Final'!$BC$5:$BC$89,'CST-Final'!$AZ$5:$AZ$89,I11,'CST-Final'!$AY$5:$AY$89,G11)</f>
        <v>0</v>
      </c>
      <c r="L11" s="434">
        <f>IF(OR(G11="EST",G11="ADRYS"),SUMIFS('CST-Final'!$BS$5:$BS$89,'CST-Final'!$AZ$5:$AZ$89,I11,'CST-Final'!$AY$5:$AY$89,G11),SUMIFS('CST-Final'!$BQ$5:$BQ$89,'CST-Final'!$AZ$5:$AZ$89,I11,'CST-Final'!$AY$5:$AY$89,G11))</f>
        <v>0</v>
      </c>
      <c r="M11" s="435" t="str">
        <f t="shared" si="0"/>
        <v/>
      </c>
      <c r="N11" s="434">
        <f>(K11*Form!$D$10*1.3224)/100000</f>
        <v>0</v>
      </c>
    </row>
    <row r="12" spans="1:15" x14ac:dyDescent="0.25">
      <c r="C12" s="201">
        <f>C11</f>
        <v>41</v>
      </c>
      <c r="D12" s="201">
        <f>D11</f>
        <v>2</v>
      </c>
      <c r="E12" s="294">
        <f>E11</f>
        <v>106083.6</v>
      </c>
      <c r="F12" s="295">
        <f t="shared" si="1"/>
        <v>0.28971909441644028</v>
      </c>
      <c r="G12" s="397" t="str">
        <f>$B$13</f>
        <v>IASL</v>
      </c>
      <c r="H12" s="433">
        <f>H11</f>
        <v>41</v>
      </c>
      <c r="I12" s="433" t="s">
        <v>171</v>
      </c>
      <c r="J12" s="433">
        <f>COUNTIFS('CST-Final'!$AZ:$AZ,I12,'CST-Final'!$AY:$AY,G11)</f>
        <v>2</v>
      </c>
      <c r="K12" s="434">
        <f>SUMIFS('CST-Final'!$BC$5:$BC$89,'CST-Final'!$AZ$5:$AZ$89,I12,'CST-Final'!$AY$5:$AY$89,G12)</f>
        <v>106083.6</v>
      </c>
      <c r="L12" s="434">
        <f>IF(OR(G12="EST",G12="ADRYS"),SUMIFS('CST-Final'!$BS$5:$BS$89,'CST-Final'!$AZ$5:$AZ$89,I12,'CST-Final'!$AY$5:$AY$89,G12),SUMIFS('CST-Final'!$BQ$5:$BQ$89,'CST-Final'!$AZ$5:$AZ$89,I12,'CST-Final'!$AY$5:$AY$89,G12))</f>
        <v>82253.259999999995</v>
      </c>
      <c r="M12" s="435">
        <f>IF(SUM(K12:L12)=0,"",((K12-L12)/L12))</f>
        <v>0.28971909441644028</v>
      </c>
      <c r="N12" s="434">
        <f>(K12*Form!$D$10*1.3224)/100000</f>
        <v>116.12788379539199</v>
      </c>
    </row>
    <row r="13" spans="1:15" s="296" customFormat="1" x14ac:dyDescent="0.25">
      <c r="B13" s="428" t="str">
        <f>'CST-Final'!T$3</f>
        <v>IASL</v>
      </c>
      <c r="C13" s="201">
        <f>C11</f>
        <v>41</v>
      </c>
      <c r="D13" s="201">
        <f>+D11</f>
        <v>2</v>
      </c>
      <c r="E13" s="294">
        <f>+E11</f>
        <v>106083.6</v>
      </c>
      <c r="F13" s="295">
        <f t="shared" si="1"/>
        <v>0.28971909441644028</v>
      </c>
      <c r="G13" s="882" t="s">
        <v>172</v>
      </c>
      <c r="H13" s="883"/>
      <c r="I13" s="884"/>
      <c r="J13" s="392">
        <f>IF(SUM(J11:J12)=J12,0,IF(SUM(J11:J12)=J11,0,SUM(J11:J12)))</f>
        <v>0</v>
      </c>
      <c r="K13" s="436">
        <f>SUM(K11:K12)</f>
        <v>106083.6</v>
      </c>
      <c r="L13" s="436">
        <f>SUM(L11:L12)</f>
        <v>82253.259999999995</v>
      </c>
      <c r="M13" s="437">
        <f t="shared" si="0"/>
        <v>0.28971909441644028</v>
      </c>
      <c r="N13" s="436">
        <f>(K13*Form!$D$10*1.3224)/100000</f>
        <v>116.12788379539199</v>
      </c>
    </row>
    <row r="14" spans="1:15" hidden="1" x14ac:dyDescent="0.25">
      <c r="C14" s="201">
        <f>H14</f>
        <v>0</v>
      </c>
      <c r="D14" s="201">
        <f>J14+J15</f>
        <v>0</v>
      </c>
      <c r="E14" s="294">
        <f>K14+K15</f>
        <v>0</v>
      </c>
      <c r="F14" s="295" t="str">
        <f t="shared" ref="F14:F19" si="2">M14</f>
        <v/>
      </c>
      <c r="G14" s="438" t="str">
        <f>$B$16</f>
        <v>AEC</v>
      </c>
      <c r="H14" s="433">
        <f>COUNTIFS('CST-Final'!B:B,"&gt;0",IF(G14='CST-Final'!$H$3,'CST-Final'!$H:$H,IF(G14='CST-Final'!$L$3,'CST-Final'!$L:$L,IF(G14='CST-Final'!$P$3,'CST-Final'!$P:$P,IF(G14='CST-Final'!$T$3,'CST-Final'!$T:$T,IF(G14='CST-Final'!$X$3,'CST-Final'!$X:$X,IF(G14='CST-Final'!$AB$3,'CST-Final'!$AB:$AB,IF(G14='CST-Final'!$AF$3,'CST-Final'!$AF:$AF,IF(G14='CST-Final'!$AJ$3,'CST-Final'!$AJ:$AJ,IF(G14='CST-Final'!$AN$3,'CST-Final'!$AN:$AN,IF(G14='CST-Final'!$AR$3,'CST-Final'!$AR:$AR,IF(G14='CST-Final'!$AV$3,'CST-Final'!$AV:$AV,IF(G14='CST-Final'!$AZ$3,'CST-Final'!$AZ:$AZ,1)))))))))))),"&gt;0")+COUNTIFS('CST-Final'!B:B,"&gt;0",IF(G14='CST-Final'!$H$3,'CST-Final'!$H:$H,IF(G14='CST-Final'!$L$3,'CST-Final'!$L:$L,IF(G14='CST-Final'!$P$3,'CST-Final'!$P:$P,IF(G14='CST-Final'!$T$3,'CST-Final'!$T:$T,IF(G14='CST-Final'!$X$3,'CST-Final'!$X:$X,IF(G14='CST-Final'!$AB$3,'CST-Final'!$AB:$AB,IF(G14='CST-Final'!$AF$3,'CST-Final'!$AF:$AF,IF(G14='CST-Final'!$AJ$3,'CST-Final'!$AJ:$AJ,IF(G14='CST-Final'!$AN$3,'CST-Final'!$AN:$AN,IF(G14='CST-Final'!$AR$3,'CST-Final'!$AR:$AR,IF(G14='CST-Final'!$AV$3,'CST-Final'!$AV:$AV,IF(G14='CST-Final'!$AZ$3,'CST-Final'!$AZ:$AZ,1)))))))))))),"TEC Rejected")</f>
        <v>0</v>
      </c>
      <c r="I14" s="433" t="s">
        <v>170</v>
      </c>
      <c r="J14" s="433">
        <f>COUNTIFS('CST-Final'!$AZ:$AZ,I14,'CST-Final'!$AY:$AY,G14)</f>
        <v>0</v>
      </c>
      <c r="K14" s="434">
        <f>SUMIFS('CST-Final'!$BC$5:$BC$89,'CST-Final'!$AZ$5:$AZ$89,I14,'CST-Final'!$AY$5:$AY$89,G14)</f>
        <v>0</v>
      </c>
      <c r="L14" s="434">
        <f>IF(OR(G14="EST",G14="ADRYS"),SUMIFS('CST-Final'!$BS$5:$BS$89,'CST-Final'!$AZ$5:$AZ$89,I14,'CST-Final'!$AY$5:$AY$89,G14),SUMIFS('CST-Final'!$BQ$5:$BQ$89,'CST-Final'!$AZ$5:$AZ$89,I14,'CST-Final'!$AY$5:$AY$89,G14))</f>
        <v>0</v>
      </c>
      <c r="M14" s="435" t="str">
        <f t="shared" si="0"/>
        <v/>
      </c>
      <c r="N14" s="434">
        <f>(K14*Form!$D$10*1.3224)/100000</f>
        <v>0</v>
      </c>
    </row>
    <row r="15" spans="1:15" hidden="1" x14ac:dyDescent="0.25">
      <c r="C15" s="201">
        <f>C14</f>
        <v>0</v>
      </c>
      <c r="D15" s="201">
        <f>D14</f>
        <v>0</v>
      </c>
      <c r="E15" s="294">
        <f>E14</f>
        <v>0</v>
      </c>
      <c r="F15" s="295" t="str">
        <f t="shared" si="2"/>
        <v/>
      </c>
      <c r="G15" s="438" t="str">
        <f>$B$16</f>
        <v>AEC</v>
      </c>
      <c r="H15" s="433">
        <f>H14</f>
        <v>0</v>
      </c>
      <c r="I15" s="433" t="s">
        <v>171</v>
      </c>
      <c r="J15" s="562">
        <f>COUNTIFS('CST-Final'!$AZ:$AZ,I15,'CST-Final'!$AY:$AY,G14)</f>
        <v>0</v>
      </c>
      <c r="K15" s="436">
        <f>SUMIFS('CST-Final'!$BC$5:$BC$89,'CST-Final'!$AZ$5:$AZ$89,I15,'CST-Final'!$AY$5:$AY$89,G15)</f>
        <v>0</v>
      </c>
      <c r="L15" s="436">
        <f>IF(OR(G15="EST",G15="ADRYS"),SUMIFS('CST-Final'!$BS$5:$BS$89,'CST-Final'!$AZ$5:$AZ$89,I15,'CST-Final'!$AY$5:$AY$89,G15),SUMIFS('CST-Final'!$BQ$5:$BQ$89,'CST-Final'!$AZ$5:$AZ$89,I15,'CST-Final'!$AY$5:$AY$89,G15))</f>
        <v>0</v>
      </c>
      <c r="M15" s="437" t="str">
        <f t="shared" si="0"/>
        <v/>
      </c>
      <c r="N15" s="436">
        <f>(K15*Form!$D$10*1.3224)/100000</f>
        <v>0</v>
      </c>
    </row>
    <row r="16" spans="1:15" s="296" customFormat="1" hidden="1" x14ac:dyDescent="0.25">
      <c r="B16" s="428" t="str">
        <f>'CST-Final'!X$3</f>
        <v>AEC</v>
      </c>
      <c r="C16" s="201">
        <f>C14</f>
        <v>0</v>
      </c>
      <c r="D16" s="201">
        <f>+D14</f>
        <v>0</v>
      </c>
      <c r="E16" s="294">
        <f>+E14</f>
        <v>0</v>
      </c>
      <c r="F16" s="295" t="str">
        <f t="shared" si="2"/>
        <v/>
      </c>
      <c r="G16" s="882" t="s">
        <v>172</v>
      </c>
      <c r="H16" s="883"/>
      <c r="I16" s="884"/>
      <c r="J16" s="392">
        <f>IF(SUM(J14:J15)=J15,0,IF(SUM(J14:J15)=J14,0,SUM(J14:J15)))</f>
        <v>0</v>
      </c>
      <c r="K16" s="436">
        <f>SUM(K14:K15)</f>
        <v>0</v>
      </c>
      <c r="L16" s="436">
        <f>SUM(L14:L15)</f>
        <v>0</v>
      </c>
      <c r="M16" s="437" t="str">
        <f t="shared" si="0"/>
        <v/>
      </c>
      <c r="N16" s="436">
        <f>(K16*Form!$D$10*1.3224)/100000</f>
        <v>0</v>
      </c>
    </row>
    <row r="17" spans="2:14" x14ac:dyDescent="0.25">
      <c r="C17" s="201">
        <f>H17</f>
        <v>37</v>
      </c>
      <c r="D17" s="201">
        <f>J17+J18</f>
        <v>30</v>
      </c>
      <c r="E17" s="294">
        <f>K17+K18</f>
        <v>1086075</v>
      </c>
      <c r="F17" s="295">
        <f t="shared" si="2"/>
        <v>-0.97306836205928893</v>
      </c>
      <c r="G17" s="397" t="str">
        <f>$B$19</f>
        <v>ADRYS</v>
      </c>
      <c r="H17" s="433">
        <f>COUNTIFS('CST-Final'!B:B,"&gt;0",IF(G17='CST-Final'!$H$3,'CST-Final'!$H:$H,IF(G17='CST-Final'!$L$3,'CST-Final'!$L:$L,IF(G17='CST-Final'!$P$3,'CST-Final'!$P:$P,IF(G17='CST-Final'!$T$3,'CST-Final'!$T:$T,IF(G17='CST-Final'!$X$3,'CST-Final'!$X:$X,IF(G17='CST-Final'!$AB$3,'CST-Final'!$AB:$AB,IF(G17='CST-Final'!$AF$3,'CST-Final'!$AF:$AF,IF(G17='CST-Final'!$AJ$3,'CST-Final'!$AJ:$AJ,IF(G17='CST-Final'!$AN$3,'CST-Final'!$AN:$AN,IF(G17='CST-Final'!$AR$3,'CST-Final'!$AR:$AR,IF(G17='CST-Final'!$AV$3,'CST-Final'!$AV:$AV,IF(G17='CST-Final'!$AZ$3,'CST-Final'!$AZ:$AZ,1)))))))))))),"&gt;0")+COUNTIFS('CST-Final'!B:B,"&gt;0",IF(G17='CST-Final'!$H$3,'CST-Final'!$H:$H,IF(G17='CST-Final'!$L$3,'CST-Final'!$L:$L,IF(G17='CST-Final'!$P$3,'CST-Final'!$P:$P,IF(G17='CST-Final'!$T$3,'CST-Final'!$T:$T,IF(G17='CST-Final'!$X$3,'CST-Final'!$X:$X,IF(G17='CST-Final'!$AB$3,'CST-Final'!$AB:$AB,IF(G17='CST-Final'!$AF$3,'CST-Final'!$AF:$AF,IF(G17='CST-Final'!$AJ$3,'CST-Final'!$AJ:$AJ,IF(G17='CST-Final'!$AN$3,'CST-Final'!$AN:$AN,IF(G17='CST-Final'!$AR$3,'CST-Final'!$AR:$AR,IF(G17='CST-Final'!$AV$3,'CST-Final'!$AV:$AV,IF(G17='CST-Final'!$AZ$3,'CST-Final'!$AZ:$AZ,1)))))))))))),"TEC Rejected")</f>
        <v>37</v>
      </c>
      <c r="I17" s="433" t="s">
        <v>170</v>
      </c>
      <c r="J17" s="433">
        <f>COUNTIFS('CST-Final'!$AZ:$AZ,I17,'CST-Final'!$AY:$AY,G17)</f>
        <v>1</v>
      </c>
      <c r="K17" s="434">
        <f>SUMIFS('CST-Final'!$BC$5:$BC$89,'CST-Final'!$AZ$5:$AZ$89,I17,'CST-Final'!$AY$5:$AY$89,G17)</f>
        <v>11295</v>
      </c>
      <c r="L17" s="434">
        <f>(IF(OR(G17="EST",G17="ADRYS"),SUMIFS('CST-Final'!$BS$5:$BS$89,'CST-Final'!$AZ$5:$AZ$89,I17,'CST-Final'!$AY$5:$AY$89,G17),SUMIFS('CST-Final'!$BQ$5:$BQ$89,'CST-Final'!$AZ$5:$AZ$89,I17,'CST-Final'!$AY$5:$AY$89,G17)))/1.18</f>
        <v>419395.21186440677</v>
      </c>
      <c r="M17" s="435">
        <f t="shared" si="0"/>
        <v>-0.97306836205928893</v>
      </c>
      <c r="N17" s="434">
        <f>ROUND((K17*1.18)/100000,2)</f>
        <v>0.13</v>
      </c>
    </row>
    <row r="18" spans="2:14" x14ac:dyDescent="0.25">
      <c r="C18" s="201">
        <f>C17</f>
        <v>37</v>
      </c>
      <c r="D18" s="201">
        <f>D17</f>
        <v>30</v>
      </c>
      <c r="E18" s="294">
        <f>E17</f>
        <v>1086075</v>
      </c>
      <c r="F18" s="295">
        <f t="shared" si="2"/>
        <v>-0.86668726539638952</v>
      </c>
      <c r="G18" s="397" t="str">
        <f>$B$19</f>
        <v>ADRYS</v>
      </c>
      <c r="H18" s="433">
        <f>H17</f>
        <v>37</v>
      </c>
      <c r="I18" s="433" t="s">
        <v>171</v>
      </c>
      <c r="J18" s="433">
        <f>COUNTIFS('CST-Final'!$AZ:$AZ,I18,'CST-Final'!$AY:$AY,G17)</f>
        <v>29</v>
      </c>
      <c r="K18" s="434">
        <f>SUMIFS('CST-Final'!$BC$5:$BC$89,'CST-Final'!$AZ$5:$AZ$89,I18,'CST-Final'!$AY$5:$AY$89,G18)</f>
        <v>1074780</v>
      </c>
      <c r="L18" s="434">
        <f>(IF(OR(G18="EST",G18="ADRYS"),SUMIFS('CST-Final'!$BS$5:$BS$89,'CST-Final'!$AZ$5:$AZ$89,I18,'CST-Final'!$AY$5:$AY$89,G18),SUMIFS('CST-Final'!$BQ$5:$BQ$89,'CST-Final'!$AZ$5:$AZ$89,I18,'CST-Final'!$AY$5:$AY$89,G18)))/1.18</f>
        <v>8062095.5169491535</v>
      </c>
      <c r="M18" s="435">
        <f t="shared" si="0"/>
        <v>-0.86668726539638952</v>
      </c>
      <c r="N18" s="434">
        <f>ROUND((K18*1.18)/100000,2)</f>
        <v>12.68</v>
      </c>
    </row>
    <row r="19" spans="2:14" s="296" customFormat="1" x14ac:dyDescent="0.25">
      <c r="B19" s="428" t="str">
        <f>'CST-Final'!AB$3</f>
        <v>ADRYS</v>
      </c>
      <c r="C19" s="201">
        <f>C17</f>
        <v>37</v>
      </c>
      <c r="D19" s="201">
        <f>+D17</f>
        <v>30</v>
      </c>
      <c r="E19" s="294">
        <f>+E17</f>
        <v>1086075</v>
      </c>
      <c r="F19" s="295">
        <f t="shared" si="2"/>
        <v>-0.87194762869805953</v>
      </c>
      <c r="G19" s="882" t="s">
        <v>172</v>
      </c>
      <c r="H19" s="883"/>
      <c r="I19" s="884"/>
      <c r="J19" s="392">
        <f>IF(SUM(J17:J18)=J18,0,IF(SUM(J17:J18)=J17,0,SUM(J17:J18)))</f>
        <v>30</v>
      </c>
      <c r="K19" s="436">
        <f>SUM(K17:K18)</f>
        <v>1086075</v>
      </c>
      <c r="L19" s="436">
        <f>SUM(L17:L18)</f>
        <v>8481490.7288135607</v>
      </c>
      <c r="M19" s="437">
        <f t="shared" si="0"/>
        <v>-0.87194762869805953</v>
      </c>
      <c r="N19" s="436">
        <f>ROUND((K19*1.18)/100000,2)</f>
        <v>12.82</v>
      </c>
    </row>
    <row r="20" spans="2:14" hidden="1" x14ac:dyDescent="0.25">
      <c r="C20" s="201">
        <f>H20</f>
        <v>0</v>
      </c>
      <c r="D20" s="201">
        <f>J20+J21</f>
        <v>0</v>
      </c>
      <c r="E20" s="294">
        <f>K20+K21</f>
        <v>0</v>
      </c>
      <c r="F20" s="295" t="str">
        <f t="shared" si="1"/>
        <v/>
      </c>
      <c r="G20" s="397" t="str">
        <f>$B$22</f>
        <v>AZP</v>
      </c>
      <c r="H20" s="433">
        <f>COUNTIFS('CST-Final'!B:B,"&gt;0",IF(G20='CST-Final'!$H$3,'CST-Final'!$H:$H,IF(G20='CST-Final'!$L$3,'CST-Final'!$L:$L,IF(G20='CST-Final'!$P$3,'CST-Final'!$P:$P,IF(G20='CST-Final'!$T$3,'CST-Final'!$T:$T,IF(G20='CST-Final'!$X$3,'CST-Final'!$X:$X,IF(G20='CST-Final'!$AB$3,'CST-Final'!$AB:$AB,IF(G20='CST-Final'!$AF$3,'CST-Final'!$AF:$AF,IF(G20='CST-Final'!$AJ$3,'CST-Final'!$AJ:$AJ,IF(G20='CST-Final'!$AN$3,'CST-Final'!$AN:$AN,IF(G20='CST-Final'!$AR$3,'CST-Final'!$AR:$AR,IF(G20='CST-Final'!$AV$3,'CST-Final'!$AV:$AV,IF(G20='CST-Final'!$AZ$3,'CST-Final'!$AZ:$AZ,1)))))))))))),"&gt;0")+COUNTIFS('CST-Final'!B:B,"&gt;0",IF(G20='CST-Final'!$H$3,'CST-Final'!$H:$H,IF(G20='CST-Final'!$L$3,'CST-Final'!$L:$L,IF(G20='CST-Final'!$P$3,'CST-Final'!$P:$P,IF(G20='CST-Final'!$T$3,'CST-Final'!$T:$T,IF(G20='CST-Final'!$X$3,'CST-Final'!$X:$X,IF(G20='CST-Final'!$AB$3,'CST-Final'!$AB:$AB,IF(G20='CST-Final'!$AF$3,'CST-Final'!$AF:$AF,IF(G20='CST-Final'!$AJ$3,'CST-Final'!$AJ:$AJ,IF(G20='CST-Final'!$AN$3,'CST-Final'!$AN:$AN,IF(G20='CST-Final'!$AR$3,'CST-Final'!$AR:$AR,IF(G20='CST-Final'!$AV$3,'CST-Final'!$AV:$AV,IF(G20='CST-Final'!$AZ$3,'CST-Final'!$AZ:$AZ,1)))))))))))),"TEC Rejected")</f>
        <v>0</v>
      </c>
      <c r="I20" s="433" t="s">
        <v>170</v>
      </c>
      <c r="J20" s="433">
        <f>COUNTIFS('CST-Final'!$AZ:$AZ,I20,'CST-Final'!$AY:$AY,G20)</f>
        <v>0</v>
      </c>
      <c r="K20" s="434">
        <f>SUMIFS('CST-Final'!$BC$5:$BC$89,'CST-Final'!$AZ$5:$AZ$89,I20,'CST-Final'!$AY$5:$AY$89,G20)</f>
        <v>0</v>
      </c>
      <c r="L20" s="434">
        <f>IF(OR(G20="EST",G20="ADRYS"),SUMIFS('CST-Final'!$BS$5:$BS$89,'CST-Final'!$AZ$5:$AZ$89,I20,'CST-Final'!$AY$5:$AY$89,G20),SUMIFS('CST-Final'!$BQ$5:$BQ$89,'CST-Final'!$AZ$5:$AZ$89,I20,'CST-Final'!$AY$5:$AY$89,G20))</f>
        <v>0</v>
      </c>
      <c r="M20" s="435" t="str">
        <f t="shared" si="0"/>
        <v/>
      </c>
      <c r="N20" s="434">
        <f>(K20*Form!$D$10*1.3224)/100000</f>
        <v>0</v>
      </c>
    </row>
    <row r="21" spans="2:14" hidden="1" x14ac:dyDescent="0.25">
      <c r="C21" s="201">
        <f>C20</f>
        <v>0</v>
      </c>
      <c r="D21" s="201">
        <f>D20</f>
        <v>0</v>
      </c>
      <c r="E21" s="294">
        <f>E20</f>
        <v>0</v>
      </c>
      <c r="F21" s="295" t="str">
        <f t="shared" si="1"/>
        <v/>
      </c>
      <c r="G21" s="397" t="str">
        <f>$B$22</f>
        <v>AZP</v>
      </c>
      <c r="H21" s="433">
        <f>H20</f>
        <v>0</v>
      </c>
      <c r="I21" s="433" t="s">
        <v>171</v>
      </c>
      <c r="J21" s="562">
        <f>COUNTIFS('CST-Final'!$AZ:$AZ,I21,'CST-Final'!$AY:$AY,G20)</f>
        <v>0</v>
      </c>
      <c r="K21" s="436">
        <f>SUMIFS('CST-Final'!$BC$5:$BC$89,'CST-Final'!$AZ$5:$AZ$89,I21,'CST-Final'!$AY$5:$AY$89,G21)</f>
        <v>0</v>
      </c>
      <c r="L21" s="436">
        <f>IF(OR(G21="EST",G21="ADRYS"),SUMIFS('CST-Final'!$BS$5:$BS$89,'CST-Final'!$AZ$5:$AZ$89,I21,'CST-Final'!$AY$5:$AY$89,G21),SUMIFS('CST-Final'!$BQ$5:$BQ$89,'CST-Final'!$AZ$5:$AZ$89,I21,'CST-Final'!$AY$5:$AY$89,G21))</f>
        <v>0</v>
      </c>
      <c r="M21" s="437" t="str">
        <f t="shared" si="0"/>
        <v/>
      </c>
      <c r="N21" s="436">
        <f>(K21*Form!$D$10*1.3224)/100000</f>
        <v>0</v>
      </c>
    </row>
    <row r="22" spans="2:14" s="296" customFormat="1" hidden="1" x14ac:dyDescent="0.25">
      <c r="B22" s="428" t="str">
        <f>'CST-Final'!AF$3</f>
        <v>AZP</v>
      </c>
      <c r="C22" s="201">
        <f>C20</f>
        <v>0</v>
      </c>
      <c r="D22" s="201">
        <f>+D20</f>
        <v>0</v>
      </c>
      <c r="E22" s="294">
        <f>+E20</f>
        <v>0</v>
      </c>
      <c r="F22" s="295" t="str">
        <f t="shared" si="1"/>
        <v/>
      </c>
      <c r="G22" s="882" t="s">
        <v>172</v>
      </c>
      <c r="H22" s="883"/>
      <c r="I22" s="884"/>
      <c r="J22" s="392">
        <f>IF(SUM(J20:J21)=J21,0,IF(SUM(J20:J21)=J20,0,SUM(J20:J21)))</f>
        <v>0</v>
      </c>
      <c r="K22" s="436">
        <f>SUM(K20:K21)</f>
        <v>0</v>
      </c>
      <c r="L22" s="436">
        <f>SUM(L20:L21)</f>
        <v>0</v>
      </c>
      <c r="M22" s="437" t="str">
        <f t="shared" si="0"/>
        <v/>
      </c>
      <c r="N22" s="436">
        <f>(K22*Form!$D$10*1.3224)/100000</f>
        <v>0</v>
      </c>
    </row>
    <row r="23" spans="2:14" hidden="1" x14ac:dyDescent="0.25">
      <c r="C23" s="201">
        <f>H23</f>
        <v>7</v>
      </c>
      <c r="D23" s="201">
        <f>J23+J24</f>
        <v>1</v>
      </c>
      <c r="E23" s="294">
        <f>K23+K24</f>
        <v>76360</v>
      </c>
      <c r="F23" s="295" t="str">
        <f t="shared" si="1"/>
        <v/>
      </c>
      <c r="G23" s="397" t="str">
        <f>$B$25</f>
        <v>EST</v>
      </c>
      <c r="H23" s="433">
        <f>COUNTIFS('CST-Final'!B:B,"&gt;0",IF(G23='CST-Final'!$H$3,'CST-Final'!$H:$H,IF(G23='CST-Final'!$L$3,'CST-Final'!$L:$L,IF(G23='CST-Final'!$P$3,'CST-Final'!$P:$P,IF(G23='CST-Final'!$T$3,'CST-Final'!$T:$T,IF(G23='CST-Final'!$X$3,'CST-Final'!$X:$X,IF(G23='CST-Final'!$AB$3,'CST-Final'!$AB:$AB,IF(G23='CST-Final'!$AF$3,'CST-Final'!$AF:$AF,IF(G23='CST-Final'!$AJ$3,'CST-Final'!$AJ:$AJ,IF(G23='CST-Final'!$AN$3,'CST-Final'!$AN:$AN,IF(G23='CST-Final'!$AR$3,'CST-Final'!$AR:$AR,IF(G23='CST-Final'!$AV$3,'CST-Final'!$AV:$AV,IF(G23='CST-Final'!$AZ$3,'CST-Final'!$AZ:$AZ,1)))))))))))),"&gt;0")+COUNTIFS('CST-Final'!B:B,"&gt;0",IF(G23='CST-Final'!$H$3,'CST-Final'!$H:$H,IF(G23='CST-Final'!$L$3,'CST-Final'!$L:$L,IF(G23='CST-Final'!$P$3,'CST-Final'!$P:$P,IF(G23='CST-Final'!$T$3,'CST-Final'!$T:$T,IF(G23='CST-Final'!$X$3,'CST-Final'!$X:$X,IF(G23='CST-Final'!$AB$3,'CST-Final'!$AB:$AB,IF(G23='CST-Final'!$AF$3,'CST-Final'!$AF:$AF,IF(G23='CST-Final'!$AJ$3,'CST-Final'!$AJ:$AJ,IF(G23='CST-Final'!$AN$3,'CST-Final'!$AN:$AN,IF(G23='CST-Final'!$AR$3,'CST-Final'!$AR:$AR,IF(G23='CST-Final'!$AV$3,'CST-Final'!$AV:$AV,IF(G23='CST-Final'!$AZ$3,'CST-Final'!$AZ:$AZ,1)))))))))))),"TEC Rejected")</f>
        <v>7</v>
      </c>
      <c r="I23" s="433" t="s">
        <v>170</v>
      </c>
      <c r="J23" s="433">
        <f>COUNTIFS('CST-Final'!$AZ:$AZ,I23,'CST-Final'!$AY:$AY,G23)</f>
        <v>0</v>
      </c>
      <c r="K23" s="434">
        <f>SUMIFS('CST-Final'!$BC$5:$BC$89,'CST-Final'!$AZ$5:$AZ$89,I23,'CST-Final'!$AY$5:$AY$89,G23)</f>
        <v>0</v>
      </c>
      <c r="L23" s="434">
        <f>(IF(OR(G23="EST",G23="ADRYS"),SUMIFS('CST-Final'!$BS$5:$BS$89,'CST-Final'!$AZ$5:$AZ$89,I23,'CST-Final'!$AY$5:$AY$89,G23),SUMIFS('CST-Final'!$BQ$5:$BQ$89,'CST-Final'!$AZ$5:$AZ$89,I23,'CST-Final'!$AY$5:$AY$89,G23)))/1.18</f>
        <v>0</v>
      </c>
      <c r="M23" s="435" t="str">
        <f t="shared" si="0"/>
        <v/>
      </c>
      <c r="N23" s="434">
        <f>ROUND((K23*1.18)/100000,2)</f>
        <v>0</v>
      </c>
    </row>
    <row r="24" spans="2:14" x14ac:dyDescent="0.25">
      <c r="C24" s="201">
        <f>C23</f>
        <v>7</v>
      </c>
      <c r="D24" s="201">
        <f>D23</f>
        <v>1</v>
      </c>
      <c r="E24" s="294">
        <f>E23</f>
        <v>76360</v>
      </c>
      <c r="F24" s="295">
        <f t="shared" si="1"/>
        <v>-0.61953491655802251</v>
      </c>
      <c r="G24" s="397" t="str">
        <f>$B$25</f>
        <v>EST</v>
      </c>
      <c r="H24" s="433">
        <f>H23</f>
        <v>7</v>
      </c>
      <c r="I24" s="433" t="s">
        <v>171</v>
      </c>
      <c r="J24" s="433">
        <f>COUNTIFS('CST-Final'!$AZ:$AZ,I24,'CST-Final'!$AY:$AY,G23)</f>
        <v>1</v>
      </c>
      <c r="K24" s="434">
        <f>SUMIFS('CST-Final'!$BC$5:$BC$89,'CST-Final'!$AZ$5:$AZ$89,I24,'CST-Final'!$AY$5:$AY$89,G24)</f>
        <v>76360</v>
      </c>
      <c r="L24" s="434">
        <f>(IF(OR(G24="EST",G24="ADRYS"),SUMIFS('CST-Final'!$BS$5:$BS$89,'CST-Final'!$AZ$5:$AZ$89,I24,'CST-Final'!$AY$5:$AY$89,G24),SUMIFS('CST-Final'!$BQ$5:$BQ$89,'CST-Final'!$AZ$5:$AZ$89,I24,'CST-Final'!$AY$5:$AY$89,G24)))/1.18</f>
        <v>200701.72881355934</v>
      </c>
      <c r="M24" s="435">
        <f t="shared" si="0"/>
        <v>-0.61953491655802251</v>
      </c>
      <c r="N24" s="434">
        <f>ROUND((K24*1.18)/100000,2)</f>
        <v>0.9</v>
      </c>
    </row>
    <row r="25" spans="2:14" s="296" customFormat="1" x14ac:dyDescent="0.25">
      <c r="B25" s="428" t="str">
        <f>'CST-Final'!AJ$3</f>
        <v>EST</v>
      </c>
      <c r="C25" s="201">
        <f>C23</f>
        <v>7</v>
      </c>
      <c r="D25" s="201">
        <f>+D23</f>
        <v>1</v>
      </c>
      <c r="E25" s="294">
        <f>+E23</f>
        <v>76360</v>
      </c>
      <c r="F25" s="295">
        <f t="shared" si="1"/>
        <v>-0.61953491655802251</v>
      </c>
      <c r="G25" s="882" t="s">
        <v>172</v>
      </c>
      <c r="H25" s="883"/>
      <c r="I25" s="884"/>
      <c r="J25" s="392">
        <f>IF(SUM(J23:J24)=J24,0,IF(SUM(J23:J24)=J23,0,SUM(J23:J24)))</f>
        <v>0</v>
      </c>
      <c r="K25" s="436">
        <f>SUM(K23:K24)</f>
        <v>76360</v>
      </c>
      <c r="L25" s="436">
        <f>SUM(L23:L24)</f>
        <v>200701.72881355934</v>
      </c>
      <c r="M25" s="437">
        <f t="shared" si="0"/>
        <v>-0.61953491655802251</v>
      </c>
      <c r="N25" s="436">
        <f>ROUND((K25*1.18)/100000,2)</f>
        <v>0.9</v>
      </c>
    </row>
    <row r="26" spans="2:14" hidden="1" x14ac:dyDescent="0.25">
      <c r="C26" s="201">
        <f>H26</f>
        <v>0</v>
      </c>
      <c r="D26" s="201">
        <f>J26+J27</f>
        <v>0</v>
      </c>
      <c r="E26" s="294">
        <f>K26+K27</f>
        <v>0</v>
      </c>
      <c r="F26" s="295" t="str">
        <f>M26</f>
        <v/>
      </c>
      <c r="G26" s="397" t="str">
        <f>$B$28</f>
        <v>NASC</v>
      </c>
      <c r="H26" s="433">
        <f>COUNTIFS('CST-Final'!B:B,"&gt;0",IF(G26='CST-Final'!$H$3,'CST-Final'!$H:$H,IF(G26='CST-Final'!$L$3,'CST-Final'!$L:$L,IF(G26='CST-Final'!$P$3,'CST-Final'!$P:$P,IF(G26='CST-Final'!$T$3,'CST-Final'!$T:$T,IF(G26='CST-Final'!$X$3,'CST-Final'!$X:$X,IF(G26='CST-Final'!$AB$3,'CST-Final'!$AB:$AB,IF(G26='CST-Final'!$AF$3,'CST-Final'!$AF:$AF,IF(G26='CST-Final'!$AJ$3,'CST-Final'!$AJ:$AJ,IF(G26='CST-Final'!$AN$3,'CST-Final'!$AN:$AN,IF(G26='CST-Final'!$AR$3,'CST-Final'!$AR:$AR,IF(G26='CST-Final'!$AV$3,'CST-Final'!$AV:$AV,IF(G26='CST-Final'!$AZ$3,'CST-Final'!$AZ:$AZ,1)))))))))))),"&gt;0")+COUNTIFS('CST-Final'!B:B,"&gt;0",IF(G26='CST-Final'!$H$3,'CST-Final'!$H:$H,IF(G26='CST-Final'!$L$3,'CST-Final'!$L:$L,IF(G26='CST-Final'!$P$3,'CST-Final'!$P:$P,IF(G26='CST-Final'!$T$3,'CST-Final'!$T:$T,IF(G26='CST-Final'!$X$3,'CST-Final'!$X:$X,IF(G26='CST-Final'!$AB$3,'CST-Final'!$AB:$AB,IF(G26='CST-Final'!$AF$3,'CST-Final'!$AF:$AF,IF(G26='CST-Final'!$AJ$3,'CST-Final'!$AJ:$AJ,IF(G26='CST-Final'!$AN$3,'CST-Final'!$AN:$AN,IF(G26='CST-Final'!$AR$3,'CST-Final'!$AR:$AR,IF(G26='CST-Final'!$AV$3,'CST-Final'!$AV:$AV,IF(G26='CST-Final'!$AZ$3,'CST-Final'!$AZ:$AZ,1)))))))))))),"TEC Rejected")</f>
        <v>0</v>
      </c>
      <c r="I26" s="433" t="s">
        <v>170</v>
      </c>
      <c r="J26" s="433">
        <f>COUNTIFS('CST-Final'!$AZ:$AZ,I26,'CST-Final'!$AY:$AY,G26)</f>
        <v>0</v>
      </c>
      <c r="K26" s="434">
        <f>SUMIFS('CST-Final'!$BC$5:$BC$89,'CST-Final'!$AZ$5:$AZ$89,I26,'CST-Final'!$AY$5:$AY$89,G26)</f>
        <v>0</v>
      </c>
      <c r="L26" s="434">
        <f>IF(OR(G26="EST",G26="ADRYS"),SUMIFS('CST-Final'!$BS$5:$BS$89,'CST-Final'!$AZ$5:$AZ$89,I26,'CST-Final'!$AY$5:$AY$89,G26),SUMIFS('CST-Final'!$BQ$5:$BQ$89,'CST-Final'!$AZ$5:$AZ$89,I26,'CST-Final'!$AY$5:$AY$89,G26))</f>
        <v>0</v>
      </c>
      <c r="M26" s="435" t="str">
        <f t="shared" si="0"/>
        <v/>
      </c>
      <c r="N26" s="434">
        <f>(K26*Form!$D$10*1.3224)/100000</f>
        <v>0</v>
      </c>
    </row>
    <row r="27" spans="2:14" hidden="1" x14ac:dyDescent="0.25">
      <c r="C27" s="201">
        <f>C26</f>
        <v>0</v>
      </c>
      <c r="D27" s="201">
        <f>D26</f>
        <v>0</v>
      </c>
      <c r="E27" s="294">
        <f>E26</f>
        <v>0</v>
      </c>
      <c r="F27" s="295" t="str">
        <f>M27</f>
        <v/>
      </c>
      <c r="G27" s="397" t="str">
        <f>$B$28</f>
        <v>NASC</v>
      </c>
      <c r="H27" s="433">
        <f>H26</f>
        <v>0</v>
      </c>
      <c r="I27" s="433" t="s">
        <v>171</v>
      </c>
      <c r="J27" s="562">
        <f>COUNTIFS('CST-Final'!$AZ:$AZ,I27,'CST-Final'!$AY:$AY,G26)</f>
        <v>0</v>
      </c>
      <c r="K27" s="436">
        <f>SUMIFS('CST-Final'!$BC$5:$BC$89,'CST-Final'!$AZ$5:$AZ$89,I27,'CST-Final'!$AY$5:$AY$89,G27)</f>
        <v>0</v>
      </c>
      <c r="L27" s="436">
        <f>IF(OR(G27="EST",G27="ADRYS"),SUMIFS('CST-Final'!$BS$5:$BS$89,'CST-Final'!$AZ$5:$AZ$89,I27,'CST-Final'!$AY$5:$AY$89,G27),SUMIFS('CST-Final'!$BQ$5:$BQ$89,'CST-Final'!$AZ$5:$AZ$89,I27,'CST-Final'!$AY$5:$AY$89,G27))</f>
        <v>0</v>
      </c>
      <c r="M27" s="437" t="str">
        <f t="shared" si="0"/>
        <v/>
      </c>
      <c r="N27" s="436">
        <f>(K27*Form!$D$10*1.3224)/100000</f>
        <v>0</v>
      </c>
    </row>
    <row r="28" spans="2:14" s="296" customFormat="1" hidden="1" x14ac:dyDescent="0.25">
      <c r="B28" s="428" t="str">
        <f>'CST-Final'!AN$3</f>
        <v>NASC</v>
      </c>
      <c r="C28" s="201">
        <f>C26</f>
        <v>0</v>
      </c>
      <c r="D28" s="201">
        <f>+D26</f>
        <v>0</v>
      </c>
      <c r="E28" s="294">
        <f>+E26</f>
        <v>0</v>
      </c>
      <c r="F28" s="295" t="str">
        <f>M28</f>
        <v/>
      </c>
      <c r="G28" s="882" t="s">
        <v>172</v>
      </c>
      <c r="H28" s="883"/>
      <c r="I28" s="884"/>
      <c r="J28" s="392">
        <f>IF(SUM(J26:J27)=J27,0,IF(SUM(J26:J27)=J26,0,SUM(J26:J27)))</f>
        <v>0</v>
      </c>
      <c r="K28" s="436">
        <f>SUM(K26:K27)</f>
        <v>0</v>
      </c>
      <c r="L28" s="436">
        <f>SUM(L26:L27)</f>
        <v>0</v>
      </c>
      <c r="M28" s="437" t="str">
        <f t="shared" si="0"/>
        <v/>
      </c>
      <c r="N28" s="436">
        <f>(K28*Form!$D$10*1.3224)/100000</f>
        <v>0</v>
      </c>
    </row>
    <row r="29" spans="2:14" hidden="1" x14ac:dyDescent="0.25">
      <c r="C29" s="201">
        <f>H29</f>
        <v>0</v>
      </c>
      <c r="D29" s="201">
        <f>J29+J30</f>
        <v>0</v>
      </c>
      <c r="E29" s="294">
        <f>K29+K30</f>
        <v>0</v>
      </c>
      <c r="F29" s="295" t="str">
        <f t="shared" si="1"/>
        <v/>
      </c>
      <c r="G29" s="438" t="str">
        <f>$B$31</f>
        <v>ROE</v>
      </c>
      <c r="H29" s="433">
        <f>COUNTIFS('CST-Final'!B:B,"&gt;0",IF(G29='CST-Final'!$H$3,'CST-Final'!$H:$H,IF(G29='CST-Final'!$L$3,'CST-Final'!$L:$L,IF(G29='CST-Final'!$P$3,'CST-Final'!$P:$P,IF(G29='CST-Final'!$T$3,'CST-Final'!$T:$T,IF(G29='CST-Final'!$X$3,'CST-Final'!$X:$X,IF(G29='CST-Final'!$AB$3,'CST-Final'!$AB:$AB,IF(G29='CST-Final'!$AF$3,'CST-Final'!$AF:$AF,IF(G29='CST-Final'!$AJ$3,'CST-Final'!$AJ:$AJ,IF(G29='CST-Final'!$AN$3,'CST-Final'!$AN:$AN,IF(G29='CST-Final'!$AR$3,'CST-Final'!$AR:$AR,IF(G29='CST-Final'!$AV$3,'CST-Final'!$AV:$AV,IF(G29='CST-Final'!$AZ$3,'CST-Final'!$AZ:$AZ,1)))))))))))),"&gt;0")+COUNTIFS('CST-Final'!B:B,"&gt;0",IF(G29='CST-Final'!$H$3,'CST-Final'!$H:$H,IF(G29='CST-Final'!$L$3,'CST-Final'!$L:$L,IF(G29='CST-Final'!$P$3,'CST-Final'!$P:$P,IF(G29='CST-Final'!$T$3,'CST-Final'!$T:$T,IF(G29='CST-Final'!$X$3,'CST-Final'!$X:$X,IF(G29='CST-Final'!$AB$3,'CST-Final'!$AB:$AB,IF(G29='CST-Final'!$AF$3,'CST-Final'!$AF:$AF,IF(G29='CST-Final'!$AJ$3,'CST-Final'!$AJ:$AJ,IF(G29='CST-Final'!$AN$3,'CST-Final'!$AN:$AN,IF(G29='CST-Final'!$AR$3,'CST-Final'!$AR:$AR,IF(G29='CST-Final'!$AV$3,'CST-Final'!$AV:$AV,IF(G29='CST-Final'!$AZ$3,'CST-Final'!$AZ:$AZ,1)))))))))))),"TEC Rejected")</f>
        <v>0</v>
      </c>
      <c r="I29" s="433" t="s">
        <v>170</v>
      </c>
      <c r="J29" s="433">
        <f>COUNTIFS('CST-Final'!$AZ:$AZ,I29,'CST-Final'!$AY:$AY,G29)</f>
        <v>0</v>
      </c>
      <c r="K29" s="434">
        <f>SUMIFS('CST-Final'!$BC$5:$BC$89,'CST-Final'!$AZ$5:$AZ$89,I29,'CST-Final'!$AY$5:$AY$89,G29)</f>
        <v>0</v>
      </c>
      <c r="L29" s="434">
        <f>IF(OR(G29="EST",G29="ADRYS"),SUMIFS('CST-Final'!$BS$5:$BS$89,'CST-Final'!$AZ$5:$AZ$89,I29,'CST-Final'!$AY$5:$AY$89,G29),SUMIFS('CST-Final'!$BQ$5:$BQ$89,'CST-Final'!$AZ$5:$AZ$89,I29,'CST-Final'!$AY$5:$AY$89,G29))</f>
        <v>0</v>
      </c>
      <c r="M29" s="435" t="str">
        <f t="shared" si="0"/>
        <v/>
      </c>
      <c r="N29" s="434">
        <f>(K29*Form!$D$10*1.3224)/100000</f>
        <v>0</v>
      </c>
    </row>
    <row r="30" spans="2:14" hidden="1" x14ac:dyDescent="0.25">
      <c r="C30" s="201">
        <f>C29</f>
        <v>0</v>
      </c>
      <c r="D30" s="201">
        <f>D29</f>
        <v>0</v>
      </c>
      <c r="E30" s="294">
        <f>E29</f>
        <v>0</v>
      </c>
      <c r="F30" s="295" t="str">
        <f t="shared" si="1"/>
        <v/>
      </c>
      <c r="G30" s="397" t="str">
        <f>$B$31</f>
        <v>ROE</v>
      </c>
      <c r="H30" s="433">
        <f>H29</f>
        <v>0</v>
      </c>
      <c r="I30" s="433" t="s">
        <v>171</v>
      </c>
      <c r="J30" s="433">
        <f>COUNTIFS('CST-Final'!$AZ:$AZ,I30,'CST-Final'!$AY:$AY,G29)</f>
        <v>0</v>
      </c>
      <c r="K30" s="434">
        <f>SUMIFS('CST-Final'!$BC$5:$BC$89,'CST-Final'!$AZ$5:$AZ$89,I30,'CST-Final'!$AY$5:$AY$89,G30)</f>
        <v>0</v>
      </c>
      <c r="L30" s="434">
        <f>IF(OR(G30="EST",G30="ADRYS"),SUMIFS('CST-Final'!$BS$5:$BS$89,'CST-Final'!$AZ$5:$AZ$89,I30,'CST-Final'!$AY$5:$AY$89,G30),SUMIFS('CST-Final'!$BQ$5:$BQ$89,'CST-Final'!$AZ$5:$AZ$89,I30,'CST-Final'!$AY$5:$AY$89,G30))</f>
        <v>0</v>
      </c>
      <c r="M30" s="435" t="str">
        <f t="shared" si="0"/>
        <v/>
      </c>
      <c r="N30" s="434">
        <f>(K30*Form!$D$10*1.3224)/100000</f>
        <v>0</v>
      </c>
    </row>
    <row r="31" spans="2:14" s="296" customFormat="1" hidden="1" x14ac:dyDescent="0.25">
      <c r="B31" s="429" t="str">
        <f>'CST-Final'!AR$3</f>
        <v>ROE</v>
      </c>
      <c r="C31" s="201">
        <f>C29</f>
        <v>0</v>
      </c>
      <c r="D31" s="201">
        <f>+D29</f>
        <v>0</v>
      </c>
      <c r="E31" s="294">
        <f>+E29</f>
        <v>0</v>
      </c>
      <c r="F31" s="295" t="str">
        <f t="shared" si="1"/>
        <v/>
      </c>
      <c r="G31" s="882" t="s">
        <v>172</v>
      </c>
      <c r="H31" s="883"/>
      <c r="I31" s="884"/>
      <c r="J31" s="392">
        <f>IF(SUM(J29:J30)=J30,0,IF(SUM(J29:J30)=J29,0,SUM(J29:J30)))</f>
        <v>0</v>
      </c>
      <c r="K31" s="436">
        <f>SUM(K29:K30)</f>
        <v>0</v>
      </c>
      <c r="L31" s="436">
        <f>SUM(L29:L30)</f>
        <v>0</v>
      </c>
      <c r="M31" s="437" t="str">
        <f t="shared" si="0"/>
        <v/>
      </c>
      <c r="N31" s="436">
        <f>(K31*Form!$D$10*1.3224)/100000</f>
        <v>0</v>
      </c>
    </row>
    <row r="32" spans="2:14" hidden="1" x14ac:dyDescent="0.25">
      <c r="C32" s="201">
        <f>H32</f>
        <v>0</v>
      </c>
      <c r="D32" s="201">
        <f>J32+J33</f>
        <v>0</v>
      </c>
      <c r="E32" s="294">
        <f>K32+K33</f>
        <v>0</v>
      </c>
      <c r="F32" s="295" t="str">
        <f t="shared" si="1"/>
        <v/>
      </c>
      <c r="G32" s="438" t="str">
        <f>$B$34</f>
        <v>VEKS-M</v>
      </c>
      <c r="H32" s="433">
        <f>COUNTIFS('CST-Final'!B:B,"&gt;0",IF(G32='CST-Final'!$H$3,'CST-Final'!$H:$H,IF(G32='CST-Final'!$L$3,'CST-Final'!$L:$L,IF(G32='CST-Final'!$P$3,'CST-Final'!$P:$P,IF(G32='CST-Final'!$T$3,'CST-Final'!$T:$T,IF(G32='CST-Final'!$X$3,'CST-Final'!$X:$X,IF(G32='CST-Final'!$AB$3,'CST-Final'!$AB:$AB,IF(G32='CST-Final'!$AF$3,'CST-Final'!$AF:$AF,IF(G32='CST-Final'!$AJ$3,'CST-Final'!$AJ:$AJ,IF(G32='CST-Final'!$AN$3,'CST-Final'!$AN:$AN,IF(G32='CST-Final'!$AR$3,'CST-Final'!$AR:$AR,IF(G32='CST-Final'!$AV$3,'CST-Final'!$AV:$AV,IF(G32='CST-Final'!$AZ$3,'CST-Final'!$AZ:$AZ,1)))))))))))),"&gt;0")+COUNTIFS('CST-Final'!B:B,"&gt;0",IF(G32='CST-Final'!$H$3,'CST-Final'!$H:$H,IF(G32='CST-Final'!$L$3,'CST-Final'!$L:$L,IF(G32='CST-Final'!$P$3,'CST-Final'!$P:$P,IF(G32='CST-Final'!$T$3,'CST-Final'!$T:$T,IF(G32='CST-Final'!$X$3,'CST-Final'!$X:$X,IF(G32='CST-Final'!$AB$3,'CST-Final'!$AB:$AB,IF(G32='CST-Final'!$AF$3,'CST-Final'!$AF:$AF,IF(G32='CST-Final'!$AJ$3,'CST-Final'!$AJ:$AJ,IF(G32='CST-Final'!$AN$3,'CST-Final'!$AN:$AN,IF(G32='CST-Final'!$AR$3,'CST-Final'!$AR:$AR,IF(G32='CST-Final'!$AV$3,'CST-Final'!$AV:$AV,IF(G32='CST-Final'!$AZ$3,'CST-Final'!$AZ:$AZ,1)))))))))))),"TEC Rejected")</f>
        <v>0</v>
      </c>
      <c r="I32" s="433" t="s">
        <v>170</v>
      </c>
      <c r="J32" s="433">
        <f>COUNTIFS('CST-Final'!$AZ:$AZ,I32,'CST-Final'!$AY:$AY,G32)</f>
        <v>0</v>
      </c>
      <c r="K32" s="434">
        <f>SUMIFS('CST-Final'!$BC$5:$BC$89,'CST-Final'!$AZ$5:$AZ$89,I32,'CST-Final'!$AY$5:$AY$89,G32)</f>
        <v>0</v>
      </c>
      <c r="L32" s="434">
        <f>IF(OR(G32="EST",G32="ADRYS"),SUMIFS('CST-Final'!$BS$5:$BS$89,'CST-Final'!$AZ$5:$AZ$89,I32,'CST-Final'!$AY$5:$AY$89,G32),SUMIFS('CST-Final'!$BQ$5:$BQ$89,'CST-Final'!$AZ$5:$AZ$89,I32,'CST-Final'!$AY$5:$AY$89,G32))</f>
        <v>0</v>
      </c>
      <c r="M32" s="435" t="str">
        <f t="shared" si="0"/>
        <v/>
      </c>
      <c r="N32" s="434">
        <f>(K32*Form!$D$10*1.3224)/100000</f>
        <v>0</v>
      </c>
    </row>
    <row r="33" spans="1:16" hidden="1" x14ac:dyDescent="0.25">
      <c r="C33" s="201">
        <f>C32</f>
        <v>0</v>
      </c>
      <c r="D33" s="201">
        <f>D32</f>
        <v>0</v>
      </c>
      <c r="E33" s="294">
        <f>E32</f>
        <v>0</v>
      </c>
      <c r="F33" s="295" t="str">
        <f t="shared" si="1"/>
        <v/>
      </c>
      <c r="G33" s="397" t="str">
        <f>$B$34</f>
        <v>VEKS-M</v>
      </c>
      <c r="H33" s="433">
        <f>H32</f>
        <v>0</v>
      </c>
      <c r="I33" s="433" t="s">
        <v>171</v>
      </c>
      <c r="J33" s="433">
        <f>COUNTIFS('CST-Final'!$AZ:$AZ,I33,'CST-Final'!$AY:$AY,G32)</f>
        <v>0</v>
      </c>
      <c r="K33" s="434">
        <f>SUMIFS('CST-Final'!$BC$5:$BC$89,'CST-Final'!$AZ$5:$AZ$89,I33,'CST-Final'!$AY$5:$AY$89,G33)</f>
        <v>0</v>
      </c>
      <c r="L33" s="434">
        <f>IF(OR(G33="EST",G33="ADRYS"),SUMIFS('CST-Final'!$BS$5:$BS$89,'CST-Final'!$AZ$5:$AZ$89,I33,'CST-Final'!$AY$5:$AY$89,G33),SUMIFS('CST-Final'!$BQ$5:$BQ$89,'CST-Final'!$AZ$5:$AZ$89,I33,'CST-Final'!$AY$5:$AY$89,G33))</f>
        <v>0</v>
      </c>
      <c r="M33" s="435" t="str">
        <f t="shared" si="0"/>
        <v/>
      </c>
      <c r="N33" s="434">
        <f>(K33*Form!$D$10*1.3224)/100000</f>
        <v>0</v>
      </c>
    </row>
    <row r="34" spans="1:16" s="296" customFormat="1" hidden="1" x14ac:dyDescent="0.25">
      <c r="B34" s="429" t="str">
        <f>'CST-Final'!AV$3</f>
        <v>VEKS-M</v>
      </c>
      <c r="C34" s="201">
        <f>C32</f>
        <v>0</v>
      </c>
      <c r="D34" s="201">
        <f>+D32</f>
        <v>0</v>
      </c>
      <c r="E34" s="294">
        <f>+E32</f>
        <v>0</v>
      </c>
      <c r="F34" s="295" t="str">
        <f t="shared" si="1"/>
        <v/>
      </c>
      <c r="G34" s="882" t="s">
        <v>172</v>
      </c>
      <c r="H34" s="883"/>
      <c r="I34" s="884"/>
      <c r="J34" s="392">
        <f>IF(SUM(J32:J33)=J33,0,IF(SUM(J32:J33)=J32,0,SUM(J32:J33)))</f>
        <v>0</v>
      </c>
      <c r="K34" s="436">
        <f>SUM(K32:K33)</f>
        <v>0</v>
      </c>
      <c r="L34" s="436">
        <f>SUM(L32:L33)</f>
        <v>0</v>
      </c>
      <c r="M34" s="437" t="str">
        <f t="shared" si="0"/>
        <v/>
      </c>
      <c r="N34" s="436">
        <f>(K34*Form!$D$10*1.3224)/100000</f>
        <v>0</v>
      </c>
    </row>
    <row r="35" spans="1:16" x14ac:dyDescent="0.25">
      <c r="C35" s="201"/>
      <c r="D35" s="201"/>
      <c r="E35" s="294"/>
      <c r="F35" s="294"/>
      <c r="G35" s="391" t="s">
        <v>156</v>
      </c>
      <c r="H35" s="780"/>
      <c r="I35" s="780"/>
      <c r="J35" s="780">
        <f>COUNTIFS('CST-Final'!$AY:$AY,$G$35)</f>
        <v>33</v>
      </c>
      <c r="K35" s="439" t="s">
        <v>173</v>
      </c>
      <c r="L35" s="439" t="s">
        <v>173</v>
      </c>
      <c r="M35" s="439" t="s">
        <v>173</v>
      </c>
      <c r="N35" s="440" t="s">
        <v>173</v>
      </c>
    </row>
    <row r="36" spans="1:16" x14ac:dyDescent="0.25">
      <c r="C36" s="201"/>
      <c r="D36" s="201"/>
      <c r="E36" s="294"/>
      <c r="F36" s="294"/>
      <c r="G36" s="397" t="s">
        <v>157</v>
      </c>
      <c r="H36" s="433"/>
      <c r="I36" s="433"/>
      <c r="J36" s="433">
        <f>COUNTIFS('CST-Final'!$AY:$AY,$G$36)</f>
        <v>2</v>
      </c>
      <c r="K36" s="439" t="s">
        <v>173</v>
      </c>
      <c r="L36" s="439" t="s">
        <v>173</v>
      </c>
      <c r="M36" s="439" t="s">
        <v>173</v>
      </c>
      <c r="N36" s="440" t="s">
        <v>173</v>
      </c>
    </row>
    <row r="37" spans="1:16" x14ac:dyDescent="0.25">
      <c r="C37" s="201"/>
      <c r="D37" s="201"/>
      <c r="E37" s="294"/>
      <c r="F37" s="294"/>
      <c r="G37" s="397" t="s">
        <v>158</v>
      </c>
      <c r="H37" s="433"/>
      <c r="I37" s="433"/>
      <c r="J37" s="433">
        <f>COUNTIFS('CST-Final'!$AY:$AY,$G$37)</f>
        <v>0</v>
      </c>
      <c r="K37" s="439"/>
      <c r="L37" s="439"/>
      <c r="M37" s="439"/>
      <c r="N37" s="440"/>
    </row>
    <row r="38" spans="1:16" ht="38.25" customHeight="1" x14ac:dyDescent="0.25">
      <c r="C38" s="201"/>
      <c r="D38" s="201"/>
      <c r="E38" s="294"/>
      <c r="F38" s="294"/>
      <c r="G38" s="880" t="s">
        <v>479</v>
      </c>
      <c r="H38" s="880"/>
      <c r="I38" s="880"/>
      <c r="J38" s="392">
        <f>SUM(J2+J3+J5+J6+J8+J9+J11+J12+J14+J15+J20+J21+J26+J27+J29+J30+J32+J33+J35+J36+J37)</f>
        <v>54</v>
      </c>
      <c r="K38" s="436">
        <f>SUM(K2+K3+K5+K6+K8+K9+K11+K12+K14+K15+K20+K21+K26+K27+K29+K30+K32+K33)</f>
        <v>882002</v>
      </c>
      <c r="L38" s="436">
        <f>SUM(L2+L3+L5+L6+L8+L9+L11+L12+L14+L15+L20+L21+L26+L27+L29+L30+L32+L33)</f>
        <v>984084.55999999994</v>
      </c>
      <c r="M38" s="437">
        <f>IF(SUM(K38:L38)=0,"",((K38-L38)/L38))</f>
        <v>-0.10373352468816292</v>
      </c>
      <c r="N38" s="436">
        <f>(K38*Form!$D$10*1.3224)/100000</f>
        <v>965.51234840543998</v>
      </c>
      <c r="P38" s="442"/>
    </row>
    <row r="39" spans="1:16" ht="33" customHeight="1" x14ac:dyDescent="0.25">
      <c r="C39" s="201"/>
      <c r="D39" s="201"/>
      <c r="E39" s="294"/>
      <c r="F39" s="294"/>
      <c r="G39" s="880" t="s">
        <v>477</v>
      </c>
      <c r="H39" s="880"/>
      <c r="I39" s="880"/>
      <c r="J39" s="392">
        <f>SUM(J17+J18+J23+J24)</f>
        <v>31</v>
      </c>
      <c r="K39" s="436">
        <f>SUM(K17+K18+K23+K24)</f>
        <v>1162435</v>
      </c>
      <c r="L39" s="436">
        <f>SUM(L17+L18+L23+L24)</f>
        <v>8682192.4576271195</v>
      </c>
      <c r="M39" s="437">
        <f>IF(SUM(K39:L39)=0,"",((K39-L39)/L39))</f>
        <v>-0.86611273527128207</v>
      </c>
      <c r="N39" s="436">
        <f>(K39*1.18)/100000</f>
        <v>13.716732999999998</v>
      </c>
    </row>
    <row r="40" spans="1:16" x14ac:dyDescent="0.25">
      <c r="C40" s="201"/>
      <c r="D40" s="201"/>
      <c r="E40" s="294"/>
      <c r="F40" s="294"/>
      <c r="G40" s="881" t="s">
        <v>478</v>
      </c>
      <c r="H40" s="881"/>
      <c r="I40" s="881"/>
      <c r="J40" s="392">
        <f>J38+J39</f>
        <v>85</v>
      </c>
      <c r="K40" s="436">
        <f>(K39*1.18)+(K38*1.3224*Form!$D$10)</f>
        <v>97922908.140543997</v>
      </c>
      <c r="L40" s="441"/>
      <c r="M40" s="437"/>
      <c r="N40" s="436">
        <f>SUM(N38:N39)</f>
        <v>979.22908140543996</v>
      </c>
    </row>
    <row r="41" spans="1:16" x14ac:dyDescent="0.25">
      <c r="G41" s="298" t="str">
        <f>CONCATENATE("Details on offers from suppliers for ",J40," lines are given below:")</f>
        <v>Details on offers from suppliers for 85 lines are given below:</v>
      </c>
    </row>
    <row r="42" spans="1:16" hidden="1" x14ac:dyDescent="0.25"/>
    <row r="43" spans="1:16" hidden="1" x14ac:dyDescent="0.25">
      <c r="G43" s="300" t="str">
        <f>PP!F4</f>
        <v>Division has requirement of 54 lines of Procurement of BoI Spares &amp; Repair of KOPYO Cards HAL/NK/MPU-AOD/xyz(208)/23/ dated 01.06.2023 (E1). Accordingly Indent abcd001 dated 27.05.2023 was floated to 14 approved suppliers.</v>
      </c>
    </row>
    <row r="44" spans="1:16" hidden="1" x14ac:dyDescent="0.25">
      <c r="G44" s="300" t="str">
        <f>CONCATENATE('NOTE Sheet'!F5," ",'NOTE Sheet'!G5,"",G41)</f>
        <v xml:space="preserve"> Tender was opened on 19.07.2023 and offers were received from 04 different Vendors namely; GIS, INDO AVIA SERVICES LTD, ADRYS Technologies (ADRYS), All the offers are technically accepted (E-3). Requirement of 2 lines are deleted from the proposal due to TEC.Details on offers from suppliers for 85 lines are given below:</v>
      </c>
    </row>
    <row r="45" spans="1:16" hidden="1" x14ac:dyDescent="0.25">
      <c r="H45" s="301"/>
    </row>
    <row r="46" spans="1:16" hidden="1" x14ac:dyDescent="0.25">
      <c r="G46" s="300" t="str">
        <f>CONCATENATE("Final landed cost including Custom, IGST and other duties on assessable value  (100% of basic landed cost) and F &amp; I @ 1.26% on basic landed cost is INR ",FIXED(N38,2)," Lakhs @ 1 USD = INR ",FIXED(Form!D10,2),". However at the time of payment, Custom, GST and other duties will be paid on actual, on “CIP- Mumbai Airport” Shipment Terms.")</f>
        <v>Final landed cost including Custom, IGST and other duties on assessable value  (100% of basic landed cost) and F &amp; I @ 1.26% on basic landed cost is INR 965.51 Lakhs @ 1 USD = INR 82.78. However at the time of payment, Custom, GST and other duties will be paid on actual, on “CIP- Mumbai Airport” Shipment Terms.</v>
      </c>
    </row>
    <row r="47" spans="1:16" hidden="1" x14ac:dyDescent="0.25"/>
    <row r="48" spans="1:16" ht="24.75" hidden="1" customHeight="1" x14ac:dyDescent="0.25">
      <c r="A48" s="397" t="s">
        <v>471</v>
      </c>
      <c r="C48" s="45" t="s">
        <v>174</v>
      </c>
      <c r="D48" s="45" t="str">
        <f>IF(D49&gt;0,"higher","lower")</f>
        <v>lower</v>
      </c>
      <c r="E48" s="45" t="s">
        <v>175</v>
      </c>
      <c r="F48" s="45" t="s">
        <v>176</v>
      </c>
      <c r="G48" s="300" t="str">
        <f>CONCATENATE("It is observed that total offer price of ",A48," is USD ",ROUND(Negociation!C49,2)," for ",Negociation!E49," L1 ",IF(Negociation!E49&gt;1,"lines","line"),", which is ",IF(Negociation!D49&gt;0,"(+) ","(-) "),FIXED(ABS(Negociation!D49)*100,2),"% ",Negociation!D48," than the HAL estimates. Out of ",Negociation!E49," L1 ",IF(Negociation!E49&gt;1,"lines, ","line, "),Negociation!F49,IF(Negociation!F49&gt;1," lines are"," line is")," higher than HAL estimated price and as the proposal is of high value, there is opportunity of getting good discount. Hence it is proposed to negotiate the offer with ",A48,". CST is placed at E-6 (",A48,").")</f>
        <v>It is observed that total offer price of EST is USD 76360 for 1 L1 line, which is (-) 61.95% lower than the HAL estimates. Out of 1 L1 line, 0 line is higher than HAL estimated price and as the proposal is of high value, there is opportunity of getting good discount. Hence it is proposed to negotiate the offer with EST. CST is placed at E-6 (EST).</v>
      </c>
    </row>
    <row r="49" spans="3:7" ht="14.25" hidden="1" customHeight="1" x14ac:dyDescent="0.25">
      <c r="C49" s="45">
        <f>VLOOKUP(A48,Negociation!B:L,4,FALSE)</f>
        <v>76360</v>
      </c>
      <c r="D49" s="302">
        <f>VLOOKUP(A48,Negociation!B:O,5,FALSE)</f>
        <v>-0.61953491655802251</v>
      </c>
      <c r="E49" s="45">
        <f>VLOOKUP(A48,Negociation!B:O,3,FALSE)</f>
        <v>1</v>
      </c>
      <c r="F49" s="45">
        <f>COUNTIFS('CST-Final'!BT:BT,"&gt;0",'CST-Final'!$AY:$AY,A48)</f>
        <v>0</v>
      </c>
      <c r="G49" s="300" t="str">
        <f>CONCATENATE(Negociation!E49," L1 ",IF(Negociation!E49&gt;1,"lines of spares","line of spare")," with ",A48," at total offer value of ",FIXED(Negociation!C49,2)," USD.")</f>
        <v>1 L1 line of spare with EST at total offer value of 76,360.00 USD.</v>
      </c>
    </row>
    <row r="50" spans="3:7" ht="24" customHeight="1" x14ac:dyDescent="0.25"/>
    <row r="51" spans="3:7" ht="41.25" customHeight="1" x14ac:dyDescent="0.25"/>
  </sheetData>
  <autoFilter ref="B1:O41">
    <filterColumn colId="9">
      <filters blank="1">
        <filter val="--"/>
        <filter val="106083.60"/>
        <filter val="1074780.00"/>
        <filter val="1086075.00"/>
        <filter val="11295.00"/>
        <filter val="1162435.00"/>
        <filter val="355380.00"/>
        <filter val="420538.40"/>
        <filter val="76360.00"/>
        <filter val="775918.40"/>
        <filter val="882002.00"/>
        <filter val="97922908.14"/>
      </filters>
    </filterColumn>
  </autoFilter>
  <mergeCells count="14">
    <mergeCell ref="G39:I39"/>
    <mergeCell ref="G40:I40"/>
    <mergeCell ref="G19:I19"/>
    <mergeCell ref="G4:I4"/>
    <mergeCell ref="G7:I7"/>
    <mergeCell ref="G10:I10"/>
    <mergeCell ref="G38:I38"/>
    <mergeCell ref="G13:I13"/>
    <mergeCell ref="G31:I31"/>
    <mergeCell ref="G34:I34"/>
    <mergeCell ref="G28:I28"/>
    <mergeCell ref="G22:I22"/>
    <mergeCell ref="G25:I25"/>
    <mergeCell ref="G16:I16"/>
  </mergeCells>
  <pageMargins left="0.70866141732283472" right="0.70866141732283472" top="1.1417322834645669" bottom="0.74803149606299213" header="0.31496062992125984" footer="0.31496062992125984"/>
  <pageSetup paperSize="9" fitToHeight="0" orientation="landscape" r:id="rId1"/>
  <headerFooter>
    <oddHeader>&amp;CSummary of Offers Received from Suppliers against Indent-123001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FF00"/>
  </sheetPr>
  <dimension ref="A1:N50"/>
  <sheetViews>
    <sheetView zoomScale="85" zoomScaleNormal="85" workbookViewId="0">
      <selection activeCell="F5" sqref="F5"/>
    </sheetView>
  </sheetViews>
  <sheetFormatPr defaultColWidth="9.140625" defaultRowHeight="15" x14ac:dyDescent="0.25"/>
  <cols>
    <col min="1" max="1" width="34.140625" style="45" customWidth="1"/>
    <col min="2" max="4" width="9.140625" style="45" hidden="1" customWidth="1"/>
    <col min="5" max="5" width="12" style="45" hidden="1" customWidth="1"/>
    <col min="6" max="6" width="51.85546875" style="45" customWidth="1"/>
    <col min="7" max="7" width="44.28515625" style="45" customWidth="1"/>
    <col min="8" max="8" width="23.140625" style="45" customWidth="1"/>
    <col min="9" max="12" width="16.28515625" style="45" customWidth="1"/>
    <col min="13" max="16384" width="9.140625" style="45"/>
  </cols>
  <sheetData>
    <row r="1" spans="1:14" ht="18.75" x14ac:dyDescent="0.25">
      <c r="A1" s="303" t="str">
        <f>PP!A1</f>
        <v>IASL</v>
      </c>
      <c r="M1" s="45" t="s">
        <v>177</v>
      </c>
      <c r="N1" s="45" t="s">
        <v>19</v>
      </c>
    </row>
    <row r="2" spans="1:14" ht="83.25" customHeight="1" x14ac:dyDescent="0.25">
      <c r="G2" s="304"/>
      <c r="H2" s="304"/>
      <c r="I2" s="304"/>
      <c r="J2" s="304"/>
      <c r="K2" s="304"/>
      <c r="L2" s="304"/>
    </row>
    <row r="3" spans="1:14" ht="19.5" customHeight="1" x14ac:dyDescent="0.25">
      <c r="F3" s="305"/>
      <c r="G3" s="305"/>
      <c r="H3" s="305"/>
      <c r="I3" s="305"/>
      <c r="J3" s="305"/>
      <c r="K3" s="305"/>
      <c r="L3" s="305"/>
    </row>
    <row r="4" spans="1:14" x14ac:dyDescent="0.25">
      <c r="A4" s="45" t="s">
        <v>178</v>
      </c>
      <c r="G4" s="300"/>
      <c r="H4" s="300"/>
      <c r="I4" s="300"/>
      <c r="J4" s="300"/>
      <c r="K4" s="300"/>
      <c r="L4" s="300"/>
    </row>
    <row r="5" spans="1:14" ht="130.5" customHeight="1" x14ac:dyDescent="0.25">
      <c r="A5" s="45" t="s">
        <v>179</v>
      </c>
      <c r="B5" s="45" t="s">
        <v>77</v>
      </c>
      <c r="C5" s="45" t="s">
        <v>78</v>
      </c>
      <c r="D5" s="45" t="s">
        <v>180</v>
      </c>
      <c r="F5" s="306" t="str">
        <f>CONCATENATE(IF(VLOOKUP(B5,Form!A:E,2,FALSE)=1,CONCATENATE("Meanwhile ",VLOOKUP(B5,Form!A:E,5,FALSE)," has requested to extend the due date of tender opening upto ",TEXT(VLOOKUP(B5,Form!A:H,7,FALSE),"dd.mm.yyyy")," vide letter no ",VLOOKUP(B5,Form!A:H,6,FALSE), " and the same was approved vide ",VLOOKUP(B5,Form!A:E,3,FALSE)," dated ",TEXT(VLOOKUP(B5,Form!A:E,4,FALSE),"dd.mm.yyyy")," upto the due date of ",TEXT(VLOOKUP(B5,Form!A:K,8,FALSE),"dd.mm.yyyy"),". "),""),IF(VLOOKUP(C5,Form!A:E,2,FALSE)=1,CONCATENATE("Meanwhile ",VLOOKUP(C5,Form!A:E,5,FALSE)," has requested to extend the due date of tender opening upto ",TEXT(VLOOKUP(C5,Form!A:H,7,FALSE),"dd.mm.yyyy")," vide letter no ",VLOOKUP(C5,Form!A:H,6,FALSE), " and the same was approved vide ",VLOOKUP(C5,Form!A:E,3,FALSE)," dated ",TEXT(VLOOKUP(C5,Form!A:E,4,FALSE),"dd.mm.yyyy")," upto the due date of ",TEXT(VLOOKUP(C5,Form!A:K,8,FALSE),"dd.mm.yyyy"),". "),""))</f>
        <v/>
      </c>
      <c r="G5" s="306" t="str">
        <f>CONCATENATE("Tender was opened on ",TEXT(Form!D9,"dd.mm.yyy")," and offers were received from 0",Form!C26," different Vendors namely; ",IF(Form!D26="","",CONCATENATE(Form!D26,", ")),IF(Form!E26="","",CONCATENATE(Form!E26,", ")),IF(Form!G26="","",CONCATENATE(Form!G26,", ")),IF(Form!F26="","",CONCATENATE(Form!F26,", ")),IF(Form!I26="","",CONCATENATE(Form!I26,", ")),IF(Form!H26="","",CONCATENATE(Form!H26,", ")),IF(L12="","",CONCATENATE(L12,", ")),"All the offers are technically accepted"," (E-",M5,").",IF(SUMMARY!E118&gt;0,CONCATENATE(" Requirement of ",SUMMARY!E118,IF(SUMMARY!E118&gt;1," lines are "," line is "),"deleted from the proposal due to ",Form!D12,".")))</f>
        <v>Tender was opened on 19.07.2023 and offers were received from 04 different Vendors namely; GIS, INDO AVIA SERVICES LTD, ADRYS Technologies (ADRYS), All the offers are technically accepted (E-3). Requirement of 2 lines are deleted from the proposal due to TEC.</v>
      </c>
      <c r="I5" s="306"/>
      <c r="J5" s="306"/>
      <c r="K5" s="306"/>
      <c r="L5" s="306"/>
      <c r="M5" s="45">
        <v>3</v>
      </c>
      <c r="N5" s="45" t="s">
        <v>181</v>
      </c>
    </row>
    <row r="6" spans="1:14" ht="21" customHeight="1" x14ac:dyDescent="0.25">
      <c r="F6" s="307"/>
      <c r="G6" s="307"/>
      <c r="H6" s="307"/>
      <c r="I6" s="307"/>
      <c r="J6" s="307"/>
      <c r="K6" s="307"/>
      <c r="L6" s="307"/>
    </row>
    <row r="7" spans="1:14" ht="58.5" customHeight="1" thickBot="1" x14ac:dyDescent="0.3">
      <c r="A7" s="303"/>
      <c r="C7" s="302"/>
      <c r="F7" s="885" t="str">
        <f>CONCATENATE("It was observed that total offer price of ",A1," is USD ",FIXED(VLOOKUP(A1,Negociation!B:F,4,FALSE))," for ",VLOOKUP(A1,Negociation!B:F,3,FALSE)," L1 ",IF(VLOOKUP(A1,Negociation!B:F,3,FALSE)&gt;1,"lines","line"),", which was ",IF(VLOOKUP(A1,Negociation!B:F,5,FALSE)&gt;0,"(+) ","(-) "),ABS(FIXED(VLOOKUP(A1,Negociation!B:F,5,FALSE)*100,2)),"% ",IF(VLOOKUP(A1,Negociation!B:F,5,FALSE)&gt;0,"higher","lower")," than the HAL estimates. Out of ",VLOOKUP(A1,Negociation!B:F,3,FALSE)," L1 ",IF(VLOOKUP(A1,Negociation!B:F,3,FALSE)&gt;1,"lines, ","line, "),IF(VLOOKUP(A1,Negociation!B:F,3,FALSE)&gt;1,"the prices of ","the price of "), COUNTIFS('CST-Final'!BT:BT,"&gt;0",'CST-Final'!$AY:$AY,A1),IF(VLOOKUP(A1,Negociation!B:F,3,FALSE)&gt;1," lines were"," line was")," higher than the HAL estimated price. Hence, it was proposed to negotiate; which was approved by CFA vide ",M7," dated ",TEXT(VLOOKUP(M7,Form!C15:D24,2,FALSE),"dd.mm.yyyy"),". ")</f>
        <v xml:space="preserve">It was observed that total offer price of IASL is USD 1,06,083.60 for 2 L1 lines, which was (+) 28.97% higher than the HAL estimates. Out of 2 L1 lines, the prices of 1 lines were higher than the HAL estimated price. Hence, it was proposed to negotiate; which was approved by CFA vide N2 dated 04.10.2021. </v>
      </c>
      <c r="G7" s="885"/>
      <c r="H7" s="885"/>
      <c r="I7" s="885"/>
      <c r="J7" s="885"/>
      <c r="K7" s="885"/>
      <c r="L7" s="885"/>
      <c r="M7" s="45" t="s">
        <v>37</v>
      </c>
      <c r="N7" s="45" t="s">
        <v>182</v>
      </c>
    </row>
    <row r="8" spans="1:14" ht="30" x14ac:dyDescent="0.25">
      <c r="A8" s="45" t="s">
        <v>183</v>
      </c>
      <c r="F8" s="886" t="s">
        <v>184</v>
      </c>
      <c r="G8" s="308" t="s">
        <v>185</v>
      </c>
      <c r="H8" s="308" t="s">
        <v>186</v>
      </c>
      <c r="I8" s="308" t="s">
        <v>187</v>
      </c>
      <c r="J8" s="308" t="s">
        <v>188</v>
      </c>
      <c r="K8" s="308" t="s">
        <v>189</v>
      </c>
    </row>
    <row r="9" spans="1:14" ht="15.75" thickBot="1" x14ac:dyDescent="0.3">
      <c r="F9" s="887"/>
      <c r="G9" s="309" t="s">
        <v>190</v>
      </c>
      <c r="H9" s="309" t="s">
        <v>191</v>
      </c>
      <c r="I9" s="309" t="s">
        <v>192</v>
      </c>
      <c r="J9" s="309" t="s">
        <v>193</v>
      </c>
      <c r="K9" s="309" t="s">
        <v>194</v>
      </c>
    </row>
    <row r="10" spans="1:14" ht="15.75" thickBot="1" x14ac:dyDescent="0.3">
      <c r="F10" s="310">
        <f>COUNTIFS('CST-Final'!$BU:$BU,"&lt;&gt;D",'CST-Final'!$AY:$AY,A1)</f>
        <v>2</v>
      </c>
      <c r="G10" s="309">
        <f>SUMIFS('CST-Final'!$BQ:$BQ,'CST-Final'!$CA:$CA,"&lt;&gt;Deleted",'CST-Final'!$AY:$AY,A1)</f>
        <v>82253.259999999995</v>
      </c>
      <c r="H10" s="311">
        <f>SUMIFS('CST-Final'!$BP:$BP,'CST-Final'!$CA:$CA,"&lt;&gt;Deleted",'CST-Final'!$AY:$AY,A1)</f>
        <v>106083.6</v>
      </c>
      <c r="I10" s="309">
        <f>SUMIFS('CST-Final'!$BV:$BV,'CST-Final'!$CA:$CA,"&lt;&gt;Deleted",'CST-Final'!$AY:$AY,A1)</f>
        <v>0</v>
      </c>
      <c r="J10" s="309" t="str">
        <f>CONCATENATE(IF(((I10-G10)/G10)&gt;0,"(+) ","(-) "),ABS(FIXED(((I10-G10)/G10)*100,2)),"% ")</f>
        <v xml:space="preserve">(-) 100% </v>
      </c>
      <c r="K10" s="311">
        <f>H10-I10</f>
        <v>106083.6</v>
      </c>
    </row>
    <row r="11" spans="1:14" ht="48" customHeight="1" x14ac:dyDescent="0.25">
      <c r="F11" s="307"/>
      <c r="G11" s="307"/>
      <c r="H11" s="307"/>
      <c r="I11" s="307"/>
      <c r="J11" s="307"/>
      <c r="K11" s="307"/>
      <c r="L11" s="307"/>
    </row>
    <row r="12" spans="1:14" ht="39" customHeight="1" x14ac:dyDescent="0.25">
      <c r="A12" s="45" t="s">
        <v>195</v>
      </c>
      <c r="F12" s="45" t="s">
        <v>196</v>
      </c>
      <c r="L12" s="305"/>
      <c r="N12" s="45" t="s">
        <v>197</v>
      </c>
    </row>
    <row r="13" spans="1:14" ht="39" customHeight="1" x14ac:dyDescent="0.25">
      <c r="F13" s="312" t="s">
        <v>66</v>
      </c>
      <c r="G13" s="313" t="s">
        <v>68</v>
      </c>
      <c r="H13" s="313" t="s">
        <v>69</v>
      </c>
      <c r="I13" s="312" t="s">
        <v>67</v>
      </c>
      <c r="J13" s="313" t="s">
        <v>70</v>
      </c>
      <c r="K13" s="45" t="s">
        <v>135</v>
      </c>
      <c r="L13" s="305"/>
      <c r="N13" s="45" t="s">
        <v>197</v>
      </c>
    </row>
    <row r="14" spans="1:14" x14ac:dyDescent="0.25">
      <c r="F14" s="305"/>
      <c r="G14" s="305"/>
      <c r="H14" s="305"/>
      <c r="I14" s="305"/>
      <c r="J14" s="305"/>
      <c r="K14" s="305"/>
      <c r="L14" s="305"/>
    </row>
    <row r="15" spans="1:14" x14ac:dyDescent="0.25">
      <c r="A15" s="43" t="s">
        <v>198</v>
      </c>
      <c r="F15" s="314" t="s">
        <v>199</v>
      </c>
      <c r="G15" s="305"/>
      <c r="H15" s="305"/>
      <c r="I15" s="305"/>
      <c r="J15" s="305"/>
      <c r="K15" s="305"/>
      <c r="L15" s="305"/>
      <c r="N15" s="45" t="s">
        <v>50</v>
      </c>
    </row>
    <row r="16" spans="1:14" x14ac:dyDescent="0.25">
      <c r="A16" s="43" t="s">
        <v>200</v>
      </c>
      <c r="F16" s="315">
        <v>43648</v>
      </c>
      <c r="M16" s="45" t="s">
        <v>37</v>
      </c>
      <c r="N16" s="45" t="s">
        <v>50</v>
      </c>
    </row>
    <row r="17" spans="1:14" x14ac:dyDescent="0.25">
      <c r="A17" s="43"/>
      <c r="F17" s="316"/>
    </row>
    <row r="18" spans="1:14" x14ac:dyDescent="0.25">
      <c r="A18" s="43"/>
      <c r="F18" s="316"/>
    </row>
    <row r="19" spans="1:14" ht="15.75" x14ac:dyDescent="0.25">
      <c r="A19" s="45" t="s">
        <v>53</v>
      </c>
      <c r="F19" s="317" t="s">
        <v>69</v>
      </c>
      <c r="G19" s="317" t="s">
        <v>68</v>
      </c>
      <c r="H19" s="317" t="s">
        <v>70</v>
      </c>
      <c r="I19" s="317" t="s">
        <v>67</v>
      </c>
      <c r="J19" s="317" t="s">
        <v>66</v>
      </c>
      <c r="K19" s="317" t="s">
        <v>135</v>
      </c>
    </row>
    <row r="20" spans="1:14" x14ac:dyDescent="0.25">
      <c r="F20" s="315"/>
      <c r="G20" s="315"/>
      <c r="H20" s="315"/>
      <c r="I20" s="315"/>
      <c r="J20" s="315"/>
    </row>
    <row r="22" spans="1:14" ht="15.75" x14ac:dyDescent="0.25">
      <c r="A22" s="318" t="s">
        <v>201</v>
      </c>
      <c r="F22" s="318" t="s">
        <v>202</v>
      </c>
      <c r="G22" s="318" t="s">
        <v>35</v>
      </c>
      <c r="H22" s="318" t="s">
        <v>203</v>
      </c>
    </row>
    <row r="23" spans="1:14" ht="15" customHeight="1" x14ac:dyDescent="0.25">
      <c r="A23" s="43" t="s">
        <v>68</v>
      </c>
      <c r="G23" s="315"/>
      <c r="I23" s="306"/>
      <c r="J23" s="306"/>
      <c r="K23" s="306"/>
      <c r="L23" s="306"/>
      <c r="M23" s="45">
        <v>10</v>
      </c>
      <c r="N23" s="45" t="s">
        <v>55</v>
      </c>
    </row>
    <row r="24" spans="1:14" x14ac:dyDescent="0.25">
      <c r="A24" s="43" t="s">
        <v>69</v>
      </c>
      <c r="G24" s="315"/>
      <c r="H24" s="306"/>
      <c r="I24" s="306"/>
      <c r="J24" s="306"/>
      <c r="K24" s="306"/>
      <c r="L24" s="306"/>
    </row>
    <row r="25" spans="1:14" x14ac:dyDescent="0.25">
      <c r="A25" s="43" t="s">
        <v>204</v>
      </c>
      <c r="G25" s="315"/>
      <c r="H25" s="306"/>
      <c r="I25" s="306"/>
      <c r="J25" s="306"/>
      <c r="K25" s="306"/>
      <c r="L25" s="306"/>
    </row>
    <row r="26" spans="1:14" x14ac:dyDescent="0.25">
      <c r="A26" s="43" t="s">
        <v>70</v>
      </c>
      <c r="H26" s="306"/>
      <c r="I26" s="306"/>
      <c r="J26" s="306"/>
      <c r="K26" s="306"/>
      <c r="L26" s="306"/>
    </row>
    <row r="27" spans="1:14" x14ac:dyDescent="0.25">
      <c r="A27" s="43" t="s">
        <v>114</v>
      </c>
      <c r="H27" s="306"/>
      <c r="I27" s="306"/>
      <c r="J27" s="306"/>
      <c r="K27" s="306"/>
      <c r="L27" s="306"/>
    </row>
    <row r="28" spans="1:14" x14ac:dyDescent="0.25">
      <c r="A28" s="43" t="s">
        <v>116</v>
      </c>
      <c r="H28" s="306"/>
      <c r="I28" s="306"/>
      <c r="J28" s="306"/>
      <c r="K28" s="306"/>
      <c r="L28" s="306"/>
    </row>
    <row r="29" spans="1:14" x14ac:dyDescent="0.25">
      <c r="A29" s="43" t="s">
        <v>66</v>
      </c>
      <c r="H29" s="306"/>
      <c r="I29" s="306"/>
      <c r="J29" s="306"/>
      <c r="K29" s="306"/>
      <c r="L29" s="306"/>
    </row>
    <row r="30" spans="1:14" x14ac:dyDescent="0.25">
      <c r="A30" s="43" t="s">
        <v>67</v>
      </c>
      <c r="H30" s="306"/>
      <c r="I30" s="306"/>
      <c r="J30" s="306"/>
      <c r="K30" s="306"/>
      <c r="L30" s="306"/>
    </row>
    <row r="32" spans="1:14" ht="15.75" x14ac:dyDescent="0.25">
      <c r="A32" s="318" t="s">
        <v>34</v>
      </c>
      <c r="F32" s="318" t="s">
        <v>35</v>
      </c>
    </row>
    <row r="34" spans="1:6" x14ac:dyDescent="0.25">
      <c r="A34" s="43" t="s">
        <v>37</v>
      </c>
    </row>
    <row r="35" spans="1:6" x14ac:dyDescent="0.25">
      <c r="A35" s="43" t="s">
        <v>38</v>
      </c>
    </row>
    <row r="36" spans="1:6" x14ac:dyDescent="0.25">
      <c r="A36" s="43" t="s">
        <v>39</v>
      </c>
    </row>
    <row r="41" spans="1:6" ht="15.75" x14ac:dyDescent="0.25">
      <c r="A41" s="318" t="s">
        <v>75</v>
      </c>
      <c r="F41" s="318" t="s">
        <v>205</v>
      </c>
    </row>
    <row r="42" spans="1:6" x14ac:dyDescent="0.25">
      <c r="A42" s="43" t="s">
        <v>66</v>
      </c>
      <c r="F42" s="314"/>
    </row>
    <row r="43" spans="1:6" x14ac:dyDescent="0.25">
      <c r="A43" s="43" t="s">
        <v>68</v>
      </c>
      <c r="F43" s="314"/>
    </row>
    <row r="44" spans="1:6" x14ac:dyDescent="0.25">
      <c r="A44" s="43" t="s">
        <v>69</v>
      </c>
    </row>
    <row r="45" spans="1:6" x14ac:dyDescent="0.25">
      <c r="A45" s="43" t="s">
        <v>67</v>
      </c>
      <c r="F45" s="314"/>
    </row>
    <row r="46" spans="1:6" x14ac:dyDescent="0.25">
      <c r="A46" s="43" t="s">
        <v>70</v>
      </c>
      <c r="F46" s="314"/>
    </row>
    <row r="50" spans="1:7" ht="186" customHeight="1" x14ac:dyDescent="0.25">
      <c r="A50" s="45" t="s">
        <v>69</v>
      </c>
      <c r="F50" s="203" t="str">
        <f>CONCATENATE("HAL informed prices quoted are higher than the estimated prices based on LPP &amp; Tech Estimates and requested ",A1," to reduce the prices. ",A1," reviewed the prices for all the lines and reduce the prices for ",COUNTIFS('CST-Final'!$AY:$AY,A1,'CST-Final'!$CC:$CC,FALSE)," lines.  Further HAL requested to provide the bottom line discount also. IRAL informed that the prices are best and final and further discount is not possible. HAL agreed for the same. ")</f>
        <v xml:space="preserve">HAL informed prices quoted are higher than the estimated prices based on LPP &amp; Tech Estimates and requested IASL to reduce the prices. IASL reviewed the prices for all the lines and reduce the prices for 0 lines.  Further HAL requested to provide the bottom line discount also. IRAL informed that the prices are best and final and further discount is not possible. HAL agreed for the same. </v>
      </c>
      <c r="G50" s="45" t="str">
        <f>CONCATENATE("The details of 16 lines are follows:",A1," informed that the prices are best and final and further discount is not possible. ","After lot of deliberation and persuasions IRAL agreed to provide bottom line discount of 1.5% on total offered value. HAL agreed for the same.")</f>
        <v>The details of 16 lines are follows:IASL informed that the prices are best and final and further discount is not possible. After lot of deliberation and persuasions IRAL agreed to provide bottom line discount of 1.5% on total offered value. HAL agreed for the same.</v>
      </c>
    </row>
  </sheetData>
  <mergeCells count="2">
    <mergeCell ref="F7:L7"/>
    <mergeCell ref="F8:F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F0"/>
  </sheetPr>
  <dimension ref="A1:M42"/>
  <sheetViews>
    <sheetView view="pageBreakPreview" zoomScale="55" zoomScaleNormal="40" zoomScaleSheetLayoutView="55" zoomScalePageLayoutView="145" workbookViewId="0">
      <selection activeCell="D14" sqref="D14"/>
    </sheetView>
  </sheetViews>
  <sheetFormatPr defaultRowHeight="15" x14ac:dyDescent="0.25"/>
  <cols>
    <col min="1" max="1" width="22.5703125" style="797" customWidth="1"/>
    <col min="2" max="2" width="92.140625" style="797" customWidth="1"/>
    <col min="3" max="3" width="32.42578125" customWidth="1"/>
    <col min="4" max="4" width="34.85546875" customWidth="1"/>
    <col min="5" max="5" width="52.28515625" style="789" customWidth="1"/>
    <col min="6" max="6" width="30.5703125" hidden="1" customWidth="1"/>
    <col min="7" max="7" width="32.85546875" hidden="1" customWidth="1"/>
    <col min="8" max="8" width="29.28515625" customWidth="1"/>
    <col min="9" max="9" width="30.85546875" customWidth="1"/>
    <col min="10" max="10" width="31.140625" customWidth="1"/>
    <col min="11" max="11" width="34.42578125" hidden="1" customWidth="1"/>
    <col min="12" max="12" width="32" hidden="1" customWidth="1"/>
    <col min="13" max="13" width="34.7109375" hidden="1" customWidth="1"/>
  </cols>
  <sheetData>
    <row r="1" spans="1:13" ht="23.25" x14ac:dyDescent="0.25">
      <c r="A1" s="890" t="s">
        <v>555</v>
      </c>
      <c r="B1" s="890"/>
      <c r="C1" s="890"/>
      <c r="D1" s="890"/>
      <c r="E1" s="890"/>
      <c r="F1" s="890"/>
      <c r="G1" s="890"/>
      <c r="H1" s="890"/>
      <c r="I1" s="890"/>
      <c r="J1" s="890"/>
      <c r="K1" s="890"/>
      <c r="L1" s="890"/>
      <c r="M1" s="890"/>
    </row>
    <row r="2" spans="1:13" ht="23.25" x14ac:dyDescent="0.25">
      <c r="A2" s="890" t="str">
        <f>CONCATENATE("HAL INDENT No ",Form!D2," Dated ",TEXT(Form!D3,"dd.mm.yyyy"))</f>
        <v>HAL INDENT No abcd001 Dated 27.05.2023</v>
      </c>
      <c r="B2" s="890"/>
      <c r="C2" s="890"/>
      <c r="D2" s="890"/>
      <c r="E2" s="890"/>
      <c r="F2" s="890"/>
      <c r="G2" s="890"/>
      <c r="H2" s="890"/>
      <c r="I2" s="890"/>
      <c r="J2" s="890"/>
      <c r="K2" s="890"/>
      <c r="L2" s="890"/>
      <c r="M2" s="890"/>
    </row>
    <row r="3" spans="1:13" s="567" customFormat="1" ht="41.25" thickBot="1" x14ac:dyDescent="0.4">
      <c r="A3" s="791" t="s">
        <v>206</v>
      </c>
      <c r="B3" s="792" t="s">
        <v>207</v>
      </c>
      <c r="C3" s="644" t="str">
        <f>CONCATENATE("Compliance by ",Form!D25)</f>
        <v>Compliance by Avi. Equip.</v>
      </c>
      <c r="D3" s="644" t="str">
        <f>CONCATENATE("Compliance by ",Form!E25)</f>
        <v>Compliance by GIS</v>
      </c>
      <c r="E3" s="786" t="str">
        <f>CONCATENATE("Compliance by ",Form!F25)</f>
        <v>Compliance by IASL</v>
      </c>
      <c r="F3" s="644" t="str">
        <f>CONCATENATE("Compliance by ",Form!G25)</f>
        <v>Compliance by Avitronic</v>
      </c>
      <c r="G3" s="644" t="str">
        <f>CONCATENATE("Compliance by ",Form!H25)</f>
        <v>Compliance by AEC</v>
      </c>
      <c r="H3" s="644" t="str">
        <f>CONCATENATE("Compliance by ",Form!I25)</f>
        <v>Compliance by ADRYS</v>
      </c>
      <c r="I3" s="644" t="str">
        <f>CONCATENATE("Compliance by ",Form!J25)</f>
        <v>Compliance by AZP</v>
      </c>
      <c r="J3" s="644" t="str">
        <f>CONCATENATE("Compliance by ",Form!K25)</f>
        <v>Compliance by EST</v>
      </c>
      <c r="K3" s="644" t="str">
        <f>CONCATENATE("Compliance by ",Form!L25)</f>
        <v>Compliance by NASC</v>
      </c>
      <c r="L3" s="644" t="str">
        <f>CONCATENATE("Compliance by ",Form!M25)</f>
        <v>Compliance by ROE</v>
      </c>
      <c r="M3" s="644" t="str">
        <f>CONCATENATE("Compliance by ",Form!N25)</f>
        <v>Compliance by VEKS-M</v>
      </c>
    </row>
    <row r="4" spans="1:13" s="567" customFormat="1" ht="21.75" thickBot="1" x14ac:dyDescent="0.4">
      <c r="A4" s="793"/>
      <c r="B4" s="794"/>
      <c r="C4" s="566" t="str">
        <f>Form!D25</f>
        <v>Avi. Equip.</v>
      </c>
      <c r="D4" s="566" t="str">
        <f>Form!E25</f>
        <v>GIS</v>
      </c>
      <c r="E4" s="787" t="str">
        <f>Form!F25</f>
        <v>IASL</v>
      </c>
      <c r="F4" s="566" t="str">
        <f>Form!G25</f>
        <v>Avitronic</v>
      </c>
      <c r="G4" s="566" t="str">
        <f>Form!H25</f>
        <v>AEC</v>
      </c>
      <c r="H4" s="566" t="str">
        <f>Form!I25</f>
        <v>ADRYS</v>
      </c>
      <c r="I4" s="566" t="str">
        <f>Form!J25</f>
        <v>AZP</v>
      </c>
      <c r="J4" s="566" t="str">
        <f>Form!K25</f>
        <v>EST</v>
      </c>
      <c r="K4" s="566" t="str">
        <f>Form!L25</f>
        <v>NASC</v>
      </c>
      <c r="L4" s="566" t="str">
        <f>Form!M25</f>
        <v>ROE</v>
      </c>
      <c r="M4" s="566" t="str">
        <f>Form!N25</f>
        <v>VEKS-M</v>
      </c>
    </row>
    <row r="5" spans="1:13" s="555" customFormat="1" ht="77.25" customHeight="1" thickBot="1" x14ac:dyDescent="0.35">
      <c r="A5" s="895" t="s">
        <v>208</v>
      </c>
      <c r="B5" s="895"/>
      <c r="C5" s="554" t="str">
        <f>IF(HLOOKUP(C4,Form!$D$25:$N$45,3,FALSE)="","",CONCATENATE(HLOOKUP(C4,Form!$D$25:$N$45,3,FALSE)," Dt ",TEXT(HLOOKUP(C4,Form!$D$25:$N$45,4,FALSE),"dd.mm.yyy")))</f>
        <v>ASC/HAL/092/23 Dt 08.08.2023</v>
      </c>
      <c r="D5" s="554" t="str">
        <f>IF(HLOOKUP(D4,Form!$D$25:$N$45,3,FALSE)="","",CONCATENATE(HLOOKUP(D4,Form!$D$25:$N$45,3,FALSE)," Dt ",TEXT(HLOOKUP(D4,Form!$D$25:$N$45,4,FALSE),"dd.mm.yyy")))</f>
        <v>94/08-356 In Dt 08.08.2023</v>
      </c>
      <c r="E5" s="788" t="str">
        <f>IF(HLOOKUP(E4,Form!$D$25:$N$45,3,FALSE)="","",CONCATENATE(HLOOKUP(E4,Form!$D$25:$N$45,3,FALSE)," Dt ",TEXT(HLOOKUP(E4,Form!$D$25:$N$45,4,FALSE),"dd.mm.yyy")))</f>
        <v>IASL/205(NK)/2023-24/0723001/095 Dt 09.08.2023</v>
      </c>
      <c r="F5" s="554" t="str">
        <f>IF(HLOOKUP(F4,Form!$D$25:$N$45,3,FALSE)="","",CONCATENATE(HLOOKUP(F4,Form!$D$25:$N$45,3,FALSE)," Dt ",TEXT(HLOOKUP(F4,Form!$D$25:$N$45,4,FALSE),"dd.mm.yyy")))</f>
        <v/>
      </c>
      <c r="G5" s="554" t="str">
        <f>IF(HLOOKUP(G4,Form!$D$25:$N$45,3,FALSE)="","",CONCATENATE(HLOOKUP(G4,Form!$D$25:$N$45,3,FALSE)," Dt ",TEXT(HLOOKUP(G4,Form!$D$25:$N$45,4,FALSE),"dd.mm.yyy")))</f>
        <v/>
      </c>
      <c r="H5" s="554" t="str">
        <f>IF(HLOOKUP(H4,Form!$D$25:$N$45,3,FALSE)="","",CONCATENATE(HLOOKUP(H4,Form!$D$25:$N$45,3,FALSE)," Dt ",TEXT(HLOOKUP(H4,Form!$D$25:$N$45,4,FALSE),"dd.mm.yyy")))</f>
        <v>ADTS/QUOTE/0720/HAL/IN-123001/23 Dt 20.07.2023</v>
      </c>
      <c r="I5" s="554" t="str">
        <f>IF(HLOOKUP(I4,Form!$D$25:$N$45,3,FALSE)="","",CONCATENATE(HLOOKUP(I4,Form!$D$25:$N$45,3,FALSE)," Dt ",TEXT(HLOOKUP(I4,Form!$D$25:$N$45,4,FALSE),"dd.mm.yyy")))</f>
        <v>825/RM-27286 Dt 07.08.2023</v>
      </c>
      <c r="J5" s="554" t="str">
        <f>IF(HLOOKUP(J4,Form!$D$25:$N$45,3,FALSE)="","",CONCATENATE(HLOOKUP(J4,Form!$D$25:$N$45,3,FALSE)," Dt ",TEXT(HLOOKUP(J4,Form!$D$25:$N$45,4,FALSE),"dd.mm.yyy")))</f>
        <v>Email Dt 10.08.2023</v>
      </c>
      <c r="K5" s="554" t="s">
        <v>494</v>
      </c>
      <c r="L5" s="554" t="str">
        <f>IF(HLOOKUP(L4,Form!$D$25:$N$45,3,FALSE)="","",CONCATENATE(HLOOKUP(L4,Form!$D$25:$N$45,3,FALSE)," Dt ",TEXT(HLOOKUP(L4,Form!$D$25:$N$45,4,FALSE),"dd.mm.yyy")))</f>
        <v/>
      </c>
      <c r="M5" s="554" t="str">
        <f>IF(HLOOKUP(M4,Form!$D$25:$N$45,3,FALSE)="","",CONCATENATE(HLOOKUP(M4,Form!$D$25:$N$45,3,FALSE)," Dt ",TEXT(HLOOKUP(M4,Form!$D$25:$N$45,4,FALSE),"dd.mm.yyy")))</f>
        <v/>
      </c>
    </row>
    <row r="6" spans="1:13" s="555" customFormat="1" ht="89.25" customHeight="1" thickBot="1" x14ac:dyDescent="0.35">
      <c r="A6" s="795">
        <v>1</v>
      </c>
      <c r="B6" s="796" t="s">
        <v>554</v>
      </c>
      <c r="C6" s="554" t="str">
        <f>IF(HLOOKUP(C4,Form!$D$25:$N$45,5,FALSE)="","",TEXT(HLOOKUP(C4,Form!$D$25:$N$45,5,FALSE),"dd.mm.yyy"))</f>
        <v xml:space="preserve">90 days </v>
      </c>
      <c r="D6" s="554" t="str">
        <f>IF(HLOOKUP(D4,Form!$D$25:$N$45,5,FALSE)="","",TEXT(HLOOKUP(D4,Form!$D$25:$N$45,5,FALSE),"dd.mm.yyy"))</f>
        <v>31.12.2023</v>
      </c>
      <c r="E6" s="788" t="str">
        <f>IF(HLOOKUP(E4,Form!$D$25:$N$45,5,FALSE)="","",TEXT(HLOOKUP(E4,Form!$D$25:$N$45,5,FALSE),"dd.mm.yyy"))</f>
        <v>60 days</v>
      </c>
      <c r="F6" s="554" t="str">
        <f>IF(HLOOKUP(F4,Form!$D$25:$N$45,5,FALSE)="","",TEXT(HLOOKUP(F4,Form!$D$25:$N$45,5,FALSE),"dd.mm.yyy"))</f>
        <v/>
      </c>
      <c r="G6" s="554" t="str">
        <f>IF(HLOOKUP(G4,Form!$D$25:$N$45,5,FALSE)="","",TEXT(HLOOKUP(G4,Form!$D$25:$N$45,5,FALSE),"dd.mm.yyy"))</f>
        <v/>
      </c>
      <c r="H6" s="554" t="str">
        <f>IF(HLOOKUP(H4,Form!$D$25:$N$45,5,FALSE)="","",TEXT(HLOOKUP(H4,Form!$D$25:$N$45,5,FALSE),"dd.mm.yyy"))</f>
        <v>Offer is valid for 120 days from the closing date of enquiry.</v>
      </c>
      <c r="I6" s="554" t="str">
        <f>IF(HLOOKUP(I4,Form!$D$25:$N$45,5,FALSE)="","",TEXT(HLOOKUP(I4,Form!$D$25:$N$45,5,FALSE),"dd.mm.yyy"))</f>
        <v>01.11.2023</v>
      </c>
      <c r="J6" s="554" t="str">
        <f>IF(HLOOKUP(J4,Form!$D$25:$N$45,5,FALSE)="","",TEXT(HLOOKUP(J4,Form!$D$25:$N$45,5,FALSE),"dd.mm.yyy"))</f>
        <v>180 days from Tender opening Date</v>
      </c>
      <c r="K6" s="554" t="s">
        <v>495</v>
      </c>
      <c r="L6" s="554" t="str">
        <f>IF(HLOOKUP(L4,Form!$D$25:$N$45,5,FALSE)="","",TEXT(HLOOKUP(L4,Form!$D$25:$N$45,5,FALSE),"dd.mm.yyy"))</f>
        <v/>
      </c>
      <c r="M6" s="554" t="str">
        <f>IF(HLOOKUP(M4,Form!$D$25:$N$45,5,FALSE)="","",TEXT(HLOOKUP(M4,Form!$D$25:$N$45,5,FALSE),"dd.mm.yyy"))</f>
        <v/>
      </c>
    </row>
    <row r="7" spans="1:13" s="555" customFormat="1" ht="19.5" thickBot="1" x14ac:dyDescent="0.35">
      <c r="A7" s="795" t="s">
        <v>653</v>
      </c>
      <c r="B7" s="796" t="s">
        <v>209</v>
      </c>
      <c r="C7" s="554" t="s">
        <v>210</v>
      </c>
      <c r="D7" s="554" t="s">
        <v>210</v>
      </c>
      <c r="E7" s="788" t="s">
        <v>210</v>
      </c>
      <c r="F7" s="554" t="s">
        <v>210</v>
      </c>
      <c r="G7" s="554" t="s">
        <v>210</v>
      </c>
      <c r="H7" s="554" t="s">
        <v>210</v>
      </c>
      <c r="I7" s="554" t="s">
        <v>210</v>
      </c>
      <c r="J7" s="554" t="s">
        <v>210</v>
      </c>
      <c r="K7" s="554" t="s">
        <v>210</v>
      </c>
      <c r="L7" s="554" t="s">
        <v>210</v>
      </c>
      <c r="M7" s="554" t="s">
        <v>210</v>
      </c>
    </row>
    <row r="8" spans="1:13" s="555" customFormat="1" ht="19.5" thickBot="1" x14ac:dyDescent="0.35">
      <c r="A8" s="894" t="s">
        <v>211</v>
      </c>
      <c r="B8" s="894"/>
      <c r="C8" s="894"/>
      <c r="D8" s="894"/>
      <c r="E8" s="894"/>
      <c r="F8" s="894"/>
      <c r="G8" s="894"/>
      <c r="H8" s="894"/>
    </row>
    <row r="9" spans="1:13" s="555" customFormat="1" ht="45.75" customHeight="1" thickBot="1" x14ac:dyDescent="0.35">
      <c r="A9" s="795" t="s">
        <v>511</v>
      </c>
      <c r="B9" s="796" t="s">
        <v>510</v>
      </c>
      <c r="C9" s="554" t="s">
        <v>210</v>
      </c>
      <c r="D9" s="554" t="s">
        <v>210</v>
      </c>
      <c r="E9" s="788" t="s">
        <v>546</v>
      </c>
      <c r="F9" s="554" t="s">
        <v>210</v>
      </c>
      <c r="G9" s="554" t="s">
        <v>210</v>
      </c>
      <c r="H9" s="554" t="s">
        <v>210</v>
      </c>
      <c r="I9" s="554" t="s">
        <v>210</v>
      </c>
      <c r="J9" s="554" t="s">
        <v>210</v>
      </c>
      <c r="K9" s="554" t="s">
        <v>210</v>
      </c>
      <c r="L9" s="554" t="s">
        <v>210</v>
      </c>
      <c r="M9" s="554" t="s">
        <v>210</v>
      </c>
    </row>
    <row r="10" spans="1:13" s="555" customFormat="1" ht="36.75" thickBot="1" x14ac:dyDescent="0.35">
      <c r="A10" s="795" t="s">
        <v>514</v>
      </c>
      <c r="B10" s="796" t="s">
        <v>214</v>
      </c>
      <c r="C10" s="554" t="s">
        <v>213</v>
      </c>
      <c r="D10" s="554" t="s">
        <v>213</v>
      </c>
      <c r="E10" s="788" t="s">
        <v>213</v>
      </c>
      <c r="F10" s="554" t="s">
        <v>213</v>
      </c>
      <c r="G10" s="554" t="s">
        <v>213</v>
      </c>
      <c r="H10" s="554" t="s">
        <v>213</v>
      </c>
      <c r="I10" s="554" t="s">
        <v>213</v>
      </c>
      <c r="J10" s="554" t="s">
        <v>213</v>
      </c>
      <c r="K10" s="554" t="s">
        <v>495</v>
      </c>
      <c r="L10" s="554" t="s">
        <v>213</v>
      </c>
      <c r="M10" s="554" t="s">
        <v>213</v>
      </c>
    </row>
    <row r="11" spans="1:13" s="555" customFormat="1" ht="84" customHeight="1" thickBot="1" x14ac:dyDescent="0.35">
      <c r="A11" s="795" t="s">
        <v>513</v>
      </c>
      <c r="B11" s="796" t="s">
        <v>547</v>
      </c>
      <c r="C11" s="554" t="s">
        <v>648</v>
      </c>
      <c r="D11" s="554" t="s">
        <v>213</v>
      </c>
      <c r="E11" s="788" t="s">
        <v>210</v>
      </c>
      <c r="F11" s="554" t="s">
        <v>210</v>
      </c>
      <c r="G11" s="554" t="s">
        <v>210</v>
      </c>
      <c r="H11" s="554" t="s">
        <v>333</v>
      </c>
      <c r="I11" s="554" t="s">
        <v>668</v>
      </c>
      <c r="J11" s="554" t="s">
        <v>210</v>
      </c>
      <c r="K11" s="554" t="s">
        <v>210</v>
      </c>
      <c r="L11" s="554" t="s">
        <v>210</v>
      </c>
      <c r="M11" s="554" t="s">
        <v>210</v>
      </c>
    </row>
    <row r="12" spans="1:13" s="555" customFormat="1" ht="19.5" thickBot="1" x14ac:dyDescent="0.35">
      <c r="A12" s="795" t="s">
        <v>512</v>
      </c>
      <c r="B12" s="796" t="s">
        <v>212</v>
      </c>
      <c r="C12" s="554" t="s">
        <v>210</v>
      </c>
      <c r="D12" s="554" t="s">
        <v>210</v>
      </c>
      <c r="E12" s="788" t="s">
        <v>210</v>
      </c>
      <c r="F12" s="554" t="s">
        <v>210</v>
      </c>
      <c r="G12" s="554" t="s">
        <v>210</v>
      </c>
      <c r="H12" s="554" t="s">
        <v>210</v>
      </c>
      <c r="I12" s="554" t="s">
        <v>210</v>
      </c>
      <c r="J12" s="554" t="s">
        <v>210</v>
      </c>
      <c r="K12" s="554" t="s">
        <v>210</v>
      </c>
      <c r="L12" s="554" t="s">
        <v>210</v>
      </c>
      <c r="M12" s="554" t="s">
        <v>210</v>
      </c>
    </row>
    <row r="13" spans="1:13" s="555" customFormat="1" ht="19.5" thickBot="1" x14ac:dyDescent="0.35">
      <c r="A13" s="894" t="s">
        <v>215</v>
      </c>
      <c r="B13" s="894"/>
      <c r="C13" s="894"/>
      <c r="D13" s="894"/>
      <c r="E13" s="894"/>
      <c r="F13" s="894"/>
      <c r="G13" s="894"/>
      <c r="H13" s="894"/>
    </row>
    <row r="14" spans="1:13" s="555" customFormat="1" ht="36.75" thickBot="1" x14ac:dyDescent="0.35">
      <c r="A14" s="795">
        <v>1</v>
      </c>
      <c r="B14" s="796" t="s">
        <v>654</v>
      </c>
      <c r="C14" s="554" t="s">
        <v>210</v>
      </c>
      <c r="D14" s="554" t="s">
        <v>844</v>
      </c>
      <c r="E14" s="788" t="s">
        <v>655</v>
      </c>
      <c r="F14" s="554" t="s">
        <v>486</v>
      </c>
      <c r="G14" s="554" t="s">
        <v>500</v>
      </c>
      <c r="H14" s="554" t="s">
        <v>210</v>
      </c>
      <c r="I14" s="554" t="s">
        <v>210</v>
      </c>
      <c r="J14" s="554" t="s">
        <v>210</v>
      </c>
      <c r="K14" s="554" t="s">
        <v>210</v>
      </c>
      <c r="L14" s="554" t="s">
        <v>498</v>
      </c>
      <c r="M14" s="554" t="s">
        <v>213</v>
      </c>
    </row>
    <row r="15" spans="1:13" s="555" customFormat="1" ht="72.75" thickBot="1" x14ac:dyDescent="0.35">
      <c r="A15" s="795" t="s">
        <v>516</v>
      </c>
      <c r="B15" s="796" t="s">
        <v>515</v>
      </c>
      <c r="C15" s="554" t="s">
        <v>210</v>
      </c>
      <c r="D15" s="554" t="s">
        <v>661</v>
      </c>
      <c r="E15" s="788" t="s">
        <v>485</v>
      </c>
      <c r="F15" s="554" t="s">
        <v>213</v>
      </c>
      <c r="G15" s="554" t="s">
        <v>487</v>
      </c>
      <c r="H15" s="554" t="s">
        <v>489</v>
      </c>
      <c r="I15" s="554" t="s">
        <v>213</v>
      </c>
      <c r="J15" s="554" t="s">
        <v>210</v>
      </c>
      <c r="K15" s="554" t="s">
        <v>210</v>
      </c>
      <c r="L15" s="554" t="s">
        <v>213</v>
      </c>
      <c r="M15" s="554" t="s">
        <v>213</v>
      </c>
    </row>
    <row r="16" spans="1:13" s="555" customFormat="1" ht="19.5" thickBot="1" x14ac:dyDescent="0.35">
      <c r="A16" s="894" t="s">
        <v>216</v>
      </c>
      <c r="B16" s="894"/>
      <c r="C16" s="894"/>
      <c r="D16" s="894"/>
      <c r="E16" s="894"/>
      <c r="F16" s="894"/>
      <c r="G16" s="894"/>
      <c r="H16" s="894"/>
    </row>
    <row r="17" spans="1:13" s="555" customFormat="1" ht="72.75" thickBot="1" x14ac:dyDescent="0.35">
      <c r="A17" s="795" t="s">
        <v>517</v>
      </c>
      <c r="B17" s="796" t="s">
        <v>519</v>
      </c>
      <c r="C17" s="554" t="str">
        <f>IF(HLOOKUP(C4,Form!$D$25:$N$45,7,FALSE)="","",TEXT(HLOOKUP(C4,Form!$D$25:$N$45,7,FALSE),"dd.mm.yyy"))</f>
        <v>100% DBT in  equivalent RUB.</v>
      </c>
      <c r="D17" s="554" t="s">
        <v>213</v>
      </c>
      <c r="E17" s="788" t="str">
        <f>IF(HLOOKUP(E4,Form!$D$25:$N$45,7,FALSE)="","",TEXT(HLOOKUP(E4,Form!$D$25:$N$45,7,FALSE),"dd.mm.yyy"))</f>
        <v>80% within 30 days of receipt. Remaining 20% after acceptance but  within 45 days of receipt</v>
      </c>
      <c r="F17" s="554" t="str">
        <f>IF(HLOOKUP(F4,Form!$D$25:$N$45,7,FALSE)="","",TEXT(HLOOKUP(F4,Form!$D$25:$N$45,7,FALSE),"dd.mm.yyy"))</f>
        <v/>
      </c>
      <c r="G17" s="554" t="s">
        <v>210</v>
      </c>
      <c r="H17" s="554" t="str">
        <f>IF(HLOOKUP(H4,Form!$D$25:$N$45,7,FALSE)="","",TEXT(HLOOKUP(H4,Form!$D$25:$N$45,7,FALSE),"dd.mm.yyy"))</f>
        <v>100% payment within 30 days from the date of supply &amp; acceptance.</v>
      </c>
      <c r="I17" s="554" t="str">
        <f>IF(HLOOKUP(I4,Form!$D$25:$N$45,7,FALSE)="","",TEXT(HLOOKUP(I4,Form!$D$25:$N$45,7,FALSE),"dd.mm.yyy"))</f>
        <v>100% DBT in  equivalent RUB.</v>
      </c>
      <c r="J17" s="554" t="s">
        <v>210</v>
      </c>
      <c r="K17" s="554" t="s">
        <v>495</v>
      </c>
      <c r="L17" s="554" t="str">
        <f>IF(HLOOKUP(L4,Form!$D$25:$N$45,7,FALSE)="","",TEXT(HLOOKUP(L4,Form!$D$25:$N$45,7,FALSE),"dd.mm.yyy"))</f>
        <v/>
      </c>
      <c r="M17" s="554" t="str">
        <f>IF(HLOOKUP(M4,Form!$D$25:$N$45,7,FALSE)="","",TEXT(HLOOKUP(M4,Form!$D$25:$N$45,7,FALSE),"dd.mm.yyy"))</f>
        <v/>
      </c>
    </row>
    <row r="18" spans="1:13" s="555" customFormat="1" ht="19.5" thickBot="1" x14ac:dyDescent="0.35">
      <c r="A18" s="894" t="s">
        <v>217</v>
      </c>
      <c r="B18" s="894"/>
      <c r="C18" s="894"/>
      <c r="D18" s="894"/>
      <c r="E18" s="894"/>
      <c r="F18" s="894"/>
      <c r="G18" s="894"/>
      <c r="H18" s="894"/>
    </row>
    <row r="19" spans="1:13" s="555" customFormat="1" ht="72.75" thickBot="1" x14ac:dyDescent="0.35">
      <c r="A19" s="795">
        <v>1</v>
      </c>
      <c r="B19" s="796" t="s">
        <v>518</v>
      </c>
      <c r="C19" s="554" t="s">
        <v>218</v>
      </c>
      <c r="D19" s="554" t="s">
        <v>218</v>
      </c>
      <c r="E19" s="788" t="s">
        <v>548</v>
      </c>
      <c r="F19" s="554" t="s">
        <v>218</v>
      </c>
      <c r="G19" s="554" t="s">
        <v>218</v>
      </c>
      <c r="H19" s="554" t="s">
        <v>490</v>
      </c>
      <c r="I19" s="554" t="s">
        <v>662</v>
      </c>
      <c r="J19" s="554" t="s">
        <v>493</v>
      </c>
      <c r="K19" s="554" t="s">
        <v>218</v>
      </c>
      <c r="L19" s="554" t="s">
        <v>496</v>
      </c>
      <c r="M19" s="554" t="s">
        <v>218</v>
      </c>
    </row>
    <row r="20" spans="1:13" s="555" customFormat="1" ht="75" customHeight="1" thickBot="1" x14ac:dyDescent="0.35">
      <c r="A20" s="795">
        <v>1</v>
      </c>
      <c r="B20" s="796" t="s">
        <v>656</v>
      </c>
      <c r="C20" s="554" t="str">
        <f>IF(HLOOKUP(C4,Form!$D$25:$N$45,6,FALSE)="","",TEXT(HLOOKUP(C4,Form!$D$25:$N$45,6,FALSE),"dd.mm.yyy"))</f>
        <v>12 months from the date of signing of contract.</v>
      </c>
      <c r="D20" s="554" t="str">
        <f>IF(HLOOKUP(D4,Form!$D$25:$N$45,6,FALSE)="","",TEXT(HLOOKUP(D4,Form!$D$25:$N$45,6,FALSE),"dd.mm.yyy"))</f>
        <v>12 months from the date of signing of contract.</v>
      </c>
      <c r="E20" s="788" t="s">
        <v>476</v>
      </c>
      <c r="F20" s="554" t="str">
        <f>IF(HLOOKUP(F4,Form!$D$25:$N$45,6,FALSE)="","",TEXT(HLOOKUP(F4,Form!$D$25:$N$45,6,FALSE),"dd.mm.yyy"))</f>
        <v/>
      </c>
      <c r="G20" s="554" t="str">
        <f>IF(HLOOKUP(G4,Form!$D$25:$N$45,6,FALSE)="","",TEXT(HLOOKUP(G4,Form!$D$25:$N$45,6,FALSE),"dd.mm.yyy"))</f>
        <v/>
      </c>
      <c r="H20" s="554" t="str">
        <f>IF(HLOOKUP(H4,Form!$D$25:$N$45,6,FALSE)="","",TEXT(HLOOKUP(H4,Form!$D$25:$N$45,6,FALSE),"dd.mm.yyy"))</f>
        <v>52-60 weeks from the date of receipt of PO.</v>
      </c>
      <c r="I20" s="554" t="str">
        <f>IF(HLOOKUP(I4,Form!$D$25:$N$45,6,FALSE)="","",TEXT(HLOOKUP(I4,Form!$D$25:$N$45,6,FALSE),"dd.mm.yyy"))</f>
        <v>Within 09 months from the date of signing the contract.</v>
      </c>
      <c r="J20" s="554" t="str">
        <f>IF(HLOOKUP(J4,Form!$D$25:$N$45,6,FALSE)="","",TEXT(HLOOKUP(J4,Form!$D$25:$N$45,6,FALSE),"dd.mm.yyy"))</f>
        <v>Within 365 days from the date of Purchase order</v>
      </c>
      <c r="K20" s="554" t="s">
        <v>495</v>
      </c>
      <c r="L20" s="554" t="str">
        <f>IF(HLOOKUP(L4,Form!$D$25:$N$45,6,FALSE)="","",TEXT(HLOOKUP(L4,Form!$D$25:$N$45,6,FALSE),"dd.mm.yyy"))</f>
        <v/>
      </c>
      <c r="M20" s="554" t="str">
        <f>IF(HLOOKUP(M4,Form!$D$25:$N$45,6,FALSE)="","",TEXT(HLOOKUP(M4,Form!$D$25:$N$45,6,FALSE),"dd.mm.yyy"))</f>
        <v/>
      </c>
    </row>
    <row r="21" spans="1:13" s="555" customFormat="1" ht="19.5" thickBot="1" x14ac:dyDescent="0.35">
      <c r="A21" s="894" t="s">
        <v>219</v>
      </c>
      <c r="B21" s="894"/>
      <c r="C21" s="894"/>
      <c r="D21" s="894"/>
      <c r="E21" s="894"/>
      <c r="F21" s="894"/>
      <c r="G21" s="894"/>
      <c r="H21" s="894"/>
    </row>
    <row r="22" spans="1:13" s="555" customFormat="1" ht="31.5" customHeight="1" thickBot="1" x14ac:dyDescent="0.35">
      <c r="A22" s="795">
        <v>11</v>
      </c>
      <c r="B22" s="796" t="s">
        <v>657</v>
      </c>
      <c r="C22" s="554" t="s">
        <v>210</v>
      </c>
      <c r="D22" s="785" t="s">
        <v>646</v>
      </c>
      <c r="E22" s="788" t="s">
        <v>210</v>
      </c>
      <c r="F22" s="554" t="s">
        <v>210</v>
      </c>
      <c r="G22" s="554" t="s">
        <v>210</v>
      </c>
      <c r="H22" s="554" t="s">
        <v>210</v>
      </c>
      <c r="I22" s="785" t="s">
        <v>647</v>
      </c>
      <c r="J22" s="554" t="s">
        <v>210</v>
      </c>
      <c r="K22" s="554" t="s">
        <v>210</v>
      </c>
      <c r="L22" s="554" t="s">
        <v>210</v>
      </c>
      <c r="M22" s="554" t="s">
        <v>210</v>
      </c>
    </row>
    <row r="23" spans="1:13" s="555" customFormat="1" ht="19.5" thickBot="1" x14ac:dyDescent="0.35">
      <c r="A23" s="894" t="s">
        <v>220</v>
      </c>
      <c r="B23" s="894"/>
      <c r="C23" s="894"/>
      <c r="D23" s="894"/>
      <c r="E23" s="894"/>
      <c r="F23" s="894"/>
      <c r="G23" s="894"/>
      <c r="H23" s="894"/>
    </row>
    <row r="24" spans="1:13" s="555" customFormat="1" ht="51" customHeight="1" thickBot="1" x14ac:dyDescent="0.35">
      <c r="A24" s="795">
        <v>14</v>
      </c>
      <c r="B24" s="796" t="s">
        <v>549</v>
      </c>
      <c r="C24" s="554" t="s">
        <v>649</v>
      </c>
      <c r="D24" s="554" t="s">
        <v>213</v>
      </c>
      <c r="E24" s="788" t="s">
        <v>210</v>
      </c>
      <c r="F24" s="554" t="s">
        <v>221</v>
      </c>
      <c r="G24" s="554" t="s">
        <v>488</v>
      </c>
      <c r="H24" s="554" t="s">
        <v>213</v>
      </c>
      <c r="I24" s="554" t="s">
        <v>213</v>
      </c>
      <c r="J24" s="554" t="s">
        <v>650</v>
      </c>
      <c r="K24" s="554" t="s">
        <v>495</v>
      </c>
      <c r="L24" s="554" t="s">
        <v>497</v>
      </c>
      <c r="M24" s="556" t="s">
        <v>499</v>
      </c>
    </row>
    <row r="25" spans="1:13" s="555" customFormat="1" ht="19.5" thickBot="1" x14ac:dyDescent="0.35">
      <c r="A25" s="894" t="s">
        <v>222</v>
      </c>
      <c r="B25" s="894"/>
      <c r="C25" s="894"/>
      <c r="D25" s="894"/>
      <c r="E25" s="894"/>
      <c r="F25" s="894"/>
      <c r="G25" s="894"/>
      <c r="H25" s="894"/>
    </row>
    <row r="26" spans="1:13" s="555" customFormat="1" ht="36" customHeight="1" thickBot="1" x14ac:dyDescent="0.35">
      <c r="A26" s="795">
        <v>16</v>
      </c>
      <c r="B26" s="796" t="s">
        <v>223</v>
      </c>
      <c r="C26" s="554" t="s">
        <v>213</v>
      </c>
      <c r="D26" s="891" t="s">
        <v>661</v>
      </c>
      <c r="E26" s="788" t="s">
        <v>210</v>
      </c>
      <c r="F26" s="554" t="s">
        <v>213</v>
      </c>
      <c r="G26" s="554" t="s">
        <v>210</v>
      </c>
      <c r="H26" s="554" t="s">
        <v>213</v>
      </c>
      <c r="I26" s="554" t="s">
        <v>213</v>
      </c>
      <c r="J26" s="554" t="s">
        <v>213</v>
      </c>
      <c r="K26" s="554" t="s">
        <v>495</v>
      </c>
      <c r="L26" s="554" t="s">
        <v>497</v>
      </c>
      <c r="M26" s="554" t="s">
        <v>213</v>
      </c>
    </row>
    <row r="27" spans="1:13" s="555" customFormat="1" ht="36" customHeight="1" thickBot="1" x14ac:dyDescent="0.35">
      <c r="A27" s="795">
        <v>17</v>
      </c>
      <c r="B27" s="796" t="s">
        <v>224</v>
      </c>
      <c r="C27" s="554" t="s">
        <v>213</v>
      </c>
      <c r="D27" s="892"/>
      <c r="E27" s="788" t="s">
        <v>210</v>
      </c>
      <c r="F27" s="554" t="s">
        <v>213</v>
      </c>
      <c r="G27" s="554" t="s">
        <v>210</v>
      </c>
      <c r="H27" s="554" t="s">
        <v>213</v>
      </c>
      <c r="I27" s="554" t="s">
        <v>213</v>
      </c>
      <c r="J27" s="554" t="s">
        <v>213</v>
      </c>
      <c r="K27" s="554" t="s">
        <v>495</v>
      </c>
      <c r="L27" s="554" t="s">
        <v>497</v>
      </c>
      <c r="M27" s="554" t="s">
        <v>213</v>
      </c>
    </row>
    <row r="28" spans="1:13" s="555" customFormat="1" ht="36" customHeight="1" thickBot="1" x14ac:dyDescent="0.35">
      <c r="A28" s="795">
        <v>18</v>
      </c>
      <c r="B28" s="796" t="s">
        <v>658</v>
      </c>
      <c r="C28" s="554" t="s">
        <v>213</v>
      </c>
      <c r="D28" s="892"/>
      <c r="E28" s="788" t="s">
        <v>210</v>
      </c>
      <c r="F28" s="554" t="s">
        <v>213</v>
      </c>
      <c r="G28" s="554" t="s">
        <v>210</v>
      </c>
      <c r="H28" s="554" t="s">
        <v>213</v>
      </c>
      <c r="I28" s="554" t="s">
        <v>213</v>
      </c>
      <c r="J28" s="554" t="s">
        <v>213</v>
      </c>
      <c r="K28" s="554" t="s">
        <v>495</v>
      </c>
      <c r="L28" s="554" t="s">
        <v>497</v>
      </c>
      <c r="M28" s="554" t="s">
        <v>213</v>
      </c>
    </row>
    <row r="29" spans="1:13" s="555" customFormat="1" ht="36" customHeight="1" thickBot="1" x14ac:dyDescent="0.35">
      <c r="A29" s="795">
        <v>19</v>
      </c>
      <c r="B29" s="796" t="s">
        <v>521</v>
      </c>
      <c r="C29" s="554" t="s">
        <v>213</v>
      </c>
      <c r="D29" s="892"/>
      <c r="E29" s="788" t="s">
        <v>210</v>
      </c>
      <c r="F29" s="554" t="s">
        <v>213</v>
      </c>
      <c r="G29" s="554" t="s">
        <v>210</v>
      </c>
      <c r="H29" s="554" t="s">
        <v>213</v>
      </c>
      <c r="I29" s="554" t="s">
        <v>213</v>
      </c>
      <c r="J29" s="554" t="s">
        <v>213</v>
      </c>
      <c r="K29" s="554" t="s">
        <v>495</v>
      </c>
      <c r="L29" s="554" t="s">
        <v>497</v>
      </c>
      <c r="M29" s="554" t="s">
        <v>213</v>
      </c>
    </row>
    <row r="30" spans="1:13" s="555" customFormat="1" ht="36" customHeight="1" thickBot="1" x14ac:dyDescent="0.35">
      <c r="A30" s="795">
        <v>20</v>
      </c>
      <c r="B30" s="796" t="s">
        <v>227</v>
      </c>
      <c r="C30" s="554" t="s">
        <v>213</v>
      </c>
      <c r="D30" s="892"/>
      <c r="E30" s="788" t="s">
        <v>210</v>
      </c>
      <c r="F30" s="554" t="s">
        <v>213</v>
      </c>
      <c r="G30" s="554" t="s">
        <v>210</v>
      </c>
      <c r="H30" s="554" t="s">
        <v>213</v>
      </c>
      <c r="I30" s="554" t="s">
        <v>213</v>
      </c>
      <c r="J30" s="554" t="s">
        <v>213</v>
      </c>
      <c r="K30" s="554" t="s">
        <v>495</v>
      </c>
      <c r="L30" s="554" t="s">
        <v>497</v>
      </c>
      <c r="M30" s="554" t="s">
        <v>213</v>
      </c>
    </row>
    <row r="31" spans="1:13" s="555" customFormat="1" ht="36" customHeight="1" thickBot="1" x14ac:dyDescent="0.35">
      <c r="A31" s="795">
        <v>21</v>
      </c>
      <c r="B31" s="796" t="s">
        <v>225</v>
      </c>
      <c r="C31" s="554" t="s">
        <v>213</v>
      </c>
      <c r="D31" s="892"/>
      <c r="E31" s="788" t="s">
        <v>210</v>
      </c>
      <c r="F31" s="554" t="s">
        <v>213</v>
      </c>
      <c r="G31" s="554" t="s">
        <v>210</v>
      </c>
      <c r="H31" s="554" t="s">
        <v>213</v>
      </c>
      <c r="I31" s="554" t="s">
        <v>213</v>
      </c>
      <c r="J31" s="554" t="s">
        <v>213</v>
      </c>
      <c r="K31" s="554" t="s">
        <v>495</v>
      </c>
      <c r="L31" s="554" t="s">
        <v>497</v>
      </c>
      <c r="M31" s="554" t="s">
        <v>213</v>
      </c>
    </row>
    <row r="32" spans="1:13" s="555" customFormat="1" ht="36" customHeight="1" thickBot="1" x14ac:dyDescent="0.35">
      <c r="A32" s="795">
        <v>33</v>
      </c>
      <c r="B32" s="796" t="s">
        <v>483</v>
      </c>
      <c r="C32" s="554" t="s">
        <v>213</v>
      </c>
      <c r="D32" s="892"/>
      <c r="E32" s="788" t="s">
        <v>213</v>
      </c>
      <c r="F32" s="554" t="s">
        <v>213</v>
      </c>
      <c r="G32" s="554" t="s">
        <v>210</v>
      </c>
      <c r="H32" s="554" t="s">
        <v>213</v>
      </c>
      <c r="I32" s="554" t="s">
        <v>213</v>
      </c>
      <c r="J32" s="554" t="s">
        <v>213</v>
      </c>
      <c r="K32" s="554" t="s">
        <v>495</v>
      </c>
      <c r="L32" s="554" t="s">
        <v>497</v>
      </c>
      <c r="M32" s="554" t="s">
        <v>213</v>
      </c>
    </row>
    <row r="33" spans="1:13" s="555" customFormat="1" ht="54.75" thickBot="1" x14ac:dyDescent="0.35">
      <c r="A33" s="795" t="s">
        <v>659</v>
      </c>
      <c r="B33" s="796" t="s">
        <v>520</v>
      </c>
      <c r="C33" s="554" t="s">
        <v>213</v>
      </c>
      <c r="D33" s="892"/>
      <c r="E33" s="788" t="s">
        <v>210</v>
      </c>
      <c r="F33" s="554" t="s">
        <v>213</v>
      </c>
      <c r="G33" s="554" t="s">
        <v>210</v>
      </c>
      <c r="H33" s="554" t="s">
        <v>492</v>
      </c>
      <c r="I33" s="554" t="s">
        <v>213</v>
      </c>
      <c r="J33" s="554" t="s">
        <v>522</v>
      </c>
      <c r="K33" s="554" t="s">
        <v>495</v>
      </c>
      <c r="L33" s="554" t="s">
        <v>497</v>
      </c>
      <c r="M33" s="554" t="s">
        <v>213</v>
      </c>
    </row>
    <row r="34" spans="1:13" s="555" customFormat="1" ht="44.25" customHeight="1" thickBot="1" x14ac:dyDescent="0.35">
      <c r="A34" s="795" t="s">
        <v>660</v>
      </c>
      <c r="B34" s="796" t="s">
        <v>226</v>
      </c>
      <c r="C34" s="554" t="s">
        <v>213</v>
      </c>
      <c r="D34" s="893"/>
      <c r="E34" s="788" t="s">
        <v>210</v>
      </c>
      <c r="F34" s="554" t="s">
        <v>213</v>
      </c>
      <c r="G34" s="554" t="s">
        <v>210</v>
      </c>
      <c r="H34" s="554" t="s">
        <v>213</v>
      </c>
      <c r="I34" s="554" t="s">
        <v>213</v>
      </c>
      <c r="J34" s="554" t="s">
        <v>213</v>
      </c>
      <c r="K34" s="554" t="s">
        <v>495</v>
      </c>
      <c r="L34" s="554" t="s">
        <v>497</v>
      </c>
      <c r="M34" s="554" t="s">
        <v>213</v>
      </c>
    </row>
    <row r="35" spans="1:13" s="555" customFormat="1" ht="58.5" hidden="1" customHeight="1" thickBot="1" x14ac:dyDescent="0.35">
      <c r="A35" s="795"/>
      <c r="B35" s="796"/>
      <c r="C35" s="554"/>
      <c r="D35" s="554"/>
      <c r="E35" s="788"/>
      <c r="F35" s="554"/>
      <c r="G35" s="554"/>
      <c r="H35" s="554"/>
      <c r="I35" s="554"/>
      <c r="J35" s="554"/>
      <c r="K35" s="554"/>
      <c r="L35" s="554"/>
      <c r="M35" s="554"/>
    </row>
    <row r="36" spans="1:13" ht="87" customHeight="1" x14ac:dyDescent="0.25"/>
    <row r="37" spans="1:13" s="296" customFormat="1" ht="48" customHeight="1" x14ac:dyDescent="0.25">
      <c r="A37" s="798" t="s">
        <v>552</v>
      </c>
      <c r="B37" s="798" t="s">
        <v>551</v>
      </c>
      <c r="E37" s="790" t="s">
        <v>550</v>
      </c>
      <c r="I37" s="888" t="s">
        <v>529</v>
      </c>
      <c r="J37" s="888"/>
    </row>
    <row r="41" spans="1:13" s="568" customFormat="1" ht="64.5" customHeight="1" x14ac:dyDescent="0.4">
      <c r="A41" s="799"/>
      <c r="B41" s="889"/>
      <c r="C41" s="889"/>
      <c r="E41" s="888"/>
      <c r="F41" s="888"/>
      <c r="K41" s="888" t="s">
        <v>528</v>
      </c>
      <c r="L41" s="888"/>
    </row>
    <row r="42" spans="1:13" x14ac:dyDescent="0.25">
      <c r="B42" s="800" t="s">
        <v>507</v>
      </c>
    </row>
  </sheetData>
  <mergeCells count="15">
    <mergeCell ref="A1:M1"/>
    <mergeCell ref="A21:H21"/>
    <mergeCell ref="A23:H23"/>
    <mergeCell ref="A25:H25"/>
    <mergeCell ref="A5:B5"/>
    <mergeCell ref="A8:H8"/>
    <mergeCell ref="A13:H13"/>
    <mergeCell ref="A16:H16"/>
    <mergeCell ref="A18:H18"/>
    <mergeCell ref="E41:F41"/>
    <mergeCell ref="B41:C41"/>
    <mergeCell ref="I37:J37"/>
    <mergeCell ref="K41:L41"/>
    <mergeCell ref="A2:M2"/>
    <mergeCell ref="D26:D34"/>
  </mergeCells>
  <conditionalFormatting sqref="D14:D15 D19:D20 D22 D3:D4 D9:D12 D7 D17 C11 F19:G19 D26">
    <cfRule type="expression" dxfId="16" priority="42">
      <formula>$D$5=""</formula>
    </cfRule>
  </conditionalFormatting>
  <conditionalFormatting sqref="C14:C15 C17 C19:C20 C22 C3:C7 C12 C9:C10 I33 M26:M35 F26:F35 D5:J6 H26:J32 H34:J35 C26:C35 C24:D24 D35 E32 D26 I24">
    <cfRule type="expression" dxfId="15" priority="41">
      <formula>$C$5=""</formula>
    </cfRule>
  </conditionalFormatting>
  <conditionalFormatting sqref="E24 E22 E19:E20 E17 E3:E4 E7 E14:E15 E9:E12 E26:E31 E33:E35">
    <cfRule type="expression" dxfId="14" priority="40">
      <formula>$E$5=""</formula>
    </cfRule>
  </conditionalFormatting>
  <conditionalFormatting sqref="G3:G4 G14 G17 G20 G24 G9 G11:G12 G7 G26:G35">
    <cfRule type="expression" dxfId="13" priority="39">
      <formula>$G$5=""</formula>
    </cfRule>
  </conditionalFormatting>
  <conditionalFormatting sqref="H33 H9:M12 J33:L33 H24 H17:M17 H19:M20 H22:M22 H14:M15 J24:L24 K26:L32 K34:L35 H3:L4 H7:L7 K5:L6 M3:M7">
    <cfRule type="expression" dxfId="12" priority="38">
      <formula>$H$5=""</formula>
    </cfRule>
  </conditionalFormatting>
  <conditionalFormatting sqref="F3:F4 F17 F20 F24 F14:F15 F9:F12 F7 G10 G15 F22:G22">
    <cfRule type="expression" dxfId="11" priority="37">
      <formula>$F$5=""</formula>
    </cfRule>
  </conditionalFormatting>
  <pageMargins left="0.47" right="0.15748031496062992" top="0.43307086614173229" bottom="0.19685039370078741" header="0.31496062992125984" footer="0.19685039370078741"/>
  <pageSetup paperSize="9" scale="40" orientation="landscape" r:id="rId1"/>
  <headerFooter differentFirst="1" scaleWithDoc="0" alignWithMargins="0">
    <oddFooter xml:space="preserve">&amp;C&amp;12                             </oddFooter>
  </headerFooter>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2060"/>
  </sheetPr>
  <dimension ref="A1:K48"/>
  <sheetViews>
    <sheetView view="pageBreakPreview" zoomScale="85" zoomScaleSheetLayoutView="85" workbookViewId="0">
      <selection activeCell="D35" sqref="D35:J35"/>
    </sheetView>
  </sheetViews>
  <sheetFormatPr defaultRowHeight="15" x14ac:dyDescent="0.25"/>
  <cols>
    <col min="1" max="1" width="9.140625" customWidth="1"/>
    <col min="2" max="2" width="4.5703125" style="299" customWidth="1"/>
    <col min="3" max="3" width="17.7109375" style="299" customWidth="1"/>
    <col min="4" max="4" width="12.7109375" customWidth="1"/>
    <col min="5" max="5" width="9.140625" customWidth="1"/>
    <col min="6" max="6" width="12.7109375" customWidth="1"/>
    <col min="7" max="7" width="12.28515625" customWidth="1"/>
    <col min="8" max="8" width="12.7109375" customWidth="1"/>
    <col min="9" max="9" width="15" customWidth="1"/>
    <col min="10" max="10" width="21.28515625" customWidth="1"/>
    <col min="11" max="11" width="17.28515625" customWidth="1"/>
  </cols>
  <sheetData>
    <row r="1" spans="1:11" ht="15.75" thickBot="1" x14ac:dyDescent="0.3">
      <c r="A1" s="397" t="s">
        <v>566</v>
      </c>
      <c r="B1" s="896" t="s">
        <v>228</v>
      </c>
      <c r="C1" s="897"/>
      <c r="D1" s="897"/>
      <c r="E1" s="897"/>
      <c r="F1" s="897"/>
      <c r="G1" s="897"/>
      <c r="H1" s="897"/>
      <c r="I1" s="897"/>
      <c r="J1" s="897"/>
    </row>
    <row r="2" spans="1:11" ht="47.25" customHeight="1" thickBot="1" x14ac:dyDescent="0.3">
      <c r="B2" s="319" t="s">
        <v>150</v>
      </c>
      <c r="C2" s="319" t="s">
        <v>229</v>
      </c>
      <c r="D2" s="898" t="str">
        <f>CONCATENATE("TYPE OF ITEMS: Procurement of ",G15," lines of Spares for ",Form!D5," with ", A1," against Indent ",Form!D2," dated ",TEXT(Form!D3,"dd.mm.yyyy"))</f>
        <v>TYPE OF ITEMS: Procurement of 2 lines of Spares for MiG/SUROH with IASL against Indent abcd001 dated 27.05.2023</v>
      </c>
      <c r="E2" s="899"/>
      <c r="F2" s="899"/>
      <c r="G2" s="899"/>
      <c r="H2" s="899"/>
      <c r="I2" s="900"/>
      <c r="J2" s="319" t="str">
        <f>PP!K1</f>
        <v>PROJECT: MiG/SUROH</v>
      </c>
    </row>
    <row r="3" spans="1:11" ht="66" customHeight="1" thickBot="1" x14ac:dyDescent="0.3">
      <c r="B3" s="320">
        <v>1</v>
      </c>
      <c r="C3" s="320" t="s">
        <v>230</v>
      </c>
      <c r="D3" s="901" t="str">
        <f>CONCATENATE("Procurement of ",'NOTE Sheet'!F10," lines of ",Form!D7," ",Form!E7," (Induction Year).")</f>
        <v>Procurement of 2 lines of Procurement of BoI Spares &amp; Repair of KOPYO Cards HAL/NK/MPU-AOD/xyz(208)/23/ dated 01.06.2023 (Induction Year).</v>
      </c>
      <c r="E3" s="902"/>
      <c r="F3" s="902"/>
      <c r="G3" s="902"/>
      <c r="H3" s="902"/>
      <c r="I3" s="902"/>
      <c r="J3" s="903"/>
    </row>
    <row r="4" spans="1:11" ht="35.25" customHeight="1" x14ac:dyDescent="0.25">
      <c r="B4" s="904">
        <v>2</v>
      </c>
      <c r="C4" s="904" t="s">
        <v>231</v>
      </c>
      <c r="D4" s="906" t="str">
        <f>CONCATENATE("The competent authority has approved Vide ",K4," ",Form!C14," dated ",TEXT(VLOOKUP(K4,Form!C15:D24,2,FALSE),"dd.mm.yyyy")," to conduct negotiation with ",A1," with following members:")</f>
        <v>The competent authority has approved Vide N2 HAL/NK/MPU-AOD/2237(628)/23/107/ dated 04.10.2021 to conduct negotiation with IASL with following members:</v>
      </c>
      <c r="E4" s="907"/>
      <c r="F4" s="907"/>
      <c r="G4" s="907"/>
      <c r="H4" s="907"/>
      <c r="I4" s="907"/>
      <c r="J4" s="908"/>
      <c r="K4" t="s">
        <v>37</v>
      </c>
    </row>
    <row r="5" spans="1:11" ht="15" customHeight="1" x14ac:dyDescent="0.25">
      <c r="B5" s="905"/>
      <c r="C5" s="905"/>
      <c r="D5" s="909" t="s">
        <v>232</v>
      </c>
      <c r="E5" s="910"/>
      <c r="F5" s="910"/>
      <c r="G5" s="321" t="s">
        <v>233</v>
      </c>
      <c r="H5" s="911" t="s">
        <v>234</v>
      </c>
      <c r="I5" s="911"/>
      <c r="J5" s="912"/>
    </row>
    <row r="6" spans="1:11" ht="15" customHeight="1" x14ac:dyDescent="0.25">
      <c r="B6" s="905"/>
      <c r="C6" s="905"/>
      <c r="D6" s="909" t="s">
        <v>235</v>
      </c>
      <c r="E6" s="910"/>
      <c r="F6" s="910"/>
      <c r="G6" s="321" t="s">
        <v>233</v>
      </c>
      <c r="H6" s="911" t="s">
        <v>236</v>
      </c>
      <c r="I6" s="911"/>
      <c r="J6" s="912"/>
    </row>
    <row r="7" spans="1:11" ht="15" customHeight="1" x14ac:dyDescent="0.25">
      <c r="B7" s="905"/>
      <c r="C7" s="905"/>
      <c r="D7" s="909" t="s">
        <v>237</v>
      </c>
      <c r="E7" s="910"/>
      <c r="F7" s="910"/>
      <c r="G7" s="321" t="s">
        <v>233</v>
      </c>
      <c r="H7" s="911" t="s">
        <v>238</v>
      </c>
      <c r="I7" s="911"/>
      <c r="J7" s="912"/>
    </row>
    <row r="8" spans="1:11" ht="15" customHeight="1" x14ac:dyDescent="0.25">
      <c r="B8" s="905"/>
      <c r="C8" s="905"/>
      <c r="D8" s="909" t="s">
        <v>239</v>
      </c>
      <c r="E8" s="910"/>
      <c r="F8" s="910"/>
      <c r="G8" s="321" t="s">
        <v>233</v>
      </c>
      <c r="H8" s="911" t="s">
        <v>240</v>
      </c>
      <c r="I8" s="911"/>
      <c r="J8" s="912"/>
    </row>
    <row r="9" spans="1:11" ht="21" customHeight="1" thickBot="1" x14ac:dyDescent="0.3">
      <c r="B9" s="905"/>
      <c r="C9" s="905"/>
      <c r="D9" s="913" t="str">
        <f>IF(HLOOKUP(A1,Form!D25:I35,10,FALSE)="",CONCATENATE("Negotiation conducted on ",TEXT(HLOOKUP(A1,Form!D25:I35,11,FALSE),"dd.mm.yyyy")," at HAL Nasik Division. "),CONCATENATE(A1," vide ",HLOOKUP(A1,Form!D25:I35,10,FALSE)," informed that they are not able to depute the representative for negotiation in the near future. Hence negotiation not conducted."))</f>
        <v xml:space="preserve">Negotiation conducted on 00.01.1900 at HAL Nasik Division. </v>
      </c>
      <c r="E9" s="914"/>
      <c r="F9" s="914"/>
      <c r="G9" s="914"/>
      <c r="H9" s="914"/>
      <c r="I9" s="914"/>
      <c r="J9" s="915"/>
    </row>
    <row r="10" spans="1:11" ht="65.25" customHeight="1" x14ac:dyDescent="0.25">
      <c r="B10" s="904">
        <v>3</v>
      </c>
      <c r="C10" s="904" t="s">
        <v>241</v>
      </c>
      <c r="D10" s="906" t="str">
        <f>PP!F4</f>
        <v>Division has requirement of 54 lines of Procurement of BoI Spares &amp; Repair of KOPYO Cards HAL/NK/MPU-AOD/xyz(208)/23/ dated 01.06.2023 (E1). Accordingly Indent abcd001 dated 27.05.2023 was floated to 14 approved suppliers.</v>
      </c>
      <c r="E10" s="907"/>
      <c r="F10" s="907"/>
      <c r="G10" s="907"/>
      <c r="H10" s="907"/>
      <c r="I10" s="907"/>
      <c r="J10" s="908"/>
    </row>
    <row r="11" spans="1:11" ht="142.5" customHeight="1" thickBot="1" x14ac:dyDescent="0.3">
      <c r="B11" s="905"/>
      <c r="C11" s="905"/>
      <c r="D11" s="928" t="str">
        <f>PP!F5</f>
        <v xml:space="preserve"> Tender was opened on 19.07.2023 and offers were received from 04 different Vendors namely; GIS, INDO AVIA SERVICES LTD, ADRYS Technologies (ADRYS), All the offers are technically accepted (E-3). Requirement of 2 lines are deleted from the proposal due to TEC.  Details on offers from IASL (L-1) lines are given below:</v>
      </c>
      <c r="E11" s="929"/>
      <c r="F11" s="929"/>
      <c r="G11" s="929"/>
      <c r="H11" s="929"/>
      <c r="I11" s="929"/>
      <c r="J11" s="930"/>
    </row>
    <row r="12" spans="1:11" ht="53.25" customHeight="1" thickBot="1" x14ac:dyDescent="0.3">
      <c r="B12" s="905"/>
      <c r="C12" s="905"/>
      <c r="D12" s="322" t="s">
        <v>164</v>
      </c>
      <c r="E12" s="322" t="s">
        <v>165</v>
      </c>
      <c r="F12" s="322" t="s">
        <v>166</v>
      </c>
      <c r="G12" s="322" t="s">
        <v>167</v>
      </c>
      <c r="H12" s="322" t="s">
        <v>168</v>
      </c>
      <c r="I12" s="322" t="s">
        <v>242</v>
      </c>
      <c r="J12" s="322" t="s">
        <v>169</v>
      </c>
    </row>
    <row r="13" spans="1:11" ht="15.75" thickBot="1" x14ac:dyDescent="0.3">
      <c r="B13" s="905"/>
      <c r="C13" s="905"/>
      <c r="D13" s="319" t="str">
        <f>PP!F7</f>
        <v>IASL</v>
      </c>
      <c r="E13" s="319">
        <f>PP!G7</f>
        <v>41</v>
      </c>
      <c r="F13" s="323" t="s">
        <v>170</v>
      </c>
      <c r="G13" s="319">
        <f>PP!I7</f>
        <v>0</v>
      </c>
      <c r="H13" s="324">
        <f>PP!J7</f>
        <v>0</v>
      </c>
      <c r="I13" s="325">
        <f>PP!K7</f>
        <v>0</v>
      </c>
      <c r="J13" s="326" t="str">
        <f>IF(SUM(H13:I13)=0,"",((H13-I13)/I13))</f>
        <v/>
      </c>
    </row>
    <row r="14" spans="1:11" ht="15.75" thickBot="1" x14ac:dyDescent="0.3">
      <c r="B14" s="905"/>
      <c r="C14" s="905"/>
      <c r="D14" s="319" t="str">
        <f>D13</f>
        <v>IASL</v>
      </c>
      <c r="E14" s="319">
        <f>PP!G8</f>
        <v>41</v>
      </c>
      <c r="F14" s="323" t="s">
        <v>171</v>
      </c>
      <c r="G14" s="319">
        <f>PP!I8</f>
        <v>2</v>
      </c>
      <c r="H14" s="324">
        <f>PP!J8</f>
        <v>106083.6</v>
      </c>
      <c r="I14" s="325">
        <f>PP!K8</f>
        <v>82253.259999999995</v>
      </c>
      <c r="J14" s="326">
        <f>IF(SUM(H14:I14)=0,"",((H14-I14)/I14))</f>
        <v>0.28971909441644028</v>
      </c>
      <c r="K14" s="334">
        <f>H14*1.3224*75.65/100000</f>
        <v>106.12556667216001</v>
      </c>
    </row>
    <row r="15" spans="1:11" ht="14.25" customHeight="1" thickBot="1" x14ac:dyDescent="0.3">
      <c r="B15" s="905"/>
      <c r="C15" s="905"/>
      <c r="D15" s="931" t="s">
        <v>155</v>
      </c>
      <c r="E15" s="932"/>
      <c r="F15" s="933"/>
      <c r="G15" s="327">
        <f>SUM(G13:G14)</f>
        <v>2</v>
      </c>
      <c r="H15" s="328">
        <f>SUM(H13:H14)</f>
        <v>106083.6</v>
      </c>
      <c r="I15" s="329">
        <f>SUM(I13:I14)</f>
        <v>82253.259999999995</v>
      </c>
      <c r="J15" s="330">
        <f>IF(SUM(H15:I15)=0,"",((H15-I15)/I15))</f>
        <v>0.28971909441644028</v>
      </c>
    </row>
    <row r="16" spans="1:11" ht="65.25" customHeight="1" thickBot="1" x14ac:dyDescent="0.3">
      <c r="B16" s="919"/>
      <c r="C16" s="919"/>
      <c r="D16" s="916" t="str">
        <f>'NOTE Sheet'!F7</f>
        <v xml:space="preserve">It was observed that total offer price of IASL is USD 1,06,083.60 for 2 L1 lines, which was (+) 28.97% higher than the HAL estimates. Out of 2 L1 lines, the prices of 1 lines were higher than the HAL estimated price. Hence, it was proposed to negotiate; which was approved by CFA vide N2 dated 04.10.2021. </v>
      </c>
      <c r="E16" s="917"/>
      <c r="F16" s="917"/>
      <c r="G16" s="917"/>
      <c r="H16" s="917"/>
      <c r="I16" s="917"/>
      <c r="J16" s="918"/>
    </row>
    <row r="17" spans="2:11" ht="39" customHeight="1" x14ac:dyDescent="0.25">
      <c r="B17" s="904">
        <v>4</v>
      </c>
      <c r="C17" s="920" t="s">
        <v>243</v>
      </c>
      <c r="D17" s="906" t="str">
        <f>CONCATENATE("Negotiation conducted on ",TEXT(HLOOKUP(A1,Form!D25:I35,11,FALSE),"dd.mm.yyyy")," by the approved PNC of HAL and representatives of ",A1,". During negotiation following points were discussed:")</f>
        <v>Negotiation conducted on 00.01.1900 by the approved PNC of HAL and representatives of IASL. During negotiation following points were discussed:</v>
      </c>
      <c r="E17" s="907"/>
      <c r="F17" s="907"/>
      <c r="G17" s="907"/>
      <c r="H17" s="907"/>
      <c r="I17" s="907"/>
      <c r="J17" s="908"/>
    </row>
    <row r="18" spans="2:11" x14ac:dyDescent="0.25">
      <c r="B18" s="905"/>
      <c r="C18" s="909"/>
      <c r="D18" s="922" t="s">
        <v>244</v>
      </c>
      <c r="E18" s="923"/>
      <c r="F18" s="923"/>
      <c r="G18" s="923"/>
      <c r="H18" s="923"/>
      <c r="I18" s="923"/>
      <c r="J18" s="924"/>
    </row>
    <row r="19" spans="2:11" ht="91.5" customHeight="1" x14ac:dyDescent="0.25">
      <c r="B19" s="905"/>
      <c r="C19" s="909"/>
      <c r="D19" s="925" t="s">
        <v>245</v>
      </c>
      <c r="E19" s="926"/>
      <c r="F19" s="926"/>
      <c r="G19" s="926"/>
      <c r="H19" s="926"/>
      <c r="I19" s="926"/>
      <c r="J19" s="927"/>
    </row>
    <row r="20" spans="2:11" ht="15" customHeight="1" x14ac:dyDescent="0.25">
      <c r="B20" s="905"/>
      <c r="C20" s="909"/>
      <c r="D20" s="922" t="s">
        <v>246</v>
      </c>
      <c r="E20" s="923"/>
      <c r="F20" s="923"/>
      <c r="G20" s="923"/>
      <c r="H20" s="923"/>
      <c r="I20" s="923"/>
      <c r="J20" s="924"/>
    </row>
    <row r="21" spans="2:11" ht="82.5" customHeight="1" x14ac:dyDescent="0.25">
      <c r="B21" s="905"/>
      <c r="C21" s="909"/>
      <c r="D21" s="925" t="s">
        <v>247</v>
      </c>
      <c r="E21" s="926"/>
      <c r="F21" s="926"/>
      <c r="G21" s="926"/>
      <c r="H21" s="926"/>
      <c r="I21" s="926"/>
      <c r="J21" s="927"/>
    </row>
    <row r="22" spans="2:11" ht="15.75" customHeight="1" x14ac:dyDescent="0.25">
      <c r="B22" s="905"/>
      <c r="C22" s="909"/>
      <c r="D22" s="922" t="s">
        <v>248</v>
      </c>
      <c r="E22" s="923"/>
      <c r="F22" s="923"/>
      <c r="G22" s="923"/>
      <c r="H22" s="923"/>
      <c r="I22" s="923"/>
      <c r="J22" s="924"/>
    </row>
    <row r="23" spans="2:11" ht="55.5" customHeight="1" x14ac:dyDescent="0.25">
      <c r="B23" s="905"/>
      <c r="C23" s="909"/>
      <c r="D23" s="925" t="s">
        <v>249</v>
      </c>
      <c r="E23" s="926"/>
      <c r="F23" s="926"/>
      <c r="G23" s="926"/>
      <c r="H23" s="926"/>
      <c r="I23" s="926"/>
      <c r="J23" s="927"/>
    </row>
    <row r="24" spans="2:11" ht="17.25" customHeight="1" x14ac:dyDescent="0.25">
      <c r="B24" s="905"/>
      <c r="C24" s="909"/>
      <c r="D24" s="922" t="s">
        <v>250</v>
      </c>
      <c r="E24" s="923"/>
      <c r="F24" s="923"/>
      <c r="G24" s="923"/>
      <c r="H24" s="923"/>
      <c r="I24" s="923"/>
      <c r="J24" s="924"/>
    </row>
    <row r="25" spans="2:11" ht="42.75" customHeight="1" x14ac:dyDescent="0.25">
      <c r="B25" s="905"/>
      <c r="C25" s="909"/>
      <c r="D25" s="934" t="e">
        <f>CONCATENATE(A1," informed that all other terms and conditions will be as per ",HLOOKUP(A1,'NOTE Sheet'!13:13,2,FALSE)," dated ",TEXT(HLOOKUP(A1,'NOTE Sheet'!13:13,3,FALSE),"dd.mm.yyyy"),". HAL agreed for the same.")</f>
        <v>#N/A</v>
      </c>
      <c r="E25" s="935"/>
      <c r="F25" s="935"/>
      <c r="G25" s="935"/>
      <c r="H25" s="935"/>
      <c r="I25" s="935"/>
      <c r="J25" s="936"/>
    </row>
    <row r="26" spans="2:11" ht="57.75" customHeight="1" thickBot="1" x14ac:dyDescent="0.3">
      <c r="B26" s="919"/>
      <c r="C26" s="921"/>
      <c r="D26" s="937" t="str">
        <f>CONCATENATE("Further ",A1," vide letter no ",'NOTE Sheet'!F24," dated ",TEXT('NOTE Sheet'!G24,"dd.mm.yyyy"),", forwarded draft contract ",'NOTE Sheet'!F25," for ",E31," lines. ",IF(COUNTIFS('CST-Final'!$BU:$BU,"D",'CST-Final'!$AY:$AY,A1,'CST-Final'!$AZ:$AZ,D31)=0,"",CONCATENATE(". Cancelled lines (",COUNTIFS('CST-Final'!$BU:$BU,"D",'CST-Final'!$AY:$AY,A1,'CST-Final'!$AZ:$AZ,D31)," lines) of ",A1," will be retendered after approval.")))</f>
        <v xml:space="preserve">Further IASL vide letter no  dated 00.01.1900, forwarded draft contract  for 2 lines. </v>
      </c>
      <c r="E26" s="938"/>
      <c r="F26" s="938"/>
      <c r="G26" s="938"/>
      <c r="H26" s="938"/>
      <c r="I26" s="938"/>
      <c r="J26" s="939"/>
    </row>
    <row r="27" spans="2:11" ht="15.75" thickBot="1" x14ac:dyDescent="0.3">
      <c r="B27" s="904">
        <v>5</v>
      </c>
      <c r="C27" s="904" t="s">
        <v>251</v>
      </c>
      <c r="D27" s="913" t="str">
        <f>CONCATENATE("The summary of negotiated offer of ",E32," lines from ",A1," is as follows:")</f>
        <v>The summary of negotiated offer of 2 lines from IASL is as follows:</v>
      </c>
      <c r="E27" s="914"/>
      <c r="F27" s="914"/>
      <c r="G27" s="914"/>
      <c r="H27" s="914"/>
      <c r="I27" s="914"/>
      <c r="J27" s="915"/>
    </row>
    <row r="28" spans="2:11" ht="45" x14ac:dyDescent="0.25">
      <c r="B28" s="905"/>
      <c r="C28" s="905"/>
      <c r="D28" s="940" t="s">
        <v>252</v>
      </c>
      <c r="E28" s="886" t="s">
        <v>184</v>
      </c>
      <c r="F28" s="308" t="s">
        <v>185</v>
      </c>
      <c r="G28" s="308" t="s">
        <v>186</v>
      </c>
      <c r="H28" s="308" t="s">
        <v>187</v>
      </c>
      <c r="I28" s="308" t="s">
        <v>188</v>
      </c>
      <c r="J28" s="308" t="s">
        <v>189</v>
      </c>
    </row>
    <row r="29" spans="2:11" ht="18" customHeight="1" thickBot="1" x14ac:dyDescent="0.3">
      <c r="B29" s="905"/>
      <c r="C29" s="905"/>
      <c r="D29" s="941"/>
      <c r="E29" s="887"/>
      <c r="F29" s="309" t="s">
        <v>190</v>
      </c>
      <c r="G29" s="309" t="s">
        <v>191</v>
      </c>
      <c r="H29" s="309" t="s">
        <v>192</v>
      </c>
      <c r="I29" s="309" t="s">
        <v>193</v>
      </c>
      <c r="J29" s="309" t="s">
        <v>194</v>
      </c>
    </row>
    <row r="30" spans="2:11" ht="32.25" customHeight="1" thickBot="1" x14ac:dyDescent="0.3">
      <c r="B30" s="905"/>
      <c r="C30" s="905"/>
      <c r="D30" s="319" t="s">
        <v>170</v>
      </c>
      <c r="E30" s="310">
        <f>COUNTIFS('CST-Final'!$CA:$CA,"&lt;&gt;Deleted",'CST-Final'!$AY:$AY,A1,'CST-Final'!$AZ:$AZ,D30)</f>
        <v>0</v>
      </c>
      <c r="F30" s="311">
        <f>SUMIFS('CST-Final'!$BQ:$BQ,'CST-Final'!$CA:$CA,"&lt;&gt;Deleted",'CST-Final'!$AY:$AY,A1,'CST-Final'!$AZ:$AZ,D30)</f>
        <v>0</v>
      </c>
      <c r="G30" s="311">
        <f>SUMIFS('CST-Final'!$BP:$BP,'CST-Final'!$CA:$CA,"&lt;&gt;Deleted",'CST-Final'!$AY:$AY,A1,'CST-Final'!$AZ:$AZ,D30)</f>
        <v>0</v>
      </c>
      <c r="H30" s="311">
        <f>SUMIFS('CST-Final'!$BV:$BV,'CST-Final'!$CA:$CA,"&lt;&gt;Deleted",'CST-Final'!$AY:$AY,A1,'CST-Final'!$AZ:$AZ,D30)</f>
        <v>0</v>
      </c>
      <c r="I30" s="309" t="str">
        <f>IF((F30+H30)=0,"0.00%",CONCATENATE(IF(((H30-F30)/F30)&gt;0,"(+) ","(-) "),ABS(FIXED(((H30-F30)/F30)*100,2)),"% "))</f>
        <v>0.00%</v>
      </c>
      <c r="J30" s="311">
        <f>G30-H30</f>
        <v>0</v>
      </c>
      <c r="K30" s="334">
        <f>H30*1.3224*75.65/100000</f>
        <v>0</v>
      </c>
    </row>
    <row r="31" spans="2:11" ht="29.25" customHeight="1" thickBot="1" x14ac:dyDescent="0.3">
      <c r="B31" s="905"/>
      <c r="C31" s="905"/>
      <c r="D31" s="319" t="s">
        <v>171</v>
      </c>
      <c r="E31" s="310">
        <f>COUNTIFS('CST-Final'!$CA:$CA,"&lt;&gt;Deleted",'CST-Final'!$AY:$AY,A1,'CST-Final'!$AZ:$AZ,D31)</f>
        <v>2</v>
      </c>
      <c r="F31" s="311">
        <f>SUMIFS('CST-Final'!$BQ:$BQ,'CST-Final'!$CA:$CA,"&lt;&gt;Deleted",'CST-Final'!$AY:$AY,A1,'CST-Final'!$AZ:$AZ,D31)</f>
        <v>82253.259999999995</v>
      </c>
      <c r="G31" s="311">
        <f>SUMIFS('CST-Final'!$BP:$BP,'CST-Final'!$CA:$CA,"&lt;&gt;Deleted",'CST-Final'!$AY:$AY,A1,'CST-Final'!$AZ:$AZ,D31)</f>
        <v>106083.6</v>
      </c>
      <c r="H31" s="311">
        <f>SUMIFS('CST-Final'!$BV:$BV,'CST-Final'!$CA:$CA,"&lt;&gt;Deleted",'CST-Final'!$AY:$AY,A1,'CST-Final'!$AZ:$AZ,D31)</f>
        <v>0</v>
      </c>
      <c r="I31" s="309" t="str">
        <f>IF((F31+H31)=0,"0.00%",CONCATENATE(IF(((H31-F31)/F31)&gt;0,"(+) ","(-) "),ABS(FIXED(((H31-F31)/F31)*100,2)),"% "))</f>
        <v xml:space="preserve">(-) 100% </v>
      </c>
      <c r="J31" s="311">
        <f>G31-H31</f>
        <v>106083.6</v>
      </c>
      <c r="K31" s="334">
        <f t="shared" ref="K31:K32" si="0">H31*1.3224*75.65/100000</f>
        <v>0</v>
      </c>
    </row>
    <row r="32" spans="2:11" ht="25.5" customHeight="1" thickBot="1" x14ac:dyDescent="0.3">
      <c r="B32" s="919"/>
      <c r="C32" s="919"/>
      <c r="D32" s="331" t="s">
        <v>17</v>
      </c>
      <c r="E32" s="331">
        <f>COUNTIFS('CST-Final'!$CA:$CA,"&lt;&gt;Deleted",'CST-Final'!$AY:$AY,A1)</f>
        <v>2</v>
      </c>
      <c r="F32" s="332">
        <f>SUMIFS('CST-Final'!$BQ:$BQ,'CST-Final'!$CA:$CA,"&lt;&gt;Deleted",'CST-Final'!$AY:$AY,A1)</f>
        <v>82253.259999999995</v>
      </c>
      <c r="G32" s="333">
        <f>SUMIFS('CST-Final'!$BP:$BP,'CST-Final'!$CA:$CA,"&lt;&gt;Deleted",'CST-Final'!$AY:$AY,A1)</f>
        <v>106083.6</v>
      </c>
      <c r="H32" s="333">
        <f>SUMIFS('CST-Final'!$BV:$BV,'CST-Final'!$CA:$CA,"&lt;&gt;Deleted",'CST-Final'!$AY:$AY,A1)</f>
        <v>0</v>
      </c>
      <c r="I32" s="332" t="str">
        <f>IF((F32+H32)=0,"0.00%",CONCATENATE(IF(((H32-F32)/F32)&gt;0,"(+) ","(-) "),ABS(ROUND(((H32-F32)/F32)*100,2)),"% "))</f>
        <v xml:space="preserve">(-) 100% </v>
      </c>
      <c r="J32" s="333">
        <f>G32-H32</f>
        <v>106083.6</v>
      </c>
      <c r="K32" s="334">
        <f t="shared" si="0"/>
        <v>0</v>
      </c>
    </row>
    <row r="33" spans="2:11" ht="24" customHeight="1" x14ac:dyDescent="0.25">
      <c r="B33" s="904">
        <v>6</v>
      </c>
      <c r="C33" s="920" t="s">
        <v>253</v>
      </c>
      <c r="D33" s="906" t="str">
        <f>CONCATENATE("The observations of the PNC on the negotiated offer of ",A1," is as follows:")</f>
        <v>The observations of the PNC on the negotiated offer of IASL is as follows:</v>
      </c>
      <c r="E33" s="907"/>
      <c r="F33" s="907"/>
      <c r="G33" s="907"/>
      <c r="H33" s="907"/>
      <c r="I33" s="907"/>
      <c r="J33" s="908"/>
    </row>
    <row r="34" spans="2:11" ht="49.5" customHeight="1" x14ac:dyDescent="0.25">
      <c r="B34" s="905"/>
      <c r="C34" s="909"/>
      <c r="D34" s="913" t="str">
        <f>CONCATENATE("The total negotiated offer Price USD ",FIXED(H32,2)," is ",I32,IF(H32&gt;F32,"higher","lower")," than the total approved estimated price.  ",A1," has expressed that the negotiated offer value is the best possible offer and there is no further scope to reduce price.")</f>
        <v>The total negotiated offer Price USD 0.00 is (-) 100% lower than the total approved estimated price.  IASL has expressed that the negotiated offer value is the best possible offer and there is no further scope to reduce price.</v>
      </c>
      <c r="E34" s="914"/>
      <c r="F34" s="914"/>
      <c r="G34" s="914"/>
      <c r="H34" s="914"/>
      <c r="I34" s="914"/>
      <c r="J34" s="915"/>
    </row>
    <row r="35" spans="2:11" ht="54.75" customHeight="1" x14ac:dyDescent="0.25">
      <c r="B35" s="905"/>
      <c r="C35" s="909"/>
      <c r="D35" s="913" t="str">
        <f>CONCATENATE("It is observed that ",COUNTIFS('CST-Final'!$AY:$AY,A1,'CST-Final'!$CA:$CA,"&lt;&gt;Deleted",'CST-Final'!$BY:$BY,"&gt;0")," lines out of ",E32," lines if compared with LPP, the offered prices are higher than the estimates. However after lot of discussion and deliberation ",A1," expressed inability to match the prices of LPP. ")</f>
        <v xml:space="preserve">It is observed that 0 lines out of 2 lines if compared with LPP, the offered prices are higher than the estimates. However after lot of discussion and deliberation IASL expressed inability to match the prices of LPP. </v>
      </c>
      <c r="E35" s="914"/>
      <c r="F35" s="914"/>
      <c r="G35" s="914"/>
      <c r="H35" s="914"/>
      <c r="I35" s="914"/>
      <c r="J35" s="915"/>
      <c r="K35">
        <f>COUNTIFS('CST-Final'!$AY:$AY,A1,'CST-Final'!$CA:$CA,"&lt;&gt;Deleted",'CST-Final'!$BY:$BY,"&gt;0")</f>
        <v>0</v>
      </c>
    </row>
    <row r="36" spans="2:11" ht="30" customHeight="1" x14ac:dyDescent="0.25">
      <c r="B36" s="905"/>
      <c r="C36" s="909"/>
      <c r="D36" s="913" t="str">
        <f>CONCATENATE("The offers received through limited tendering and ",A1," is L-1 (",IF(E30=E32,"Single",IF(E31=E32,"Multiple","both Single &amp; Multiple"))," Offers).")</f>
        <v>The offers received through limited tendering and IASL is L-1 (Multiple Offers).</v>
      </c>
      <c r="E36" s="914"/>
      <c r="F36" s="914"/>
      <c r="G36" s="914"/>
      <c r="H36" s="914"/>
      <c r="I36" s="914"/>
      <c r="J36" s="915"/>
    </row>
    <row r="37" spans="2:11" ht="30" customHeight="1" x14ac:dyDescent="0.25">
      <c r="B37" s="905"/>
      <c r="C37" s="909"/>
      <c r="D37" s="913" t="str">
        <f>CONCATENATE("Retendering may have uncertainty of getting offers and risks of having one more escalation hence PNC proposed to process further these ",E32," lines.")</f>
        <v>Retendering may have uncertainty of getting offers and risks of having one more escalation hence PNC proposed to process further these 2 lines.</v>
      </c>
      <c r="E37" s="914"/>
      <c r="F37" s="914"/>
      <c r="G37" s="914"/>
      <c r="H37" s="914"/>
      <c r="I37" s="914"/>
      <c r="J37" s="915"/>
    </row>
    <row r="38" spans="2:11" ht="30" customHeight="1" x14ac:dyDescent="0.25">
      <c r="B38" s="905"/>
      <c r="C38" s="909"/>
      <c r="D38" s="913" t="s">
        <v>254</v>
      </c>
      <c r="E38" s="914"/>
      <c r="F38" s="914"/>
      <c r="G38" s="914"/>
      <c r="H38" s="914"/>
      <c r="I38" s="914"/>
      <c r="J38" s="915"/>
    </row>
    <row r="39" spans="2:11" ht="30" customHeight="1" x14ac:dyDescent="0.25">
      <c r="B39" s="905"/>
      <c r="C39" s="909"/>
      <c r="D39" s="913" t="s">
        <v>255</v>
      </c>
      <c r="E39" s="914"/>
      <c r="F39" s="914"/>
      <c r="G39" s="914"/>
      <c r="H39" s="914"/>
      <c r="I39" s="914"/>
      <c r="J39" s="915"/>
    </row>
    <row r="40" spans="2:11" ht="30" customHeight="1" x14ac:dyDescent="0.25">
      <c r="B40" s="905"/>
      <c r="C40" s="909"/>
      <c r="D40" s="913" t="str">
        <f>CONCATENATE("Expenditure is fully recoverable through ",IF(Form!D6="MIG","FPQ.","total material cost."))</f>
        <v>Expenditure is fully recoverable through total material cost.</v>
      </c>
      <c r="E40" s="914"/>
      <c r="F40" s="914"/>
      <c r="G40" s="914"/>
      <c r="H40" s="914"/>
      <c r="I40" s="914"/>
      <c r="J40" s="915"/>
    </row>
    <row r="41" spans="2:11" ht="30" customHeight="1" x14ac:dyDescent="0.25">
      <c r="B41" s="905"/>
      <c r="C41" s="909"/>
      <c r="D41" s="913" t="str">
        <f>CONCATENATE("The payment terms ",HLOOKUP(A1,Form!D25:I31,7,FALSE)," is acceptable because of long-term business relationship with ",A1," and as per previous existing contracts.")</f>
        <v>The payment terms 80% within 30 days of receipt. Remaining 20% after acceptance but  within 45 days of receipt is acceptable because of long-term business relationship with IASL and as per previous existing contracts.</v>
      </c>
      <c r="E41" s="914"/>
      <c r="F41" s="914"/>
      <c r="G41" s="914"/>
      <c r="H41" s="914"/>
      <c r="I41" s="914"/>
      <c r="J41" s="915"/>
    </row>
    <row r="42" spans="2:11" ht="30" customHeight="1" x14ac:dyDescent="0.25">
      <c r="B42" s="905"/>
      <c r="C42" s="909"/>
      <c r="D42" s="913" t="str">
        <f>CONCATENATE("Delivery of items in batches within ",,HLOOKUP(A1,Form!D25:I31,6,FALSE)," is acceptable.")</f>
        <v>Delivery of items in batches within Within 16 months from the date of placement of order &amp; EUC. is acceptable.</v>
      </c>
      <c r="E42" s="914"/>
      <c r="F42" s="914"/>
      <c r="G42" s="914"/>
      <c r="H42" s="914"/>
      <c r="I42" s="914"/>
      <c r="J42" s="915"/>
    </row>
    <row r="43" spans="2:11" ht="30" customHeight="1" thickBot="1" x14ac:dyDescent="0.3">
      <c r="B43" s="919"/>
      <c r="C43" s="921"/>
      <c r="D43" s="943" t="str">
        <f>CONCATENATE("In view of the above, PNC considers the proposal for procurement at total negotiated price of USD ",H32," from ",A1," is acceptable.")</f>
        <v>In view of the above, PNC considers the proposal for procurement at total negotiated price of USD 0 from IASL is acceptable.</v>
      </c>
      <c r="E43" s="944"/>
      <c r="F43" s="944"/>
      <c r="G43" s="944"/>
      <c r="H43" s="944"/>
      <c r="I43" s="944"/>
      <c r="J43" s="945"/>
    </row>
    <row r="44" spans="2:11" ht="62.25" customHeight="1" thickBot="1" x14ac:dyDescent="0.3">
      <c r="B44" s="319">
        <v>7</v>
      </c>
      <c r="C44" s="319" t="s">
        <v>256</v>
      </c>
      <c r="D44" s="946" t="str">
        <f>CONCATENATE("Savings through negotiation =",FIXED(J32,2)," USD(INR ",FIXED((J32*Form!D10),2)," @ 1 USD = ",Form!D10," INR)")</f>
        <v>Savings through negotiation =1,06,083.60 USD(INR 87,81,600.41 @ 1 USD = 82.78 INR)</v>
      </c>
      <c r="E44" s="946"/>
      <c r="F44" s="946"/>
      <c r="G44" s="946"/>
      <c r="H44" s="946"/>
      <c r="I44" s="946"/>
      <c r="J44" s="946"/>
    </row>
    <row r="45" spans="2:11" ht="57" customHeight="1" thickBot="1" x14ac:dyDescent="0.3">
      <c r="B45" s="319">
        <v>8</v>
      </c>
      <c r="C45" s="319" t="s">
        <v>257</v>
      </c>
      <c r="D45" s="946" t="str">
        <f>CONCATENATE("It is recommended to conclude ",E32," lines of ",Form!D7,Form!E7," (Induction Year) with ",A1," at a total negotiated value of ",FIXED(H32,2)," USD.")</f>
        <v>It is recommended to conclude 2 lines of Procurement of BoI Spares &amp; Repair of KOPYO CardsHAL/NK/MPU-AOD/xyz(208)/23/ dated 01.06.2023 (Induction Year) with IASL at a total negotiated value of 0.00 USD.</v>
      </c>
      <c r="E45" s="946"/>
      <c r="F45" s="946"/>
      <c r="G45" s="946"/>
      <c r="H45" s="946"/>
      <c r="I45" s="946"/>
      <c r="J45" s="946"/>
    </row>
    <row r="46" spans="2:11" ht="96.75" customHeight="1" thickBot="1" x14ac:dyDescent="0.3">
      <c r="B46" s="942" t="s">
        <v>258</v>
      </c>
      <c r="C46" s="942"/>
      <c r="D46" s="942"/>
      <c r="E46" s="942"/>
      <c r="F46" s="942"/>
      <c r="G46" s="942"/>
      <c r="H46" s="942"/>
      <c r="I46" s="942"/>
      <c r="J46" s="320"/>
    </row>
    <row r="47" spans="2:11" ht="43.5" customHeight="1" thickBot="1" x14ac:dyDescent="0.3">
      <c r="B47" s="942" t="s">
        <v>259</v>
      </c>
      <c r="C47" s="942"/>
      <c r="D47" s="942" t="s">
        <v>260</v>
      </c>
      <c r="E47" s="942"/>
      <c r="F47" s="942" t="s">
        <v>261</v>
      </c>
      <c r="G47" s="942"/>
      <c r="H47" s="942" t="s">
        <v>262</v>
      </c>
      <c r="I47" s="942"/>
      <c r="J47" s="320" t="s">
        <v>263</v>
      </c>
    </row>
    <row r="48" spans="2:11" ht="30.75" thickBot="1" x14ac:dyDescent="0.3">
      <c r="B48" s="942" t="s">
        <v>53</v>
      </c>
      <c r="C48" s="942"/>
      <c r="D48" s="942" t="s">
        <v>264</v>
      </c>
      <c r="E48" s="942"/>
      <c r="F48" s="942" t="s">
        <v>265</v>
      </c>
      <c r="G48" s="942"/>
      <c r="H48" s="942" t="s">
        <v>266</v>
      </c>
      <c r="I48" s="942"/>
      <c r="J48" s="320" t="s">
        <v>267</v>
      </c>
    </row>
  </sheetData>
  <mergeCells count="65">
    <mergeCell ref="B48:C48"/>
    <mergeCell ref="D48:E48"/>
    <mergeCell ref="F48:G48"/>
    <mergeCell ref="H48:I48"/>
    <mergeCell ref="D43:J43"/>
    <mergeCell ref="D44:J44"/>
    <mergeCell ref="D45:J45"/>
    <mergeCell ref="B47:C47"/>
    <mergeCell ref="D47:E47"/>
    <mergeCell ref="F47:G47"/>
    <mergeCell ref="H47:I47"/>
    <mergeCell ref="B46:C46"/>
    <mergeCell ref="D46:E46"/>
    <mergeCell ref="F46:G46"/>
    <mergeCell ref="H46:I46"/>
    <mergeCell ref="B33:B43"/>
    <mergeCell ref="C33:C43"/>
    <mergeCell ref="D33:J33"/>
    <mergeCell ref="D34:J34"/>
    <mergeCell ref="D35:J35"/>
    <mergeCell ref="D36:J36"/>
    <mergeCell ref="D37:J37"/>
    <mergeCell ref="D38:J38"/>
    <mergeCell ref="D39:J39"/>
    <mergeCell ref="D40:J40"/>
    <mergeCell ref="D41:J41"/>
    <mergeCell ref="D42:J42"/>
    <mergeCell ref="D25:J25"/>
    <mergeCell ref="D26:J26"/>
    <mergeCell ref="B27:B32"/>
    <mergeCell ref="C27:C32"/>
    <mergeCell ref="D27:J27"/>
    <mergeCell ref="D28:D29"/>
    <mergeCell ref="E28:E29"/>
    <mergeCell ref="D16:J16"/>
    <mergeCell ref="B17:B26"/>
    <mergeCell ref="C17:C26"/>
    <mergeCell ref="D17:J17"/>
    <mergeCell ref="D18:J18"/>
    <mergeCell ref="D19:J19"/>
    <mergeCell ref="D20:J20"/>
    <mergeCell ref="D21:J21"/>
    <mergeCell ref="D22:J22"/>
    <mergeCell ref="D23:J23"/>
    <mergeCell ref="B10:B16"/>
    <mergeCell ref="C10:C16"/>
    <mergeCell ref="D10:J10"/>
    <mergeCell ref="D11:J11"/>
    <mergeCell ref="D15:F15"/>
    <mergeCell ref="D24:J24"/>
    <mergeCell ref="B1:J1"/>
    <mergeCell ref="D2:I2"/>
    <mergeCell ref="D3:J3"/>
    <mergeCell ref="B4:B9"/>
    <mergeCell ref="C4:C9"/>
    <mergeCell ref="D4:J4"/>
    <mergeCell ref="D5:F5"/>
    <mergeCell ref="H5:J5"/>
    <mergeCell ref="D6:F6"/>
    <mergeCell ref="H6:J6"/>
    <mergeCell ref="D7:F7"/>
    <mergeCell ref="H7:J7"/>
    <mergeCell ref="D8:F8"/>
    <mergeCell ref="H8:J8"/>
    <mergeCell ref="D9:J9"/>
  </mergeCells>
  <pageMargins left="0.59055008748906401" right="0" top="0.23" bottom="0.22" header="0.17" footer="0.17"/>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7030A0"/>
  </sheetPr>
  <dimension ref="A1:N53"/>
  <sheetViews>
    <sheetView view="pageBreakPreview" topLeftCell="A13" zoomScale="115" zoomScaleNormal="130" zoomScaleSheetLayoutView="115" workbookViewId="0">
      <selection activeCell="H24" sqref="H24"/>
    </sheetView>
  </sheetViews>
  <sheetFormatPr defaultRowHeight="15" x14ac:dyDescent="0.25"/>
  <cols>
    <col min="2" max="2" width="13.140625" hidden="1" customWidth="1"/>
    <col min="3" max="3" width="14" hidden="1" customWidth="1"/>
    <col min="4" max="4" width="4.5703125" customWidth="1"/>
    <col min="5" max="5" width="17.5703125" customWidth="1"/>
    <col min="6" max="6" width="13" customWidth="1"/>
    <col min="7" max="7" width="7.42578125" customWidth="1"/>
    <col min="8" max="8" width="16.7109375" customWidth="1"/>
    <col min="9" max="10" width="13" customWidth="1"/>
    <col min="11" max="11" width="14.5703125" customWidth="1"/>
    <col min="12" max="12" width="17.140625" customWidth="1"/>
    <col min="13" max="13" width="10.28515625" customWidth="1"/>
  </cols>
  <sheetData>
    <row r="1" spans="1:13" ht="54" customHeight="1" thickBot="1" x14ac:dyDescent="0.3">
      <c r="A1" s="397" t="s">
        <v>566</v>
      </c>
      <c r="D1" s="901" t="s">
        <v>268</v>
      </c>
      <c r="E1" s="903"/>
      <c r="F1" s="898" t="str">
        <f>CONCATENATE("Proposal for placement of Order on ",A1," for supply ",G18," lines of Spares for ",Form!D5," with ", A1," against Indent ",Form!D2," dated ",TEXT(Form!D3,"dd.mm.yyyy"))</f>
        <v>Proposal for placement of Order on IASL for supply 2 lines of Spares for MiG/SUROH with IASL against Indent abcd001 dated 27.05.2023</v>
      </c>
      <c r="G1" s="899"/>
      <c r="H1" s="899"/>
      <c r="I1" s="899"/>
      <c r="J1" s="900"/>
      <c r="K1" s="947" t="str">
        <f>CONCATENATE("PROJECT: ",Form!D5)</f>
        <v>PROJECT: MiG/SUROH</v>
      </c>
      <c r="L1" s="948"/>
    </row>
    <row r="2" spans="1:13" ht="15.75" thickBot="1" x14ac:dyDescent="0.3">
      <c r="B2">
        <f>VLOOKUP(A1,Negociation!B:O,3,FALSE)</f>
        <v>2</v>
      </c>
      <c r="D2" s="901" t="str">
        <f>CONCATENATE("REF.NO. ",Form!C14,"/PP-",HLOOKUP(A1,Form!D25:S42,12,FALSE)," /",A1)</f>
        <v>REF.NO. HAL/NK/MPU-AOD/2237(628)/23/107//PP- /IASL</v>
      </c>
      <c r="E2" s="902"/>
      <c r="F2" s="902"/>
      <c r="G2" s="902"/>
      <c r="H2" s="902"/>
      <c r="I2" s="902"/>
      <c r="J2" s="903"/>
      <c r="K2" s="947" t="str">
        <f ca="1">CONCATENATE("DATE: ",TEXT(TODAY(),"dd.mm.yyyy"))</f>
        <v>DATE: 22.06.2026</v>
      </c>
      <c r="L2" s="948"/>
    </row>
    <row r="3" spans="1:13" ht="93" customHeight="1" thickBot="1" x14ac:dyDescent="0.3">
      <c r="B3" s="334">
        <f>J18</f>
        <v>0</v>
      </c>
      <c r="C3" s="291" t="str">
        <f>CONCATENATE("Final landed cost including Custom, IGST and other duties on assessable value  (100% of basic landed cost) and F &amp; I @ 1.26% on basic landed cost is INR ",FIXED(B4,2)," Lakhs @ 1 USD = INR ",FIXED(Form!D10,2),". However at the time of payment, Custom, GST and other duties will be paid on actual, on “CIP- Mumbai Airport” Shipment Terms.")</f>
        <v>Final landed cost including Custom, IGST and other duties on assessable value  (100% of basic landed cost) and F &amp; I @ 1.26% on basic landed cost is INR 0.00 Lakhs @ 1 USD = INR 82.78. However at the time of payment, Custom, GST and other duties will be paid on actual, on “CIP- Mumbai Airport” Shipment Terms.</v>
      </c>
      <c r="D3" s="335">
        <v>1</v>
      </c>
      <c r="E3" s="336" t="s">
        <v>269</v>
      </c>
      <c r="F3" s="901" t="str">
        <f>CONCATENATE("Proposal for concluding contract with ",A1," for supply of ",G18," lines of ",Form!D7," ",Form!E7," at total value USD ",FIXED(J18,2),". ",C3)</f>
        <v>Proposal for concluding contract with IASL for supply of 2 lines of Procurement of BoI Spares &amp; Repair of KOPYO Cards HAL/NK/MPU-AOD/xyz(208)/23/ dated 01.06.2023 at total value USD 0.00. Final landed cost including Custom, IGST and other duties on assessable value  (100% of basic landed cost) and F &amp; I @ 1.26% on basic landed cost is INR 0.00 Lakhs @ 1 USD = INR 82.78. However at the time of payment, Custom, GST and other duties will be paid on actual, on “CIP- Mumbai Airport” Shipment Terms.</v>
      </c>
      <c r="G3" s="902"/>
      <c r="H3" s="902"/>
      <c r="I3" s="902"/>
      <c r="J3" s="902"/>
      <c r="K3" s="944"/>
      <c r="L3" s="945"/>
    </row>
    <row r="4" spans="1:13" ht="48.75" customHeight="1" x14ac:dyDescent="0.25">
      <c r="B4" s="334">
        <f>IF(A1="ADRYS",(J18*1.18)/100000,(J18*Form!D10*1.3224)/100000)</f>
        <v>0</v>
      </c>
      <c r="D4" s="949">
        <v>2</v>
      </c>
      <c r="E4" s="949" t="s">
        <v>179</v>
      </c>
      <c r="F4" s="952" t="str">
        <f>CONCATENATE("Division has requirement of ",Negociation!J38," lines of ",Form!D7," ",,Form!E7," (",Form!B7,"). Accordingly Indent ",Form!D2," dated ",TEXT(Form!D3,"dd.mm.yyyy")," was floated to ",Form!D8," approved suppliers.")</f>
        <v>Division has requirement of 54 lines of Procurement of BoI Spares &amp; Repair of KOPYO Cards HAL/NK/MPU-AOD/xyz(208)/23/ dated 01.06.2023 (E1). Accordingly Indent abcd001 dated 27.05.2023 was floated to 14 approved suppliers.</v>
      </c>
      <c r="G4" s="952"/>
      <c r="H4" s="952"/>
      <c r="I4" s="952"/>
      <c r="J4" s="952"/>
      <c r="K4" s="952"/>
      <c r="L4" s="953"/>
    </row>
    <row r="5" spans="1:13" ht="125.25" customHeight="1" thickBot="1" x14ac:dyDescent="0.3">
      <c r="D5" s="950"/>
      <c r="E5" s="950"/>
      <c r="F5" s="954" t="str">
        <f>CONCATENATE('NOTE Sheet'!F5," ",'NOTE Sheet'!G5,"  Details on offers from ",A1," (L-1) lines are given below:")</f>
        <v xml:space="preserve"> Tender was opened on 19.07.2023 and offers were received from 04 different Vendors namely; GIS, INDO AVIA SERVICES LTD, ADRYS Technologies (ADRYS), All the offers are technically accepted (E-3). Requirement of 2 lines are deleted from the proposal due to TEC.  Details on offers from IASL (L-1) lines are given below:</v>
      </c>
      <c r="G5" s="954"/>
      <c r="H5" s="954"/>
      <c r="I5" s="954"/>
      <c r="J5" s="954"/>
      <c r="K5" s="954"/>
      <c r="L5" s="955"/>
    </row>
    <row r="6" spans="1:13" ht="54" customHeight="1" thickBot="1" x14ac:dyDescent="0.3">
      <c r="D6" s="950"/>
      <c r="E6" s="950"/>
      <c r="F6" s="337" t="s">
        <v>164</v>
      </c>
      <c r="G6" s="322" t="s">
        <v>165</v>
      </c>
      <c r="H6" s="322" t="s">
        <v>166</v>
      </c>
      <c r="I6" s="322" t="s">
        <v>270</v>
      </c>
      <c r="J6" s="322" t="s">
        <v>168</v>
      </c>
      <c r="K6" s="322" t="s">
        <v>242</v>
      </c>
      <c r="L6" s="322" t="s">
        <v>169</v>
      </c>
      <c r="M6" s="322" t="s">
        <v>271</v>
      </c>
    </row>
    <row r="7" spans="1:13" ht="19.5" customHeight="1" thickBot="1" x14ac:dyDescent="0.3">
      <c r="D7" s="950"/>
      <c r="E7" s="950"/>
      <c r="F7" s="338" t="str">
        <f>A1</f>
        <v>IASL</v>
      </c>
      <c r="G7" s="319">
        <f t="array" ref="G7">INDEX(Negociation!$H$3:$H$36,MATCH(PP!F7&amp;PP!H7,Negociation!$G$3:$G$36&amp;Negociation!$I$3:$I$36,0))</f>
        <v>41</v>
      </c>
      <c r="H7" s="323" t="s">
        <v>170</v>
      </c>
      <c r="I7" s="319">
        <f t="array" ref="I7">INDEX(Negociation!$J$3:$J$36,MATCH(PP!F7&amp;PP!H7,Negociation!$G$3:$G$36&amp;Negociation!$I$3:$I$36,0))</f>
        <v>0</v>
      </c>
      <c r="J7" s="324">
        <f t="array" ref="J7">INDEX(Negociation!$K$3:$K$36,MATCH(PP!F7&amp;PP!H7,Negociation!$G$3:$G$36&amp;Negociation!$I$3:$I$36,0))</f>
        <v>0</v>
      </c>
      <c r="K7" s="325">
        <f t="array" ref="K7">INDEX(Negociation!$L$3:$L$36,MATCH(PP!F7&amp;PP!H7,Negociation!$G$3:$G$36&amp;Negociation!$I$3:$I$36,0))</f>
        <v>0</v>
      </c>
      <c r="L7" s="326" t="str">
        <f>IF(SUM(J7:K7)=0,"",((J7-K7)/K7))</f>
        <v/>
      </c>
      <c r="M7" s="325">
        <f>IF(F7="ADRYS",ROUND((J7*1.18)/100000,2),ROUND(J7*1.3224*Form!D10/100000,2))</f>
        <v>0</v>
      </c>
    </row>
    <row r="8" spans="1:13" ht="19.5" customHeight="1" thickBot="1" x14ac:dyDescent="0.3">
      <c r="D8" s="950"/>
      <c r="E8" s="950"/>
      <c r="F8" s="338" t="str">
        <f>A1</f>
        <v>IASL</v>
      </c>
      <c r="G8" s="319">
        <f t="array" ref="G8">INDEX(Negociation!$H$3:$H$36,MATCH(PP!F8&amp;PP!H8,Negociation!$G$3:$G$36&amp;Negociation!$I$3:$I$36,0))</f>
        <v>41</v>
      </c>
      <c r="H8" s="323" t="s">
        <v>171</v>
      </c>
      <c r="I8" s="319">
        <f t="array" ref="I8">INDEX(Negociation!$J$3:$J$36,MATCH(PP!F8&amp;PP!H8,Negociation!$G$3:$G$36&amp;Negociation!$I$3:$I$36,0))</f>
        <v>2</v>
      </c>
      <c r="J8" s="324">
        <f t="array" ref="J8">INDEX(Negociation!$K$3:$K$36,MATCH(PP!F8&amp;PP!H8,Negociation!$G$3:$G$36&amp;Negociation!$I$3:$I$36,0))</f>
        <v>106083.6</v>
      </c>
      <c r="K8" s="324">
        <f t="array" ref="K8">INDEX(Negociation!$L$3:$L$36,MATCH(PP!F8&amp;PP!H8,Negociation!$G$3:$G$36&amp;Negociation!$I$3:$I$36,0))</f>
        <v>82253.259999999995</v>
      </c>
      <c r="L8" s="326">
        <f>IF(SUM(J8:K8)=0,"",((J8-K8)/K8))</f>
        <v>0.28971909441644028</v>
      </c>
      <c r="M8" s="325">
        <f>IF(F8="ADRYS",ROUND((J8*1.18)/100000,2),ROUND(J8*1.3224*Form!D11/100000,2))</f>
        <v>0</v>
      </c>
    </row>
    <row r="9" spans="1:13" ht="15.75" thickBot="1" x14ac:dyDescent="0.3">
      <c r="D9" s="950"/>
      <c r="E9" s="950"/>
      <c r="F9" s="948" t="s">
        <v>155</v>
      </c>
      <c r="G9" s="942"/>
      <c r="H9" s="942"/>
      <c r="I9" s="319">
        <f>SUM(I7:I8)</f>
        <v>2</v>
      </c>
      <c r="J9" s="324">
        <f>SUM(J7:J8)</f>
        <v>106083.6</v>
      </c>
      <c r="K9" s="324">
        <f>SUM(K7:K8)</f>
        <v>82253.259999999995</v>
      </c>
      <c r="L9" s="326">
        <f>IF(SUM(J9:K9)=0,"",((J9-K9)/K9))</f>
        <v>0.28971909441644028</v>
      </c>
      <c r="M9" s="325">
        <f>M8+M7</f>
        <v>0</v>
      </c>
    </row>
    <row r="10" spans="1:13" ht="87.75" customHeight="1" x14ac:dyDescent="0.25">
      <c r="D10" s="950"/>
      <c r="E10" s="950"/>
      <c r="F10" s="956" t="str">
        <f>CONCATENATE('NOTE Sheet'!F7,PP!F33)</f>
        <v>It was observed that total offer price of IASL is USD 1,06,083.60 for 2 L1 lines, which was (+) 28.97% higher than the HAL estimates. Out of 2 L1 lines, the prices of 1 lines were higher than the HAL estimated price. Hence, it was proposed to negotiate; which was approved by CFA vide N2 dated 04.10.2021. N/A</v>
      </c>
      <c r="G10" s="957"/>
      <c r="H10" s="957"/>
      <c r="I10" s="957"/>
      <c r="J10" s="957"/>
      <c r="K10" s="957"/>
      <c r="L10" s="958"/>
    </row>
    <row r="11" spans="1:13" ht="60" customHeight="1" thickBot="1" x14ac:dyDescent="0.3">
      <c r="D11" s="950"/>
      <c r="E11" s="950"/>
      <c r="F11" s="959" t="str">
        <f>CONCATENATE("PNC recommendation is placed at ",M11,". ",A1," forwarded the revised offer ",HLOOKUP(A1,Form!D25:N42,13,FALSE)," and provided the best and final offer (E-7). CST w.r.t. approved Estimates and commercial evaluation is placed at E-8 &amp; E-9 respectively. The summary of negotiated offer of ",VLOOKUP(A1,Negociation!B:F,3,FALSE)," L1 ",IF(VLOOKUP(A1,Negociation!B:F,3,FALSE)&gt;1,"lines","line")," from ",A1," is as follows: ")</f>
        <v xml:space="preserve">PNC recommendation is placed at E6. IASL forwarded the revised offer  and provided the best and final offer (E-7). CST w.r.t. approved Estimates and commercial evaluation is placed at E-8 &amp; E-9 respectively. The summary of negotiated offer of 2 L1 lines from IASL is as follows: </v>
      </c>
      <c r="G11" s="960"/>
      <c r="H11" s="960"/>
      <c r="I11" s="960"/>
      <c r="J11" s="960"/>
      <c r="K11" s="960"/>
      <c r="L11" s="961"/>
      <c r="M11" s="201" t="s">
        <v>272</v>
      </c>
    </row>
    <row r="12" spans="1:13" ht="51" customHeight="1" x14ac:dyDescent="0.25">
      <c r="D12" s="950"/>
      <c r="E12" s="950"/>
      <c r="F12" s="962" t="s">
        <v>252</v>
      </c>
      <c r="G12" s="886" t="s">
        <v>184</v>
      </c>
      <c r="H12" s="308" t="s">
        <v>185</v>
      </c>
      <c r="I12" s="308" t="s">
        <v>186</v>
      </c>
      <c r="J12" s="308" t="s">
        <v>187</v>
      </c>
      <c r="K12" s="308" t="s">
        <v>188</v>
      </c>
      <c r="L12" s="308" t="s">
        <v>189</v>
      </c>
    </row>
    <row r="13" spans="1:13" ht="15.75" customHeight="1" thickBot="1" x14ac:dyDescent="0.3">
      <c r="D13" s="950"/>
      <c r="E13" s="950"/>
      <c r="F13" s="963"/>
      <c r="G13" s="887"/>
      <c r="H13" s="309" t="s">
        <v>190</v>
      </c>
      <c r="I13" s="309" t="s">
        <v>191</v>
      </c>
      <c r="J13" s="309" t="s">
        <v>192</v>
      </c>
      <c r="K13" s="309" t="s">
        <v>193</v>
      </c>
      <c r="L13" s="309" t="s">
        <v>194</v>
      </c>
    </row>
    <row r="14" spans="1:13" ht="17.25" customHeight="1" thickBot="1" x14ac:dyDescent="0.3">
      <c r="D14" s="950"/>
      <c r="E14" s="950"/>
      <c r="F14" s="338" t="s">
        <v>170</v>
      </c>
      <c r="G14" s="310">
        <f>COUNTIFS('CST-Final'!$CA:$CA,"&lt;&gt;Deleted",'CST-Final'!$AY:$AY,A1,'CST-Final'!$AZ:$AZ,F14)</f>
        <v>0</v>
      </c>
      <c r="H14" s="311">
        <f>SUMIFS('CST-Final'!$BQ:$BQ,'CST-Final'!$CA:$CA,"&lt;&gt;Deleted",'CST-Final'!$AY:$AY,A1,'CST-Final'!$AZ:$AZ,F14)</f>
        <v>0</v>
      </c>
      <c r="I14" s="311">
        <f>SUMIFS('CST-Final'!$BP:$BP,'CST-Final'!$CA:$CA,"&lt;&gt;Deleted",'CST-Final'!$AY:$AY,A1,'CST-Final'!$AZ:$AZ,F14)</f>
        <v>0</v>
      </c>
      <c r="J14" s="311">
        <f>SUMIFS('CST-Final'!$BV:$BV,'CST-Final'!$CA:$CA,"&lt;&gt;Deleted",'CST-Final'!$AY:$AY,A1,'CST-Final'!$AZ:$AZ,F14)</f>
        <v>0</v>
      </c>
      <c r="K14" s="309" t="str">
        <f>IF((H14+J14)=0,"0.00%",CONCATENATE(IF(((J14-H14)/H14)&gt;0,"(+) ","(-) "),ABS(FIXED(((J14-H14)/H14)*100,2)),"% "))</f>
        <v>0.00%</v>
      </c>
      <c r="L14" s="311">
        <f>I14-J14</f>
        <v>0</v>
      </c>
      <c r="M14" s="636">
        <f>IF(F7="ADRYS",ROUND((J14*1.18)/100000,2),ROUND(J14*1.3224*Form!$D$10/100000,2))</f>
        <v>0</v>
      </c>
    </row>
    <row r="15" spans="1:13" ht="17.25" customHeight="1" thickBot="1" x14ac:dyDescent="0.3">
      <c r="D15" s="950"/>
      <c r="E15" s="950"/>
      <c r="F15" s="338" t="s">
        <v>171</v>
      </c>
      <c r="G15" s="310">
        <f>COUNTIFS('CST-Final'!$CA:$CA,"&lt;&gt;Deleted",'CST-Final'!$AY:$AY,A1,'CST-Final'!$AZ:$AZ,F15)</f>
        <v>2</v>
      </c>
      <c r="H15" s="311">
        <f>SUMIFS('CST-Final'!$BQ:$BQ,'CST-Final'!$CA:$CA,"&lt;&gt;Deleted",'CST-Final'!$AY:$AY,A1,'CST-Final'!$AZ:$AZ,F15)</f>
        <v>82253.259999999995</v>
      </c>
      <c r="I15" s="311">
        <f>SUMIFS('CST-Final'!$BP:$BP,'CST-Final'!$CA:$CA,"&lt;&gt;Deleted",'CST-Final'!$AY:$AY,A1,'CST-Final'!$AZ:$AZ,F15)</f>
        <v>106083.6</v>
      </c>
      <c r="J15" s="311">
        <f>SUMIFS('CST-Final'!$BV:$BV,'CST-Final'!$CA:$CA,"&lt;&gt;Deleted",'CST-Final'!$AY:$AY,A1,'CST-Final'!$AZ:$AZ,F15)</f>
        <v>0</v>
      </c>
      <c r="K15" s="309" t="str">
        <f>IF((H15+J15)=0,"0.00%",CONCATENATE(IF(((J15-H15)/H15)&gt;0,"(+) ","(-) "),ABS(FIXED(((J15-H15)/H15)*100,2)),"% "))</f>
        <v xml:space="preserve">(-) 100% </v>
      </c>
      <c r="L15" s="311">
        <f>I15-J15</f>
        <v>106083.6</v>
      </c>
      <c r="M15" s="636">
        <f>IF(F8="ADRYS",ROUND((J15*1.18)/100000,2),ROUND(J15*1.3224*Form!$D$10/100000,2))</f>
        <v>0</v>
      </c>
    </row>
    <row r="16" spans="1:13" ht="17.25" customHeight="1" thickBot="1" x14ac:dyDescent="0.3">
      <c r="D16" s="950"/>
      <c r="E16" s="950"/>
      <c r="F16" s="332" t="s">
        <v>172</v>
      </c>
      <c r="G16" s="331">
        <f>COUNTIFS('CST-Final'!$CA:$CA,"&lt;&gt;Deleted",'CST-Final'!$AY:$AY,A1)</f>
        <v>2</v>
      </c>
      <c r="H16" s="333">
        <f>SUMIFS('CST-Final'!$BQ:$BQ,'CST-Final'!$CA:$CA,"&lt;&gt;Deleted",'CST-Final'!$AY:$AY,A1)</f>
        <v>82253.259999999995</v>
      </c>
      <c r="I16" s="333">
        <f>SUMIFS('CST-Final'!$BP:$BP,'CST-Final'!$CA:$CA,"&lt;&gt;Deleted",'CST-Final'!$AY:$AY,A1)</f>
        <v>106083.6</v>
      </c>
      <c r="J16" s="333">
        <f>SUMIFS('CST-Final'!$BV:$BV,'CST-Final'!$CA:$CA,"&lt;&gt;Deleted",'CST-Final'!$AY:$AY,A1)</f>
        <v>0</v>
      </c>
      <c r="K16" s="332" t="str">
        <f>IF((H16+J16)=0,"0.00%",CONCATENATE(IF(((J16-H16)/H16)&gt;0,"(+) ","(-) "),ABS(FIXED(((J16-H16)/H16)*100,2)),"% "))</f>
        <v xml:space="preserve">(-) 100% </v>
      </c>
      <c r="L16" s="333">
        <f>I16-J16</f>
        <v>106083.6</v>
      </c>
      <c r="M16" s="637">
        <f>IF(F9="ADRYS",ROUND((J16*1.18)/100000,2),ROUND(J16*1.3224*Form!$D$10/100000,2))</f>
        <v>0</v>
      </c>
    </row>
    <row r="17" spans="4:14" ht="17.25" customHeight="1" thickBot="1" x14ac:dyDescent="0.3">
      <c r="D17" s="950"/>
      <c r="E17" s="950"/>
      <c r="F17" s="964" t="s">
        <v>273</v>
      </c>
      <c r="G17" s="964"/>
      <c r="H17" s="964"/>
      <c r="I17" s="965"/>
      <c r="J17" s="339">
        <f>'CST-Final'!BX91</f>
        <v>0</v>
      </c>
      <c r="K17" s="340"/>
      <c r="L17" s="341"/>
      <c r="M17" s="460"/>
    </row>
    <row r="18" spans="4:14" ht="17.25" customHeight="1" thickBot="1" x14ac:dyDescent="0.3">
      <c r="D18" s="950"/>
      <c r="E18" s="950"/>
      <c r="F18" s="342" t="s">
        <v>17</v>
      </c>
      <c r="G18" s="343">
        <f>COUNTIFS('CST-Final'!$CA:$CA,"&lt;&gt;Deleted",'CST-Final'!$AY:$AY,A1)</f>
        <v>2</v>
      </c>
      <c r="H18" s="342">
        <f>SUMIFS('CST-Final'!$BQ:$BQ,'CST-Final'!$CA:$CA,"&lt;&gt;Deleted",'CST-Final'!$AY:$AY,A1)</f>
        <v>82253.259999999995</v>
      </c>
      <c r="I18" s="344">
        <f>SUMIFS('CST-Final'!$BP:$BP,'CST-Final'!$CA:$CA,"&lt;&gt;Deleted",'CST-Final'!$AY:$AY,A1)</f>
        <v>106083.6</v>
      </c>
      <c r="J18" s="345">
        <f>J16-J17</f>
        <v>0</v>
      </c>
      <c r="K18" s="346" t="str">
        <f>IF((H18+J18)=0,"0.00%",CONCATENATE(IF(((J18-H18)/H18)&gt;0,"(+) ","(-) "),ABS(FIXED(((J18-H18)/H18)*100,2)),"% "))</f>
        <v xml:space="preserve">(-) 100% </v>
      </c>
      <c r="L18" s="347">
        <f>I18-J18</f>
        <v>106083.6</v>
      </c>
      <c r="M18" s="637">
        <f>IF(F11="ADRYS",ROUND((J18*1.18)/100000,2),ROUND(J18*1.3224*Form!$D$10/100000,2))</f>
        <v>0</v>
      </c>
    </row>
    <row r="19" spans="4:14" ht="64.5" customHeight="1" thickBot="1" x14ac:dyDescent="0.3">
      <c r="D19" s="950"/>
      <c r="E19" s="950"/>
      <c r="F19" s="959" t="str">
        <f>CONCATENATE("The analysis of offered prices w.r.t. estimates based on last purchase price (LPP) of other than ROE for finalized ",G18," lines is done. The CST having estimates with LPP is at E-9. The final summary of offer finalized for ",VLOOKUP(A1,Negociation!B:F,3,FALSE)," L1 ",IF(VLOOKUP(A1,Negociation!B:F,3,FALSE)&gt;1,"lines","line")," with ",A1," in line with draft contract ",HLOOKUP(A1,Form!D25:N42,13,FALSE)," is tabulated below.")</f>
        <v>The analysis of offered prices w.r.t. estimates based on last purchase price (LPP) of other than ROE for finalized 2 lines is done. The CST having estimates with LPP is at E-9. The final summary of offer finalized for 2 L1 lines with IASL in line with draft contract  is tabulated below.</v>
      </c>
      <c r="G19" s="960"/>
      <c r="H19" s="960"/>
      <c r="I19" s="960"/>
      <c r="J19" s="960"/>
      <c r="K19" s="960"/>
      <c r="L19" s="961"/>
      <c r="N19" s="442"/>
    </row>
    <row r="20" spans="4:14" ht="48" customHeight="1" x14ac:dyDescent="0.25">
      <c r="D20" s="950"/>
      <c r="E20" s="950"/>
      <c r="F20" s="966" t="s">
        <v>252</v>
      </c>
      <c r="G20" s="968" t="s">
        <v>184</v>
      </c>
      <c r="H20" s="446" t="s">
        <v>185</v>
      </c>
      <c r="I20" s="446" t="s">
        <v>186</v>
      </c>
      <c r="J20" s="446" t="s">
        <v>187</v>
      </c>
      <c r="K20" s="446" t="s">
        <v>188</v>
      </c>
      <c r="L20" s="446" t="s">
        <v>189</v>
      </c>
    </row>
    <row r="21" spans="4:14" ht="17.25" customHeight="1" thickBot="1" x14ac:dyDescent="0.3">
      <c r="D21" s="950"/>
      <c r="E21" s="950"/>
      <c r="F21" s="967"/>
      <c r="G21" s="969"/>
      <c r="H21" s="447" t="s">
        <v>190</v>
      </c>
      <c r="I21" s="447" t="s">
        <v>191</v>
      </c>
      <c r="J21" s="447" t="s">
        <v>192</v>
      </c>
      <c r="K21" s="447" t="s">
        <v>193</v>
      </c>
      <c r="L21" s="447" t="s">
        <v>194</v>
      </c>
    </row>
    <row r="22" spans="4:14" ht="17.25" customHeight="1" thickBot="1" x14ac:dyDescent="0.3">
      <c r="D22" s="950"/>
      <c r="E22" s="950"/>
      <c r="F22" s="445" t="s">
        <v>170</v>
      </c>
      <c r="G22" s="448">
        <v>0</v>
      </c>
      <c r="H22" s="449">
        <v>0</v>
      </c>
      <c r="I22" s="449">
        <v>0</v>
      </c>
      <c r="J22" s="449">
        <v>0</v>
      </c>
      <c r="K22" s="447" t="s">
        <v>274</v>
      </c>
      <c r="L22" s="449">
        <v>0</v>
      </c>
    </row>
    <row r="23" spans="4:14" ht="17.25" customHeight="1" thickBot="1" x14ac:dyDescent="0.3">
      <c r="D23" s="950"/>
      <c r="E23" s="950"/>
      <c r="F23" s="445" t="s">
        <v>171</v>
      </c>
      <c r="G23" s="448">
        <v>36</v>
      </c>
      <c r="H23" s="449">
        <v>17133954.990000002</v>
      </c>
      <c r="I23" s="449">
        <v>3766616</v>
      </c>
      <c r="J23" s="449">
        <v>3759674</v>
      </c>
      <c r="K23" s="447" t="s">
        <v>455</v>
      </c>
      <c r="L23" s="449">
        <v>6942</v>
      </c>
    </row>
    <row r="24" spans="4:14" ht="17.25" customHeight="1" thickBot="1" x14ac:dyDescent="0.3">
      <c r="D24" s="950"/>
      <c r="E24" s="950"/>
      <c r="F24" s="450" t="s">
        <v>172</v>
      </c>
      <c r="G24" s="448">
        <v>0</v>
      </c>
      <c r="H24" s="449">
        <v>0</v>
      </c>
      <c r="I24" s="449">
        <v>0</v>
      </c>
      <c r="J24" s="449">
        <v>0</v>
      </c>
      <c r="K24" s="447" t="s">
        <v>274</v>
      </c>
      <c r="L24" s="449">
        <v>0</v>
      </c>
    </row>
    <row r="25" spans="4:14" ht="17.25" customHeight="1" thickBot="1" x14ac:dyDescent="0.3">
      <c r="D25" s="950"/>
      <c r="E25" s="950"/>
      <c r="F25" s="970" t="s">
        <v>273</v>
      </c>
      <c r="G25" s="971"/>
      <c r="H25" s="971"/>
      <c r="I25" s="972"/>
      <c r="J25" s="451">
        <f>'CST-Final'!BX91</f>
        <v>0</v>
      </c>
      <c r="K25" s="452"/>
      <c r="L25" s="453"/>
    </row>
    <row r="26" spans="4:14" ht="17.25" customHeight="1" thickBot="1" x14ac:dyDescent="0.3">
      <c r="D26" s="951"/>
      <c r="E26" s="951"/>
      <c r="F26" s="454" t="s">
        <v>17</v>
      </c>
      <c r="G26" s="448">
        <v>0</v>
      </c>
      <c r="H26" s="449">
        <v>0</v>
      </c>
      <c r="I26" s="449">
        <v>0</v>
      </c>
      <c r="J26" s="449">
        <v>0</v>
      </c>
      <c r="K26" s="447" t="s">
        <v>274</v>
      </c>
      <c r="L26" s="449">
        <v>0</v>
      </c>
    </row>
    <row r="27" spans="4:14" ht="30" customHeight="1" thickBot="1" x14ac:dyDescent="0.3">
      <c r="D27" s="327">
        <v>3</v>
      </c>
      <c r="E27" s="348" t="s">
        <v>275</v>
      </c>
      <c r="F27" s="973" t="str">
        <f>CONCATENATE("Procurement of ",Form!D7," ",Form!E7)</f>
        <v>Procurement of Procurement of BoI Spares &amp; Repair of KOPYO Cards HAL/NK/MPU-AOD/xyz(208)/23/ dated 01.06.2023</v>
      </c>
      <c r="G27" s="974"/>
      <c r="H27" s="974"/>
      <c r="I27" s="974"/>
      <c r="J27" s="974"/>
      <c r="K27" s="974"/>
      <c r="L27" s="975"/>
    </row>
    <row r="28" spans="4:14" ht="15.75" thickBot="1" x14ac:dyDescent="0.3">
      <c r="D28" s="349">
        <v>4</v>
      </c>
      <c r="E28" s="350" t="s">
        <v>276</v>
      </c>
      <c r="F28" s="901" t="s">
        <v>277</v>
      </c>
      <c r="G28" s="902"/>
      <c r="H28" s="902"/>
      <c r="I28" s="902"/>
      <c r="J28" s="902"/>
      <c r="K28" s="902"/>
      <c r="L28" s="903"/>
    </row>
    <row r="29" spans="4:14" ht="29.25" thickBot="1" x14ac:dyDescent="0.3">
      <c r="D29" s="349">
        <v>5</v>
      </c>
      <c r="E29" s="350" t="s">
        <v>278</v>
      </c>
      <c r="F29" s="976" t="str">
        <f>CONCATENATE("Division has technically accepted offer of ",A1," (Refer E-",N29," and Enclosure-1: ",Form!C14,"/PP-",HLOOKUP(A1,Form!D25:N42,12,FALSE)," /",A1,").")</f>
        <v>Division has technically accepted offer of IASL (Refer E-3 and Enclosure-1: HAL/NK/MPU-AOD/2237(628)/23/107//PP- /IASL).</v>
      </c>
      <c r="G29" s="977"/>
      <c r="H29" s="977"/>
      <c r="I29" s="977"/>
      <c r="J29" s="977"/>
      <c r="K29" s="977"/>
      <c r="L29" s="978"/>
      <c r="N29">
        <v>3</v>
      </c>
    </row>
    <row r="30" spans="4:14" ht="36.75" customHeight="1" thickBot="1" x14ac:dyDescent="0.3">
      <c r="D30" s="349">
        <v>6</v>
      </c>
      <c r="E30" s="350" t="s">
        <v>279</v>
      </c>
      <c r="F30" s="979" t="s">
        <v>280</v>
      </c>
      <c r="G30" s="980"/>
      <c r="H30" s="980"/>
      <c r="I30" s="980"/>
      <c r="J30" s="980"/>
      <c r="K30" s="980"/>
      <c r="L30" s="981"/>
    </row>
    <row r="31" spans="4:14" ht="15" customHeight="1" thickBot="1" x14ac:dyDescent="0.3">
      <c r="D31" s="949">
        <v>7</v>
      </c>
      <c r="E31" s="982" t="s">
        <v>281</v>
      </c>
      <c r="F31" s="984" t="str">
        <f>CONCATENATE("Total offered value of ",G18," lines = USD ",FIXED(J18,2),"Total estimated value of ",G18," lines = USD ",FIXED(H18,2),"Total Offered value is ",K18,IF(J18&gt;H18,"higher"," lower")," than the HAL estimate.")</f>
        <v>Total offered value of 2 lines = USD 0.00Total estimated value of 2 lines = USD 82,253.26Total Offered value is (-) 100%  lower than the HAL estimate.</v>
      </c>
      <c r="G31" s="985"/>
      <c r="H31" s="985"/>
      <c r="I31" s="986"/>
      <c r="J31" s="990" t="s">
        <v>282</v>
      </c>
      <c r="K31" s="991"/>
      <c r="L31" s="992"/>
    </row>
    <row r="32" spans="4:14" ht="72.75" customHeight="1" thickBot="1" x14ac:dyDescent="0.3">
      <c r="D32" s="950"/>
      <c r="E32" s="983"/>
      <c r="F32" s="987"/>
      <c r="G32" s="988"/>
      <c r="H32" s="988"/>
      <c r="I32" s="989"/>
      <c r="J32" s="943" t="str">
        <f>CONCATENATE("The total offer value USD ",FIXED(J18,2)," is ",IF(J18&gt;H18,"more","less")," than the total estimated value USD ",FIXED(H18,2)," by ",K18,", hence proposed to conclude contract.")</f>
        <v>The total offer value USD 0.00 is less than the total estimated value USD 82,253.26 by (-) 100% , hence proposed to conclude contract.</v>
      </c>
      <c r="K32" s="944"/>
      <c r="L32" s="945"/>
    </row>
    <row r="33" spans="4:13" ht="44.25" customHeight="1" thickBot="1" x14ac:dyDescent="0.3">
      <c r="D33" s="351">
        <v>8</v>
      </c>
      <c r="E33" s="352" t="s">
        <v>283</v>
      </c>
      <c r="F33" s="901" t="str">
        <f>IF(HLOOKUP(A1,Form!D25:N42,11,FALSE)&gt;0,CONCATENATE("Negotiation conducted on ",TEXT(HLOOKUP(A1,Form!D25:N42,11,FALSE),"dd.mm.yyyy")),IF(HLOOKUP(A1,Form!D25:N42,10,FALSE)="","N/A",CONCATENATE(A1," vide letter ",HLOOKUP(A1,Form!D25:N42,10,FALSE)," dated ",TEXT(HLOOKUP(A1,Form!D25:N42,11,FALSE),"dd.mm.yyyy")," informed that they are not able to depute representative for negotiation in near future. However to avoid unwanted delay with finalization of the case, additional linewise discount is  provided by ",A1," (",Form!B34,").")))</f>
        <v>N/A</v>
      </c>
      <c r="G33" s="902"/>
      <c r="H33" s="902"/>
      <c r="I33" s="902"/>
      <c r="J33" s="902"/>
      <c r="K33" s="902"/>
      <c r="L33" s="903"/>
    </row>
    <row r="34" spans="4:13" ht="67.5" customHeight="1" thickBot="1" x14ac:dyDescent="0.3">
      <c r="D34" s="336">
        <v>9</v>
      </c>
      <c r="E34" s="352" t="s">
        <v>284</v>
      </c>
      <c r="F34" s="901" t="str">
        <f>IF(F33="","N/A",CONCATENATE("PNC recommended to conclude ",G18," lines with ",A1," at a total value of USD ",FIXED(J18,2),". PNC recommendation is placed at E-",M34,". ",IF(HLOOKUP(A1,Form!D25:N42,13,FALSE)="","",CONCATENATE(A1," has forwarded revised draft contract No. ",HLOOKUP(A1,Form!D25:N42,13,FALSE)," for ",PP!G18,"  lines."))))</f>
        <v xml:space="preserve">PNC recommended to conclude 2 lines with IASL at a total value of USD 0.00. PNC recommendation is placed at E-10. </v>
      </c>
      <c r="G34" s="902"/>
      <c r="H34" s="902"/>
      <c r="I34" s="902"/>
      <c r="J34" s="902"/>
      <c r="K34" s="902"/>
      <c r="L34" s="903"/>
      <c r="M34">
        <v>10</v>
      </c>
    </row>
    <row r="35" spans="4:13" ht="28.5" customHeight="1" thickBot="1" x14ac:dyDescent="0.3">
      <c r="D35" s="349">
        <v>10</v>
      </c>
      <c r="E35" s="352" t="s">
        <v>285</v>
      </c>
      <c r="F35" s="996" t="e">
        <f>HLOOKUP(A1,'Comm Eval'!4:20,18,FALSE)</f>
        <v>#REF!</v>
      </c>
      <c r="G35" s="997"/>
      <c r="H35" s="997"/>
      <c r="I35" s="997"/>
      <c r="J35" s="997"/>
      <c r="K35" s="997"/>
      <c r="L35" s="998"/>
    </row>
    <row r="36" spans="4:13" ht="83.25" customHeight="1" thickBot="1" x14ac:dyDescent="0.3">
      <c r="D36" s="349">
        <v>11</v>
      </c>
      <c r="E36" s="352" t="s">
        <v>286</v>
      </c>
      <c r="F36" s="996">
        <f>HLOOKUP(A1,'Comm Eval'!4:22,15,FALSE)</f>
        <v>0</v>
      </c>
      <c r="G36" s="997"/>
      <c r="H36" s="997"/>
      <c r="I36" s="997"/>
      <c r="J36" s="997"/>
      <c r="K36" s="997"/>
      <c r="L36" s="998"/>
    </row>
    <row r="37" spans="4:13" ht="28.5" customHeight="1" thickBot="1" x14ac:dyDescent="0.3">
      <c r="D37" s="349">
        <v>12</v>
      </c>
      <c r="E37" s="352" t="s">
        <v>93</v>
      </c>
      <c r="F37" s="996" t="str">
        <f>Form!F2</f>
        <v>Expenditure is fully recoverable in accordance with GOI, MOD letter No. Air HQ/95357/71/09-10/NSK/Fin P/AF/US(S)/D(Air-IV(I)/14 dated 12.09.2014, as applicable for BOI supplies against RMSO..</v>
      </c>
      <c r="G37" s="997"/>
      <c r="H37" s="997"/>
      <c r="I37" s="997"/>
      <c r="J37" s="997"/>
      <c r="K37" s="997"/>
      <c r="L37" s="998"/>
    </row>
    <row r="38" spans="4:13" ht="16.5" customHeight="1" thickBot="1" x14ac:dyDescent="0.3">
      <c r="D38" s="949">
        <v>13</v>
      </c>
      <c r="E38" s="949" t="s">
        <v>287</v>
      </c>
      <c r="F38" s="993" t="s">
        <v>288</v>
      </c>
      <c r="G38" s="994"/>
      <c r="H38" s="994"/>
      <c r="I38" s="995"/>
      <c r="J38" s="898" t="s">
        <v>289</v>
      </c>
      <c r="K38" s="899"/>
      <c r="L38" s="900"/>
    </row>
    <row r="39" spans="4:13" ht="15.75" customHeight="1" thickBot="1" x14ac:dyDescent="0.3">
      <c r="D39" s="950"/>
      <c r="E39" s="950"/>
      <c r="F39" s="901" t="s">
        <v>290</v>
      </c>
      <c r="G39" s="902"/>
      <c r="H39" s="902"/>
      <c r="I39" s="903"/>
      <c r="J39" s="970" t="s">
        <v>291</v>
      </c>
      <c r="K39" s="971"/>
      <c r="L39" s="999"/>
    </row>
    <row r="40" spans="4:13" ht="15.75" customHeight="1" thickBot="1" x14ac:dyDescent="0.3">
      <c r="D40" s="950"/>
      <c r="E40" s="950"/>
      <c r="F40" s="901" t="s">
        <v>292</v>
      </c>
      <c r="G40" s="902"/>
      <c r="H40" s="902"/>
      <c r="I40" s="903"/>
      <c r="J40" s="353" t="s">
        <v>293</v>
      </c>
      <c r="K40" s="354">
        <v>34800</v>
      </c>
      <c r="L40" s="355" t="s">
        <v>294</v>
      </c>
    </row>
    <row r="41" spans="4:13" ht="15.75" customHeight="1" thickBot="1" x14ac:dyDescent="0.3">
      <c r="D41" s="950"/>
      <c r="E41" s="950"/>
      <c r="F41" s="901" t="s">
        <v>295</v>
      </c>
      <c r="G41" s="902"/>
      <c r="H41" s="902"/>
      <c r="I41" s="903"/>
      <c r="J41" s="353" t="s">
        <v>293</v>
      </c>
      <c r="K41" s="356">
        <v>7395.82</v>
      </c>
      <c r="L41" s="355" t="s">
        <v>294</v>
      </c>
    </row>
    <row r="42" spans="4:13" ht="15.75" customHeight="1" thickBot="1" x14ac:dyDescent="0.3">
      <c r="D42" s="950"/>
      <c r="E42" s="950"/>
      <c r="F42" s="901" t="s">
        <v>296</v>
      </c>
      <c r="G42" s="902"/>
      <c r="H42" s="902"/>
      <c r="I42" s="903"/>
      <c r="J42" s="357" t="s">
        <v>293</v>
      </c>
      <c r="K42" s="358">
        <f>B4</f>
        <v>0</v>
      </c>
      <c r="L42" s="359" t="s">
        <v>294</v>
      </c>
    </row>
    <row r="43" spans="4:13" ht="15.75" customHeight="1" thickBot="1" x14ac:dyDescent="0.3">
      <c r="D43" s="951"/>
      <c r="E43" s="951"/>
      <c r="F43" s="901" t="s">
        <v>297</v>
      </c>
      <c r="G43" s="902"/>
      <c r="H43" s="902"/>
      <c r="I43" s="903"/>
      <c r="J43" s="353" t="s">
        <v>293</v>
      </c>
      <c r="K43" s="354">
        <f>K40-K41-K42</f>
        <v>27404.18</v>
      </c>
      <c r="L43" s="355" t="s">
        <v>294</v>
      </c>
    </row>
    <row r="44" spans="4:13" ht="15.75" thickBot="1" x14ac:dyDescent="0.3">
      <c r="D44" s="349">
        <v>14</v>
      </c>
      <c r="E44" s="352" t="s">
        <v>298</v>
      </c>
      <c r="F44" s="901" t="str">
        <f>HLOOKUP(A1,'Comm Eval'!4:20,3,FALSE)</f>
        <v>60 days</v>
      </c>
      <c r="G44" s="902"/>
      <c r="H44" s="902"/>
      <c r="I44" s="902"/>
      <c r="J44" s="902"/>
      <c r="K44" s="902"/>
      <c r="L44" s="903"/>
    </row>
    <row r="45" spans="4:13" ht="30" customHeight="1" thickBot="1" x14ac:dyDescent="0.3">
      <c r="D45" s="349">
        <v>15</v>
      </c>
      <c r="E45" s="352" t="s">
        <v>299</v>
      </c>
      <c r="F45" s="1000" t="s">
        <v>300</v>
      </c>
      <c r="G45" s="1001"/>
      <c r="H45" s="1001"/>
      <c r="I45" s="1001"/>
      <c r="J45" s="1001"/>
      <c r="K45" s="1001"/>
      <c r="L45" s="1002"/>
    </row>
    <row r="46" spans="4:13" ht="91.5" customHeight="1" thickBot="1" x14ac:dyDescent="0.3">
      <c r="D46" s="349">
        <v>16</v>
      </c>
      <c r="E46" s="352" t="s">
        <v>301</v>
      </c>
      <c r="F46" s="901" t="str">
        <f>CONCATENATE("It is recommended to conclude contract with ",A1," for supply of ",G18," lines of ",Form!D7," at total value USD ",FIXED(J18,2),". ",C3)</f>
        <v>It is recommended to conclude contract with IASL for supply of 2 lines of Procurement of BoI Spares &amp; Repair of KOPYO Cards at total value USD 0.00. Final landed cost including Custom, IGST and other duties on assessable value  (100% of basic landed cost) and F &amp; I @ 1.26% on basic landed cost is INR 0.00 Lakhs @ 1 USD = INR 82.78. However at the time of payment, Custom, GST and other duties will be paid on actual, on “CIP- Mumbai Airport” Shipment Terms.</v>
      </c>
      <c r="G46" s="902"/>
      <c r="H46" s="902"/>
      <c r="I46" s="902"/>
      <c r="J46" s="902"/>
      <c r="K46" s="902"/>
      <c r="L46" s="903"/>
    </row>
    <row r="47" spans="4:13" ht="15.75" customHeight="1" thickBot="1" x14ac:dyDescent="0.3">
      <c r="D47" s="1003" t="s">
        <v>302</v>
      </c>
      <c r="E47" s="904" t="s">
        <v>303</v>
      </c>
      <c r="F47" s="947" t="s">
        <v>304</v>
      </c>
      <c r="G47" s="1005"/>
      <c r="H47" s="948"/>
      <c r="I47" s="909" t="s">
        <v>305</v>
      </c>
      <c r="J47" s="912"/>
      <c r="K47" s="920" t="s">
        <v>306</v>
      </c>
      <c r="L47" s="1007"/>
    </row>
    <row r="48" spans="4:13" ht="15.75" thickBot="1" x14ac:dyDescent="0.3">
      <c r="D48" s="1004"/>
      <c r="E48" s="919"/>
      <c r="F48" s="947" t="s">
        <v>307</v>
      </c>
      <c r="G48" s="948"/>
      <c r="H48" s="360" t="s">
        <v>308</v>
      </c>
      <c r="I48" s="921"/>
      <c r="J48" s="1006"/>
      <c r="K48" s="921"/>
      <c r="L48" s="1006"/>
    </row>
    <row r="49" spans="4:12" ht="104.25" customHeight="1" thickBot="1" x14ac:dyDescent="0.3">
      <c r="D49" s="1004"/>
      <c r="E49" s="361" t="s">
        <v>309</v>
      </c>
      <c r="F49" s="1008" t="s">
        <v>310</v>
      </c>
      <c r="G49" s="1009"/>
      <c r="H49" s="362" t="s">
        <v>311</v>
      </c>
      <c r="I49" s="1010" t="s">
        <v>312</v>
      </c>
      <c r="J49" s="1011"/>
      <c r="K49" s="1012" t="s">
        <v>313</v>
      </c>
      <c r="L49" s="1013"/>
    </row>
    <row r="50" spans="4:12" ht="15.75" customHeight="1" thickBot="1" x14ac:dyDescent="0.3">
      <c r="D50" s="1004"/>
      <c r="E50" s="319" t="s">
        <v>303</v>
      </c>
      <c r="F50" s="947" t="s">
        <v>314</v>
      </c>
      <c r="G50" s="1005"/>
      <c r="H50" s="948"/>
      <c r="I50" s="947" t="s">
        <v>315</v>
      </c>
      <c r="J50" s="1005"/>
      <c r="K50" s="1005"/>
      <c r="L50" s="948"/>
    </row>
    <row r="51" spans="4:12" ht="97.5" customHeight="1" thickBot="1" x14ac:dyDescent="0.3">
      <c r="D51" s="1004"/>
      <c r="E51" s="361" t="s">
        <v>309</v>
      </c>
      <c r="F51" s="1014" t="s">
        <v>316</v>
      </c>
      <c r="G51" s="1015"/>
      <c r="H51" s="1015"/>
      <c r="I51" s="1010" t="s">
        <v>317</v>
      </c>
      <c r="J51" s="1016"/>
      <c r="K51" s="1016"/>
      <c r="L51" s="1011"/>
    </row>
    <row r="52" spans="4:12" ht="37.5" customHeight="1" thickBot="1" x14ac:dyDescent="0.3">
      <c r="D52" s="1003" t="s">
        <v>318</v>
      </c>
      <c r="E52" s="363" t="s">
        <v>303</v>
      </c>
      <c r="F52" s="947" t="s">
        <v>319</v>
      </c>
      <c r="G52" s="1005"/>
      <c r="H52" s="948"/>
      <c r="I52" s="947" t="s">
        <v>320</v>
      </c>
      <c r="J52" s="1005"/>
      <c r="K52" s="1005"/>
      <c r="L52" s="948"/>
    </row>
    <row r="53" spans="4:12" ht="118.5" customHeight="1" thickBot="1" x14ac:dyDescent="0.3">
      <c r="D53" s="1017"/>
      <c r="E53" s="364" t="s">
        <v>321</v>
      </c>
      <c r="F53" s="1008" t="s">
        <v>322</v>
      </c>
      <c r="G53" s="1018"/>
      <c r="H53" s="1009"/>
      <c r="I53" s="1008" t="s">
        <v>323</v>
      </c>
      <c r="J53" s="1018"/>
      <c r="K53" s="1018"/>
      <c r="L53" s="1009"/>
    </row>
  </sheetData>
  <mergeCells count="65">
    <mergeCell ref="D52:D53"/>
    <mergeCell ref="F52:H52"/>
    <mergeCell ref="I52:L52"/>
    <mergeCell ref="F53:H53"/>
    <mergeCell ref="I53:L53"/>
    <mergeCell ref="F45:L45"/>
    <mergeCell ref="F46:L46"/>
    <mergeCell ref="D47:D51"/>
    <mergeCell ref="E47:E48"/>
    <mergeCell ref="F47:H47"/>
    <mergeCell ref="I47:J48"/>
    <mergeCell ref="K47:L48"/>
    <mergeCell ref="F48:G48"/>
    <mergeCell ref="F49:G49"/>
    <mergeCell ref="I49:J49"/>
    <mergeCell ref="K49:L49"/>
    <mergeCell ref="F50:H50"/>
    <mergeCell ref="I50:L50"/>
    <mergeCell ref="F51:H51"/>
    <mergeCell ref="I51:L51"/>
    <mergeCell ref="F44:L44"/>
    <mergeCell ref="F33:L33"/>
    <mergeCell ref="F34:L34"/>
    <mergeCell ref="F35:L35"/>
    <mergeCell ref="F36:L36"/>
    <mergeCell ref="F37:L37"/>
    <mergeCell ref="J39:L39"/>
    <mergeCell ref="F40:I40"/>
    <mergeCell ref="F41:I41"/>
    <mergeCell ref="F42:I42"/>
    <mergeCell ref="F43:I43"/>
    <mergeCell ref="D38:D43"/>
    <mergeCell ref="E38:E43"/>
    <mergeCell ref="F38:I38"/>
    <mergeCell ref="J38:L38"/>
    <mergeCell ref="F39:I39"/>
    <mergeCell ref="F29:L29"/>
    <mergeCell ref="F30:L30"/>
    <mergeCell ref="D31:D32"/>
    <mergeCell ref="E31:E32"/>
    <mergeCell ref="F31:I32"/>
    <mergeCell ref="J31:L31"/>
    <mergeCell ref="J32:L32"/>
    <mergeCell ref="F28:L28"/>
    <mergeCell ref="D4:D26"/>
    <mergeCell ref="E4:E26"/>
    <mergeCell ref="F4:L4"/>
    <mergeCell ref="F5:L5"/>
    <mergeCell ref="F9:H9"/>
    <mergeCell ref="F10:L10"/>
    <mergeCell ref="F11:L11"/>
    <mergeCell ref="F12:F13"/>
    <mergeCell ref="G12:G13"/>
    <mergeCell ref="F17:I17"/>
    <mergeCell ref="F19:L19"/>
    <mergeCell ref="F20:F21"/>
    <mergeCell ref="G20:G21"/>
    <mergeCell ref="F25:I25"/>
    <mergeCell ref="F27:L27"/>
    <mergeCell ref="F3:L3"/>
    <mergeCell ref="D1:E1"/>
    <mergeCell ref="F1:J1"/>
    <mergeCell ref="K1:L1"/>
    <mergeCell ref="D2:J2"/>
    <mergeCell ref="K2:L2"/>
  </mergeCells>
  <pageMargins left="0.56999999999999995" right="0.09" top="0.75" bottom="0.51" header="0.38" footer="0.16"/>
  <pageSetup paperSize="9" scale="7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9" tint="-0.249977111117893"/>
  </sheetPr>
  <dimension ref="A1:N66"/>
  <sheetViews>
    <sheetView tabSelected="1" topLeftCell="A49" zoomScaleSheetLayoutView="85" workbookViewId="0">
      <selection activeCell="G89" sqref="G89"/>
    </sheetView>
  </sheetViews>
  <sheetFormatPr defaultRowHeight="15" x14ac:dyDescent="0.25"/>
  <cols>
    <col min="2" max="2" width="4.5703125" customWidth="1"/>
    <col min="3" max="3" width="38.7109375" customWidth="1"/>
    <col min="4" max="4" width="25.28515625" customWidth="1"/>
    <col min="5" max="5" width="22.5703125" customWidth="1"/>
    <col min="6" max="6" width="20.7109375" customWidth="1"/>
    <col min="7" max="7" width="19.5703125" customWidth="1"/>
    <col min="8" max="8" width="17.140625" customWidth="1"/>
    <col min="9" max="10" width="14.28515625" customWidth="1"/>
    <col min="13" max="13" width="19.5703125" customWidth="1"/>
    <col min="14" max="14" width="10.5703125" customWidth="1"/>
  </cols>
  <sheetData>
    <row r="1" spans="1:7" ht="23.25" x14ac:dyDescent="0.35">
      <c r="A1" s="365" t="str">
        <f>PP!A1</f>
        <v>IASL</v>
      </c>
      <c r="B1" s="1019" t="s">
        <v>324</v>
      </c>
      <c r="C1" s="1019"/>
      <c r="D1" s="1019"/>
      <c r="E1" s="1019"/>
      <c r="F1" s="1019"/>
      <c r="G1" s="1019"/>
    </row>
    <row r="2" spans="1:7" ht="24" customHeight="1" x14ac:dyDescent="0.25">
      <c r="B2" s="1020" t="str">
        <f>CONCATENATE(Form!C14,"/PP-",HLOOKUP(A1,Form!D25:I42,12,FALSE)," /",A1)</f>
        <v>HAL/NK/MPU-AOD/2237(628)/23/107//PP- /IASL</v>
      </c>
      <c r="C2" s="1020"/>
      <c r="D2" s="1020"/>
      <c r="E2" s="1020"/>
      <c r="F2" s="1020"/>
      <c r="G2" s="1020"/>
    </row>
    <row r="3" spans="1:7" ht="27.75" customHeight="1" x14ac:dyDescent="0.25">
      <c r="B3" s="1021" t="s">
        <v>325</v>
      </c>
      <c r="C3" s="1021"/>
      <c r="D3" s="1021"/>
      <c r="E3" s="1021"/>
      <c r="F3" s="1021"/>
      <c r="G3" s="1021"/>
    </row>
    <row r="4" spans="1:7" ht="18.75" customHeight="1" thickBot="1" x14ac:dyDescent="0.3">
      <c r="B4" s="1022" t="str">
        <f>CONCATENATE("(For ",PP!G18," lines –",A1,")")</f>
        <v>(For 2 lines –IASL)</v>
      </c>
      <c r="C4" s="1022"/>
      <c r="D4" s="1022"/>
      <c r="E4" s="1022"/>
      <c r="F4" s="1022"/>
      <c r="G4" s="1022"/>
    </row>
    <row r="5" spans="1:7" ht="15" customHeight="1" thickBot="1" x14ac:dyDescent="0.3">
      <c r="B5" s="366" t="s">
        <v>326</v>
      </c>
      <c r="C5" s="367" t="s">
        <v>327</v>
      </c>
      <c r="D5" s="898" t="str">
        <f>A1</f>
        <v>IASL</v>
      </c>
      <c r="E5" s="899"/>
      <c r="F5" s="900"/>
      <c r="G5" s="336" t="s">
        <v>328</v>
      </c>
    </row>
    <row r="6" spans="1:7" ht="29.25" customHeight="1" thickBot="1" x14ac:dyDescent="0.3">
      <c r="B6" s="368"/>
      <c r="C6" s="369" t="s">
        <v>329</v>
      </c>
      <c r="D6" s="901" t="str">
        <f>CONCATENATE(PP!G18," lines of ",Form!D7)</f>
        <v>2 lines of Procurement of BoI Spares &amp; Repair of KOPYO Cards</v>
      </c>
      <c r="E6" s="902"/>
      <c r="F6" s="903"/>
      <c r="G6" s="323" t="s">
        <v>330</v>
      </c>
    </row>
    <row r="7" spans="1:7" ht="45" customHeight="1" x14ac:dyDescent="0.25">
      <c r="B7" s="370"/>
      <c r="C7" s="371" t="s">
        <v>331</v>
      </c>
      <c r="D7" s="906" t="str">
        <f>CONCATENATE(A1," offer is technically acceptable vide Letter No. ",Form!D11," (E-",'NOTE Sheet'!M5,").")</f>
        <v>IASL offer is technically acceptable vide Letter No.  (E-3).</v>
      </c>
      <c r="E7" s="907"/>
      <c r="F7" s="908"/>
      <c r="G7" s="372"/>
    </row>
    <row r="8" spans="1:7" ht="45" x14ac:dyDescent="0.25">
      <c r="B8" s="370"/>
      <c r="C8" s="371" t="s">
        <v>332</v>
      </c>
      <c r="D8" s="913" t="s">
        <v>333</v>
      </c>
      <c r="E8" s="914"/>
      <c r="F8" s="915"/>
      <c r="G8" s="373"/>
    </row>
    <row r="9" spans="1:7" ht="30" customHeight="1" x14ac:dyDescent="0.25">
      <c r="B9" s="370"/>
      <c r="C9" s="371" t="s">
        <v>334</v>
      </c>
      <c r="D9" s="913" t="str">
        <f>A1</f>
        <v>IASL</v>
      </c>
      <c r="E9" s="914"/>
      <c r="F9" s="915"/>
      <c r="G9" s="373"/>
    </row>
    <row r="10" spans="1:7" ht="45" customHeight="1" thickBot="1" x14ac:dyDescent="0.3">
      <c r="B10" s="370"/>
      <c r="C10" s="371" t="s">
        <v>335</v>
      </c>
      <c r="D10" s="943" t="str">
        <f>CONCATENATE(A1," has accepted all the RFQ terms and conditions except payment terms.")</f>
        <v>IASL has accepted all the RFQ terms and conditions except payment terms.</v>
      </c>
      <c r="E10" s="944"/>
      <c r="F10" s="945"/>
      <c r="G10" s="373"/>
    </row>
    <row r="11" spans="1:7" ht="56.25" customHeight="1" thickBot="1" x14ac:dyDescent="0.3">
      <c r="B11" s="1023" t="s">
        <v>336</v>
      </c>
      <c r="C11" s="1023"/>
      <c r="D11" s="323"/>
      <c r="E11" s="323"/>
      <c r="F11" s="947"/>
      <c r="G11" s="948"/>
    </row>
    <row r="12" spans="1:7" ht="75.75" customHeight="1" thickBot="1" x14ac:dyDescent="0.3">
      <c r="B12" s="942" t="s">
        <v>337</v>
      </c>
      <c r="C12" s="942"/>
      <c r="D12" s="319" t="s">
        <v>338</v>
      </c>
      <c r="E12" s="319" t="s">
        <v>312</v>
      </c>
      <c r="F12" s="947" t="s">
        <v>339</v>
      </c>
      <c r="G12" s="948"/>
    </row>
    <row r="13" spans="1:7" s="374" customFormat="1" ht="11.25" customHeight="1" x14ac:dyDescent="0.25">
      <c r="B13" s="375"/>
      <c r="C13" s="375"/>
      <c r="D13" s="375"/>
      <c r="E13" s="375"/>
      <c r="F13" s="375"/>
      <c r="G13" s="375"/>
    </row>
    <row r="14" spans="1:7" x14ac:dyDescent="0.25">
      <c r="B14" s="1024" t="s">
        <v>340</v>
      </c>
      <c r="C14" s="1024"/>
      <c r="D14" s="1024"/>
      <c r="E14" s="1024"/>
      <c r="F14" s="1024"/>
      <c r="G14" s="1024"/>
    </row>
    <row r="15" spans="1:7" x14ac:dyDescent="0.25">
      <c r="B15" s="1025" t="str">
        <f>CONCATENATE(Form!C14,"/PP-",HLOOKUP(A1,Form!D25:I42,12,FALSE)," /",A1)</f>
        <v>HAL/NK/MPU-AOD/2237(628)/23/107//PP- /IASL</v>
      </c>
      <c r="C15" s="1025"/>
      <c r="D15" s="1025"/>
      <c r="E15" s="1025"/>
      <c r="F15" s="1025"/>
      <c r="G15" s="1025"/>
    </row>
    <row r="16" spans="1:7" ht="21.75" customHeight="1" x14ac:dyDescent="0.25">
      <c r="B16" s="1026" t="s">
        <v>341</v>
      </c>
      <c r="C16" s="1026"/>
      <c r="D16" s="1026"/>
      <c r="E16" s="1026"/>
      <c r="F16" s="1026"/>
      <c r="G16" s="1026"/>
    </row>
    <row r="17" spans="2:7" ht="17.25" customHeight="1" thickBot="1" x14ac:dyDescent="0.3">
      <c r="B17" s="1027" t="str">
        <f>+CONCATENATE("(Price comparison of technically acceptable offers for ",PP!G18," lines of ",A1,")")</f>
        <v>(Price comparison of technically acceptable offers for 2 lines of IASL)</v>
      </c>
      <c r="C17" s="1027"/>
      <c r="D17" s="1027"/>
      <c r="E17" s="1027"/>
      <c r="F17" s="1027"/>
      <c r="G17" s="1027"/>
    </row>
    <row r="18" spans="2:7" ht="15" customHeight="1" x14ac:dyDescent="0.25">
      <c r="B18" s="368" t="s">
        <v>342</v>
      </c>
      <c r="C18" s="1028" t="s">
        <v>343</v>
      </c>
      <c r="D18" s="1029"/>
      <c r="E18" s="1030" t="str">
        <f>A1</f>
        <v>IASL</v>
      </c>
      <c r="F18" s="1031"/>
      <c r="G18" s="336" t="s">
        <v>328</v>
      </c>
    </row>
    <row r="19" spans="2:7" ht="38.25" customHeight="1" thickBot="1" x14ac:dyDescent="0.3">
      <c r="B19" s="376"/>
      <c r="C19" s="1034" t="str">
        <f>CONCATENATE(PP!G18," lines of ",Form!D7)</f>
        <v>2 lines of Procurement of BoI Spares &amp; Repair of KOPYO Cards</v>
      </c>
      <c r="D19" s="1035"/>
      <c r="E19" s="1032"/>
      <c r="F19" s="1033"/>
      <c r="G19" s="377"/>
    </row>
    <row r="20" spans="2:7" ht="18.75" customHeight="1" x14ac:dyDescent="0.25">
      <c r="B20" s="368">
        <v>1</v>
      </c>
      <c r="C20" s="1028" t="s">
        <v>344</v>
      </c>
      <c r="D20" s="1029"/>
      <c r="E20" s="906" t="str">
        <f>CONCATENATE("Offered value in USD = ",FIXED(PP!J18,2))</f>
        <v>Offered value in USD = 0.00</v>
      </c>
      <c r="F20" s="908"/>
      <c r="G20" s="368" t="s">
        <v>330</v>
      </c>
    </row>
    <row r="21" spans="2:7" ht="23.25" customHeight="1" thickBot="1" x14ac:dyDescent="0.3">
      <c r="B21" s="370"/>
      <c r="C21" s="943" t="s">
        <v>345</v>
      </c>
      <c r="D21" s="945"/>
      <c r="E21" s="921"/>
      <c r="F21" s="1006"/>
      <c r="G21" s="376"/>
    </row>
    <row r="22" spans="2:7" ht="15.75" customHeight="1" thickBot="1" x14ac:dyDescent="0.3">
      <c r="B22" s="370"/>
      <c r="C22" s="990" t="s">
        <v>346</v>
      </c>
      <c r="D22" s="992"/>
      <c r="E22" s="901" t="str">
        <f>CONCATENATE("1 USD = ",FIXED(Form!D10,2)," INR")</f>
        <v>1 USD = 82.78 INR</v>
      </c>
      <c r="F22" s="902"/>
      <c r="G22" s="319"/>
    </row>
    <row r="23" spans="2:7" x14ac:dyDescent="0.25">
      <c r="B23" s="370"/>
      <c r="C23" s="1028" t="s">
        <v>347</v>
      </c>
      <c r="D23" s="1029"/>
      <c r="E23" s="906"/>
      <c r="F23" s="908"/>
      <c r="G23" s="368" t="s">
        <v>330</v>
      </c>
    </row>
    <row r="24" spans="2:7" x14ac:dyDescent="0.25">
      <c r="B24" s="370"/>
      <c r="C24" s="913" t="s">
        <v>348</v>
      </c>
      <c r="D24" s="915"/>
      <c r="E24" s="913" t="s">
        <v>349</v>
      </c>
      <c r="F24" s="915"/>
      <c r="G24" s="370"/>
    </row>
    <row r="25" spans="2:7" x14ac:dyDescent="0.25">
      <c r="B25" s="370"/>
      <c r="C25" s="913" t="s">
        <v>350</v>
      </c>
      <c r="D25" s="915"/>
      <c r="E25" s="913" t="s">
        <v>349</v>
      </c>
      <c r="F25" s="915"/>
      <c r="G25" s="370"/>
    </row>
    <row r="26" spans="2:7" x14ac:dyDescent="0.25">
      <c r="B26" s="370"/>
      <c r="C26" s="913" t="s">
        <v>351</v>
      </c>
      <c r="D26" s="915"/>
      <c r="E26" s="913" t="str">
        <f>CONCATENATE(FIXED(PP!J18*Form!D10*1.26%,2)," INR")</f>
        <v>0.00 INR</v>
      </c>
      <c r="F26" s="915"/>
      <c r="G26" s="370"/>
    </row>
    <row r="27" spans="2:7" x14ac:dyDescent="0.25">
      <c r="B27" s="370"/>
      <c r="C27" s="913" t="e">
        <f>- Financing charge for Payment Terms</f>
        <v>#NAME?</v>
      </c>
      <c r="D27" s="915"/>
      <c r="E27" s="913" t="s">
        <v>349</v>
      </c>
      <c r="F27" s="915"/>
      <c r="G27" s="370"/>
    </row>
    <row r="28" spans="2:7" ht="15.75" thickBot="1" x14ac:dyDescent="0.3">
      <c r="B28" s="370"/>
      <c r="C28" s="943" t="s">
        <v>352</v>
      </c>
      <c r="D28" s="945"/>
      <c r="E28" s="943" t="str">
        <f>HLOOKUP(A1,'Comm Eval'!4:22,17,FALSE)</f>
        <v>Within 16 months from the date of placement of order &amp; EUC.</v>
      </c>
      <c r="F28" s="945"/>
      <c r="G28" s="376"/>
    </row>
    <row r="29" spans="2:7" ht="71.25" customHeight="1" thickBot="1" x14ac:dyDescent="0.3">
      <c r="B29" s="370"/>
      <c r="C29" s="993" t="s">
        <v>353</v>
      </c>
      <c r="D29" s="995"/>
      <c r="E29" s="901" t="str">
        <f>CONCATENATE("INR ",FIXED(PP!J18*Form!D10*1.3224/100000,2)," Lakhs Including customs, IGST and other duties  on assessable value (101% of basic landed cost) and F &amp; I @1.26% on basic landed cost.")</f>
        <v>INR 0.00 Lakhs Including customs, IGST and other duties  on assessable value (101% of basic landed cost) and F &amp; I @1.26% on basic landed cost.</v>
      </c>
      <c r="F29" s="902"/>
      <c r="G29" s="319" t="s">
        <v>330</v>
      </c>
    </row>
    <row r="30" spans="2:7" ht="20.25" customHeight="1" thickBot="1" x14ac:dyDescent="0.3">
      <c r="B30" s="376"/>
      <c r="C30" s="993" t="s">
        <v>354</v>
      </c>
      <c r="D30" s="995"/>
      <c r="E30" s="901" t="str">
        <f>CONCATENATE("Please refer detailed CST at E-5 (",A1,")")</f>
        <v>Please refer detailed CST at E-5 (IASL)</v>
      </c>
      <c r="F30" s="902"/>
      <c r="G30" s="319"/>
    </row>
    <row r="31" spans="2:7" x14ac:dyDescent="0.25">
      <c r="B31" s="368">
        <v>2</v>
      </c>
      <c r="C31" s="1028" t="s">
        <v>355</v>
      </c>
      <c r="D31" s="1029"/>
      <c r="E31" s="906"/>
      <c r="F31" s="908"/>
      <c r="G31" s="368" t="s">
        <v>330</v>
      </c>
    </row>
    <row r="32" spans="2:7" x14ac:dyDescent="0.25">
      <c r="B32" s="370"/>
      <c r="C32" s="1036" t="s">
        <v>356</v>
      </c>
      <c r="D32" s="1037"/>
      <c r="E32" s="913" t="str">
        <f>HLOOKUP(A1,'Comm Eval'!4:22,17,FALSE)</f>
        <v>Within 16 months from the date of placement of order &amp; EUC.</v>
      </c>
      <c r="F32" s="915"/>
      <c r="G32" s="370"/>
    </row>
    <row r="33" spans="2:7" x14ac:dyDescent="0.25">
      <c r="B33" s="370"/>
      <c r="C33" s="913" t="s">
        <v>357</v>
      </c>
      <c r="D33" s="915"/>
      <c r="E33" s="913" t="s">
        <v>358</v>
      </c>
      <c r="F33" s="915"/>
      <c r="G33" s="370"/>
    </row>
    <row r="34" spans="2:7" ht="42.75" customHeight="1" x14ac:dyDescent="0.25">
      <c r="B34" s="370"/>
      <c r="C34" s="913" t="s">
        <v>359</v>
      </c>
      <c r="D34" s="915"/>
      <c r="E34" s="934">
        <f>HLOOKUP(A1,'Comm Eval'!4:22,15,FALSE)</f>
        <v>0</v>
      </c>
      <c r="F34" s="936"/>
      <c r="G34" s="370"/>
    </row>
    <row r="35" spans="2:7" ht="36.75" customHeight="1" x14ac:dyDescent="0.25">
      <c r="B35" s="370"/>
      <c r="C35" s="913" t="s">
        <v>360</v>
      </c>
      <c r="D35" s="915"/>
      <c r="E35" s="934">
        <f>HLOOKUP(A1,'Comm Eval'!4:22,18,FALSE)</f>
        <v>0</v>
      </c>
      <c r="F35" s="936"/>
      <c r="G35" s="370"/>
    </row>
    <row r="36" spans="2:7" ht="18.75" customHeight="1" x14ac:dyDescent="0.25">
      <c r="B36" s="370"/>
      <c r="C36" s="913" t="s">
        <v>361</v>
      </c>
      <c r="D36" s="915"/>
      <c r="E36" s="934" t="s">
        <v>362</v>
      </c>
      <c r="F36" s="936"/>
      <c r="G36" s="370"/>
    </row>
    <row r="37" spans="2:7" ht="18.75" customHeight="1" thickBot="1" x14ac:dyDescent="0.3">
      <c r="B37" s="376"/>
      <c r="C37" s="943" t="s">
        <v>363</v>
      </c>
      <c r="D37" s="945"/>
      <c r="E37" s="1038" t="e">
        <f>HLOOKUP(A1,'Comm Eval'!4:24,22,FALSE)</f>
        <v>#REF!</v>
      </c>
      <c r="F37" s="1039"/>
      <c r="G37" s="376"/>
    </row>
    <row r="38" spans="2:7" ht="67.5" customHeight="1" x14ac:dyDescent="0.25">
      <c r="B38" s="904" t="s">
        <v>364</v>
      </c>
      <c r="C38" s="904"/>
      <c r="D38" s="904"/>
      <c r="E38" s="904"/>
      <c r="F38" s="904"/>
      <c r="G38" s="904"/>
    </row>
    <row r="39" spans="2:7" ht="42" customHeight="1" thickBot="1" x14ac:dyDescent="0.3">
      <c r="B39" s="919" t="s">
        <v>365</v>
      </c>
      <c r="C39" s="919"/>
      <c r="D39" s="919" t="s">
        <v>312</v>
      </c>
      <c r="E39" s="919"/>
      <c r="F39" s="919" t="s">
        <v>366</v>
      </c>
      <c r="G39" s="919"/>
    </row>
    <row r="40" spans="2:7" s="374" customFormat="1" x14ac:dyDescent="0.25"/>
    <row r="41" spans="2:7" x14ac:dyDescent="0.25">
      <c r="B41" s="1024" t="s">
        <v>367</v>
      </c>
      <c r="C41" s="1024"/>
      <c r="D41" s="1024"/>
      <c r="E41" s="1024"/>
      <c r="F41" s="1024"/>
      <c r="G41" s="1024"/>
    </row>
    <row r="42" spans="2:7" x14ac:dyDescent="0.25">
      <c r="B42" s="1025" t="str">
        <f>CONCATENATE(Form!C14,"/PP-",HLOOKUP(A1,Form!D25:I42,12,FALSE)," /",A1)</f>
        <v>HAL/NK/MPU-AOD/2237(628)/23/107//PP- /IASL</v>
      </c>
      <c r="C42" s="1025"/>
      <c r="D42" s="1025"/>
      <c r="E42" s="1025"/>
      <c r="F42" s="1025"/>
      <c r="G42" s="1025"/>
    </row>
    <row r="43" spans="2:7" x14ac:dyDescent="0.25">
      <c r="B43" s="1041" t="s">
        <v>368</v>
      </c>
      <c r="C43" s="1041"/>
      <c r="D43" s="1041"/>
      <c r="E43" s="1041"/>
      <c r="F43" s="1041"/>
      <c r="G43" s="1041"/>
    </row>
    <row r="44" spans="2:7" ht="15.75" thickBot="1" x14ac:dyDescent="0.3">
      <c r="B44" s="1041" t="s">
        <v>369</v>
      </c>
      <c r="C44" s="1041"/>
      <c r="D44" s="1041"/>
      <c r="E44" s="1041"/>
      <c r="F44" s="1041"/>
      <c r="G44" s="1041"/>
    </row>
    <row r="45" spans="2:7" ht="27" customHeight="1" thickBot="1" x14ac:dyDescent="0.3">
      <c r="B45" s="336" t="s">
        <v>370</v>
      </c>
      <c r="C45" s="898" t="s">
        <v>371</v>
      </c>
      <c r="D45" s="899"/>
      <c r="E45" s="900"/>
      <c r="F45" s="898" t="str">
        <f>CONCATENATE("Vendors: ",A1)</f>
        <v>Vendors: IASL</v>
      </c>
      <c r="G45" s="900"/>
    </row>
    <row r="46" spans="2:7" ht="30" customHeight="1" thickBot="1" x14ac:dyDescent="0.3">
      <c r="B46" s="368">
        <v>1</v>
      </c>
      <c r="C46" s="920" t="str">
        <f>CONCATENATE("The detailed Commercial Evaluation statement is placed at E-",H46," .")</f>
        <v>The detailed Commercial Evaluation statement is placed at E- .</v>
      </c>
      <c r="D46" s="964"/>
      <c r="E46" s="964"/>
      <c r="F46" s="964"/>
      <c r="G46" s="1007"/>
    </row>
    <row r="47" spans="2:7" ht="61.5" customHeight="1" x14ac:dyDescent="0.25">
      <c r="B47" s="368" t="s">
        <v>364</v>
      </c>
      <c r="C47" s="368"/>
      <c r="D47" s="920"/>
      <c r="E47" s="1007"/>
      <c r="F47" s="904"/>
      <c r="G47" s="904"/>
    </row>
    <row r="48" spans="2:7" ht="91.5" customHeight="1" thickBot="1" x14ac:dyDescent="0.3">
      <c r="B48" s="376" t="s">
        <v>372</v>
      </c>
      <c r="C48" s="376" t="s">
        <v>311</v>
      </c>
      <c r="D48" s="921" t="s">
        <v>312</v>
      </c>
      <c r="E48" s="1006"/>
      <c r="F48" s="919" t="s">
        <v>373</v>
      </c>
      <c r="G48" s="919"/>
    </row>
    <row r="49" spans="2:14" s="374" customFormat="1" x14ac:dyDescent="0.25"/>
    <row r="50" spans="2:14" ht="18.75" customHeight="1" x14ac:dyDescent="0.25">
      <c r="B50" s="1040" t="s">
        <v>374</v>
      </c>
      <c r="C50" s="1040"/>
      <c r="D50" s="1040"/>
      <c r="E50" s="1040"/>
      <c r="F50" s="1040"/>
      <c r="G50" s="1040"/>
      <c r="H50" s="1040"/>
      <c r="I50" s="1040"/>
      <c r="J50" s="1040"/>
      <c r="K50" s="1040"/>
      <c r="L50" s="1040"/>
      <c r="M50" s="1040"/>
      <c r="N50" s="1040"/>
    </row>
    <row r="51" spans="2:14" ht="15.75" x14ac:dyDescent="0.25">
      <c r="B51" s="1042" t="str">
        <f>CONCATENATE(Form!C14,"/PP-",HLOOKUP(A1,Form!D25:I42,12,FALSE)," /",A1)</f>
        <v>HAL/NK/MPU-AOD/2237(628)/23/107//PP- /IASL</v>
      </c>
      <c r="C51" s="1042"/>
      <c r="D51" s="1042"/>
      <c r="E51" s="1042"/>
      <c r="F51" s="1042"/>
      <c r="G51" s="1042"/>
      <c r="H51" s="1042"/>
      <c r="I51" s="1042"/>
      <c r="J51" s="1042"/>
      <c r="K51" s="1042"/>
      <c r="L51" s="1042"/>
      <c r="M51" s="1042"/>
      <c r="N51" s="1042"/>
    </row>
    <row r="52" spans="2:14" ht="30.75" customHeight="1" thickBot="1" x14ac:dyDescent="0.3">
      <c r="B52" s="1043" t="str">
        <f>CONCATENATE("PRICE JUSTIFICATION (",A1,")")</f>
        <v>PRICE JUSTIFICATION (IASL)</v>
      </c>
      <c r="C52" s="1043"/>
      <c r="D52" s="1043"/>
      <c r="E52" s="1043"/>
      <c r="F52" s="1043"/>
      <c r="G52" s="1043"/>
      <c r="H52" s="1043"/>
      <c r="I52" s="1043"/>
      <c r="J52" s="1043"/>
      <c r="K52" s="1043"/>
      <c r="L52" s="1043"/>
      <c r="M52" s="1043"/>
      <c r="N52" s="1043"/>
    </row>
    <row r="53" spans="2:14" ht="39.75" customHeight="1" thickBot="1" x14ac:dyDescent="0.3">
      <c r="B53" s="949" t="s">
        <v>375</v>
      </c>
      <c r="C53" s="949" t="s">
        <v>376</v>
      </c>
      <c r="D53" s="949" t="s">
        <v>377</v>
      </c>
      <c r="E53" s="949" t="s">
        <v>10</v>
      </c>
      <c r="F53" s="898" t="s">
        <v>378</v>
      </c>
      <c r="G53" s="899"/>
      <c r="H53" s="900"/>
      <c r="I53" s="898" t="s">
        <v>379</v>
      </c>
      <c r="J53" s="899"/>
      <c r="K53" s="900"/>
      <c r="L53" s="949" t="s">
        <v>380</v>
      </c>
      <c r="M53" s="949" t="s">
        <v>381</v>
      </c>
      <c r="N53" s="949" t="s">
        <v>382</v>
      </c>
    </row>
    <row r="54" spans="2:14" ht="79.5" customHeight="1" thickBot="1" x14ac:dyDescent="0.3">
      <c r="B54" s="951"/>
      <c r="C54" s="951"/>
      <c r="D54" s="951"/>
      <c r="E54" s="951"/>
      <c r="F54" s="378" t="s">
        <v>383</v>
      </c>
      <c r="G54" s="379" t="s">
        <v>384</v>
      </c>
      <c r="H54" s="378" t="s">
        <v>385</v>
      </c>
      <c r="I54" s="380" t="s">
        <v>386</v>
      </c>
      <c r="J54" s="380" t="s">
        <v>387</v>
      </c>
      <c r="K54" s="378" t="s">
        <v>385</v>
      </c>
      <c r="L54" s="951"/>
      <c r="M54" s="951"/>
      <c r="N54" s="951"/>
    </row>
    <row r="55" spans="2:14" ht="111" customHeight="1" thickBot="1" x14ac:dyDescent="0.3">
      <c r="B55" s="368">
        <v>1</v>
      </c>
      <c r="C55" s="381" t="str">
        <f>CONCATENATE("Refer CST at E-5 (",A1,")")</f>
        <v>Refer CST at E-5 (IASL)</v>
      </c>
      <c r="D55" s="368" t="str">
        <f>CONCATENATE(PP!G18," lines of ",Form!D7,". (Refer CST at E-5 (",A1,")")</f>
        <v>2 lines of Procurement of BoI Spares &amp; Repair of KOPYO Cards. (Refer CST at E-5 (IASL)</v>
      </c>
      <c r="E55" s="381" t="str">
        <f>CONCATENATE("Refer CST at E-5 (",A1,")")</f>
        <v>Refer CST at E-5 (IASL)</v>
      </c>
      <c r="F55" s="381" t="str">
        <f>CONCATENATE("Refer CST at E-5 (",A1,")")</f>
        <v>Refer CST at E-5 (IASL)</v>
      </c>
      <c r="G55" s="368">
        <f>PP!H18</f>
        <v>82253.259999999995</v>
      </c>
      <c r="H55" s="381" t="str">
        <f>CONCATENATE("Refer CST at E-5 (",A1,")")</f>
        <v>Refer CST at E-5 (IASL)</v>
      </c>
      <c r="I55" s="382">
        <f>PP!I18</f>
        <v>106083.6</v>
      </c>
      <c r="J55" s="383">
        <f>PP!J18</f>
        <v>0</v>
      </c>
      <c r="K55" s="381" t="str">
        <f>CONCATENATE("Refer CST at E-5 (",A1,")")</f>
        <v>Refer CST at E-5 (IASL)</v>
      </c>
      <c r="L55" s="381" t="str">
        <f>PP!K18</f>
        <v xml:space="preserve">(-) 100% </v>
      </c>
      <c r="M55" s="381" t="str">
        <f>CONCATENATE("Refer CST at E-5 (",A1,")")</f>
        <v>Refer CST at E-5 (IASL)</v>
      </c>
      <c r="N55" s="384"/>
    </row>
    <row r="56" spans="2:14" ht="104.25" customHeight="1" thickBot="1" x14ac:dyDescent="0.3">
      <c r="B56" s="376"/>
      <c r="C56" s="1044" t="s">
        <v>388</v>
      </c>
      <c r="D56" s="1044"/>
      <c r="E56" s="1045" t="s">
        <v>389</v>
      </c>
      <c r="F56" s="1045"/>
      <c r="G56" s="1045"/>
      <c r="H56" s="1045"/>
      <c r="I56" s="1045" t="s">
        <v>390</v>
      </c>
      <c r="J56" s="1045"/>
      <c r="K56" s="1045"/>
      <c r="L56" s="1045"/>
      <c r="M56" s="1045"/>
      <c r="N56" s="1045"/>
    </row>
    <row r="57" spans="2:14" x14ac:dyDescent="0.25">
      <c r="B57" s="385" t="s">
        <v>391</v>
      </c>
    </row>
    <row r="58" spans="2:14" x14ac:dyDescent="0.25">
      <c r="B58" s="385" t="s">
        <v>392</v>
      </c>
    </row>
    <row r="59" spans="2:14" x14ac:dyDescent="0.25">
      <c r="B59" s="385" t="s">
        <v>393</v>
      </c>
    </row>
    <row r="60" spans="2:14" s="374" customFormat="1" x14ac:dyDescent="0.25"/>
    <row r="61" spans="2:14" x14ac:dyDescent="0.25">
      <c r="B61" s="1024" t="s">
        <v>394</v>
      </c>
      <c r="C61" s="1024"/>
      <c r="D61" s="1024"/>
      <c r="E61" s="1024"/>
    </row>
    <row r="62" spans="2:14" x14ac:dyDescent="0.25">
      <c r="B62" s="1025" t="str">
        <f>CONCATENATE(Form!C14,"/PP-",HLOOKUP(A1,Form!D25:I42,12,FALSE)," /",A1)</f>
        <v>HAL/NK/MPU-AOD/2237(628)/23/107//PP- /IASL</v>
      </c>
      <c r="C62" s="1025"/>
      <c r="D62" s="1025"/>
      <c r="E62" s="1025"/>
    </row>
    <row r="63" spans="2:14" ht="28.5" customHeight="1" thickBot="1" x14ac:dyDescent="0.3">
      <c r="B63" s="1026" t="s">
        <v>395</v>
      </c>
      <c r="C63" s="1026"/>
      <c r="D63" s="1026"/>
      <c r="E63" s="1026"/>
    </row>
    <row r="64" spans="2:14" ht="57.75" thickBot="1" x14ac:dyDescent="0.3">
      <c r="B64" s="336" t="s">
        <v>342</v>
      </c>
      <c r="C64" s="336" t="s">
        <v>396</v>
      </c>
      <c r="D64" s="386" t="s">
        <v>397</v>
      </c>
      <c r="E64" s="336" t="s">
        <v>398</v>
      </c>
    </row>
    <row r="65" spans="2:5" ht="66.75" customHeight="1" thickBot="1" x14ac:dyDescent="0.3">
      <c r="B65" s="320">
        <v>1</v>
      </c>
      <c r="C65" s="901" t="str">
        <f>IF(HLOOKUP(A1,Form!D25:I42,11,FALSE)="","N/A",CONCATENATE("Negotiation was conducted on ",TEXT(HLOOKUP(A1,Form!D25:I42,11,FALSE),"dd.mm.yyyy"),". PNC recommended to conclude ",PP!G18," lines of ",Form!D7," ",Form!E7," (Induction Plan). PNC recommendation is placed at E-7."))</f>
        <v>N/A</v>
      </c>
      <c r="D65" s="902"/>
      <c r="E65" s="903"/>
    </row>
    <row r="66" spans="2:5" ht="114" customHeight="1" thickBot="1" x14ac:dyDescent="0.3">
      <c r="B66" s="387" t="s">
        <v>399</v>
      </c>
      <c r="C66" s="388" t="s">
        <v>400</v>
      </c>
      <c r="D66" s="1008" t="s">
        <v>401</v>
      </c>
      <c r="E66" s="1009"/>
    </row>
  </sheetData>
  <mergeCells count="94">
    <mergeCell ref="B63:E63"/>
    <mergeCell ref="C65:E65"/>
    <mergeCell ref="D66:E66"/>
    <mergeCell ref="N53:N54"/>
    <mergeCell ref="C56:D56"/>
    <mergeCell ref="E56:H56"/>
    <mergeCell ref="I56:N56"/>
    <mergeCell ref="B61:E61"/>
    <mergeCell ref="B62:E62"/>
    <mergeCell ref="B51:N51"/>
    <mergeCell ref="B52:N52"/>
    <mergeCell ref="B53:B54"/>
    <mergeCell ref="C53:C54"/>
    <mergeCell ref="D53:D54"/>
    <mergeCell ref="E53:E54"/>
    <mergeCell ref="F53:H53"/>
    <mergeCell ref="I53:K53"/>
    <mergeCell ref="L53:L54"/>
    <mergeCell ref="M53:M54"/>
    <mergeCell ref="B50:N50"/>
    <mergeCell ref="B41:G41"/>
    <mergeCell ref="B42:G42"/>
    <mergeCell ref="B43:G43"/>
    <mergeCell ref="B44:G44"/>
    <mergeCell ref="C45:E45"/>
    <mergeCell ref="F45:G45"/>
    <mergeCell ref="C46:G46"/>
    <mergeCell ref="D47:E47"/>
    <mergeCell ref="F47:G47"/>
    <mergeCell ref="D48:E48"/>
    <mergeCell ref="F48:G48"/>
    <mergeCell ref="B39:C39"/>
    <mergeCell ref="D39:E39"/>
    <mergeCell ref="F39:G39"/>
    <mergeCell ref="C34:D34"/>
    <mergeCell ref="E34:F34"/>
    <mergeCell ref="C35:D35"/>
    <mergeCell ref="E35:F35"/>
    <mergeCell ref="C36:D36"/>
    <mergeCell ref="E36:F36"/>
    <mergeCell ref="C37:D37"/>
    <mergeCell ref="E37:F37"/>
    <mergeCell ref="B38:C38"/>
    <mergeCell ref="D38:E38"/>
    <mergeCell ref="F38:G38"/>
    <mergeCell ref="C31:D31"/>
    <mergeCell ref="E31:F31"/>
    <mergeCell ref="C32:D32"/>
    <mergeCell ref="E32:F32"/>
    <mergeCell ref="C33:D33"/>
    <mergeCell ref="E33:F33"/>
    <mergeCell ref="C28:D28"/>
    <mergeCell ref="E28:F28"/>
    <mergeCell ref="C29:D29"/>
    <mergeCell ref="E29:F29"/>
    <mergeCell ref="C30:D30"/>
    <mergeCell ref="E30:F30"/>
    <mergeCell ref="C25:D25"/>
    <mergeCell ref="E25:F25"/>
    <mergeCell ref="C26:D26"/>
    <mergeCell ref="E26:F26"/>
    <mergeCell ref="C27:D27"/>
    <mergeCell ref="E27:F27"/>
    <mergeCell ref="C22:D22"/>
    <mergeCell ref="E22:F22"/>
    <mergeCell ref="C23:D23"/>
    <mergeCell ref="E23:F23"/>
    <mergeCell ref="C24:D24"/>
    <mergeCell ref="E24:F24"/>
    <mergeCell ref="C21:D21"/>
    <mergeCell ref="E21:F21"/>
    <mergeCell ref="B12:C12"/>
    <mergeCell ref="F12:G12"/>
    <mergeCell ref="B14:G14"/>
    <mergeCell ref="B15:G15"/>
    <mergeCell ref="B16:G16"/>
    <mergeCell ref="B17:G17"/>
    <mergeCell ref="C18:D18"/>
    <mergeCell ref="E18:F19"/>
    <mergeCell ref="C19:D19"/>
    <mergeCell ref="C20:D20"/>
    <mergeCell ref="E20:F20"/>
    <mergeCell ref="D7:F7"/>
    <mergeCell ref="D8:F8"/>
    <mergeCell ref="D9:F9"/>
    <mergeCell ref="D10:F10"/>
    <mergeCell ref="B11:C11"/>
    <mergeCell ref="F11:G11"/>
    <mergeCell ref="D6:F6"/>
    <mergeCell ref="B1:G1"/>
    <mergeCell ref="B2:G2"/>
    <mergeCell ref="B3:G3"/>
    <mergeCell ref="B4:G4"/>
    <mergeCell ref="D5:F5"/>
  </mergeCells>
  <pageMargins left="0.7" right="0.7" top="0.75" bottom="0.75" header="0.3" footer="0.3"/>
  <pageSetup paperSize="9" scale="63" orientation="portrait" r:id="rId1"/>
  <rowBreaks count="1" manualBreakCount="1">
    <brk id="39"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R76"/>
  <sheetViews>
    <sheetView zoomScale="85" zoomScaleNormal="85" workbookViewId="0">
      <selection activeCell="B2" sqref="B2:N2"/>
    </sheetView>
  </sheetViews>
  <sheetFormatPr defaultRowHeight="15" x14ac:dyDescent="0.25"/>
  <cols>
    <col min="2" max="2" width="8.140625" customWidth="1"/>
    <col min="3" max="3" width="11.28515625" customWidth="1"/>
    <col min="4" max="4" width="17.42578125" customWidth="1"/>
    <col min="5" max="5" width="9.42578125" customWidth="1"/>
    <col min="6" max="6" width="24" style="45" customWidth="1"/>
    <col min="7" max="7" width="13.85546875" customWidth="1"/>
    <col min="8" max="8" width="10" customWidth="1"/>
    <col min="9" max="11" width="14" customWidth="1"/>
    <col min="12" max="12" width="15" bestFit="1" customWidth="1"/>
    <col min="13" max="13" width="16.5703125" customWidth="1"/>
    <col min="14" max="14" width="15.85546875" customWidth="1"/>
    <col min="15" max="16" width="13.85546875" customWidth="1"/>
    <col min="17" max="17" width="13.5703125" customWidth="1"/>
  </cols>
  <sheetData>
    <row r="1" spans="2:18" ht="18.75" customHeight="1" x14ac:dyDescent="0.25">
      <c r="B1" s="1040" t="s">
        <v>374</v>
      </c>
      <c r="C1" s="1040"/>
      <c r="D1" s="1040"/>
      <c r="E1" s="1040"/>
      <c r="F1" s="1040"/>
      <c r="G1" s="1040"/>
      <c r="H1" s="1040"/>
      <c r="I1" s="1040"/>
      <c r="J1" s="1040"/>
      <c r="K1" s="1040"/>
      <c r="L1" s="1040"/>
      <c r="M1" s="1040"/>
      <c r="N1" s="1040"/>
    </row>
    <row r="2" spans="2:18" ht="21.75" customHeight="1" x14ac:dyDescent="0.25">
      <c r="B2" s="1042" t="str">
        <f>CONCATENATE(Form!C14,"/PP-",HLOOKUP('Annexure for PP'!A1,Form!D25:I42,12,FALSE)," /",'Annexure for PP'!A1)</f>
        <v>HAL/NK/MPU-AOD/2237(628)/23/107//PP- /IASL</v>
      </c>
      <c r="C2" s="1042"/>
      <c r="D2" s="1042"/>
      <c r="E2" s="1042"/>
      <c r="F2" s="1042"/>
      <c r="G2" s="1042"/>
      <c r="H2" s="1042"/>
      <c r="I2" s="1042"/>
      <c r="J2" s="1042"/>
      <c r="K2" s="1042"/>
      <c r="L2" s="1042"/>
      <c r="M2" s="1042"/>
      <c r="N2" s="1042"/>
    </row>
    <row r="3" spans="2:18" ht="30.75" customHeight="1" x14ac:dyDescent="0.25">
      <c r="B3" s="1043" t="str">
        <f>CONCATENATE("PRICE JUSTIFICATION (",'Annexure for PP'!A1,")  ",'CST-Final'!BQ1)</f>
        <v xml:space="preserve">PRICE JUSTIFICATION (IASL)  </v>
      </c>
      <c r="C3" s="1043"/>
      <c r="D3" s="1043"/>
      <c r="E3" s="1043"/>
      <c r="F3" s="1043"/>
      <c r="G3" s="1043"/>
      <c r="H3" s="1043"/>
      <c r="I3" s="1043"/>
      <c r="J3" s="1043"/>
      <c r="K3" s="1043"/>
      <c r="L3" s="1043"/>
      <c r="M3" s="1043"/>
      <c r="N3" s="1043"/>
      <c r="P3" s="389" t="s">
        <v>402</v>
      </c>
    </row>
    <row r="4" spans="2:18" ht="21.75" customHeight="1" x14ac:dyDescent="0.25">
      <c r="B4" s="1048" t="s">
        <v>375</v>
      </c>
      <c r="C4" s="1048" t="s">
        <v>376</v>
      </c>
      <c r="D4" s="1048" t="s">
        <v>377</v>
      </c>
      <c r="E4" s="1048" t="s">
        <v>10</v>
      </c>
      <c r="F4" s="1048" t="s">
        <v>459</v>
      </c>
      <c r="G4" s="1048"/>
      <c r="H4" s="1048"/>
      <c r="I4" s="1048" t="s">
        <v>379</v>
      </c>
      <c r="J4" s="1048"/>
      <c r="K4" s="1048"/>
      <c r="L4" s="1048" t="s">
        <v>380</v>
      </c>
      <c r="M4" s="1048" t="s">
        <v>381</v>
      </c>
      <c r="N4" s="1048" t="s">
        <v>382</v>
      </c>
      <c r="P4" s="390">
        <f>'CST-Final'!BQ1</f>
        <v>0</v>
      </c>
    </row>
    <row r="5" spans="2:18" ht="66.75" customHeight="1" x14ac:dyDescent="0.25">
      <c r="B5" s="1048"/>
      <c r="C5" s="1048"/>
      <c r="D5" s="1048"/>
      <c r="E5" s="1048"/>
      <c r="F5" s="629" t="s">
        <v>383</v>
      </c>
      <c r="G5" s="392" t="s">
        <v>456</v>
      </c>
      <c r="H5" s="392" t="s">
        <v>385</v>
      </c>
      <c r="I5" s="392" t="s">
        <v>386</v>
      </c>
      <c r="J5" s="392" t="s">
        <v>387</v>
      </c>
      <c r="K5" s="392" t="s">
        <v>385</v>
      </c>
      <c r="L5" s="1048"/>
      <c r="M5" s="1048"/>
      <c r="N5" s="1048"/>
    </row>
    <row r="6" spans="2:18" s="395" customFormat="1" ht="29.25" customHeight="1" x14ac:dyDescent="0.25">
      <c r="B6" s="293">
        <v>1</v>
      </c>
      <c r="C6" s="430">
        <v>2</v>
      </c>
      <c r="D6" s="293" t="str">
        <f>CONCATENATE(INDEX('CST-Final'!$C$4:$C$490,MATCH(C6,'CST-Final'!$B$4:$B$490,0)),"; ",INDEX('CST-Final'!$D$4:$D$490,MATCH(C6,'CST-Final'!$B$4:$B$490,0)))</f>
        <v>X2; MICROCIRCUIT OF KOPYO RADAR</v>
      </c>
      <c r="E6" s="293">
        <f>INDEX('CST-Final'!$F$4:$F$490,MATCH(C6,'CST-Final'!$B$4:$B$490,0))</f>
        <v>38</v>
      </c>
      <c r="F6" s="293" t="str">
        <f>CONCATENATE(INDEX('CST-Final'!$BL$4:$BL$490,MATCH(C6,'CST-Final'!$B$4:$B$490,0)),IF(ISTEXT(INDEX('CST-Final'!$BM$4:$BM$490,MATCH(C6,'CST-Final'!$B$4:$B$490,0))),CONCATENATE(" level ",INDEX('CST-Final'!$BM$4:$BM$490,MATCH(C6,'CST-Final'!$B$4:$B$490,0))),CONCATENATE(" dated ",TEXT(INDEX('CST-Final'!$BM$4:$BM$490,MATCH(C6,'CST-Final'!$B$4:$B$490,0)),"dd.mm.yyyy"))))</f>
        <v>CONTRACT-A2 dated 28.02.2012</v>
      </c>
      <c r="G6" s="462">
        <f>INDEX('CST-Final'!$BQ$4:$BQ$490,MATCH(C6,'CST-Final'!$B$4:$B$490,0))</f>
        <v>1125.18</v>
      </c>
      <c r="H6" s="293">
        <f>INDEX('Annexure-I'!$I$1:$I$1493,MATCH(C6,'Annexure-I'!$A$1:$A$1493,0))</f>
        <v>2012</v>
      </c>
      <c r="I6" s="462">
        <f>INDEX('CST-Final'!$BP$4:$BP$490,MATCH(C6,'CST-Final'!$B$4:$B$490,0))</f>
        <v>374.8</v>
      </c>
      <c r="J6" s="462">
        <f>INDEX('CST-Final'!$BV$4:$BV$490,MATCH(C6,'CST-Final'!$B$4:$B$490,0))</f>
        <v>0</v>
      </c>
      <c r="K6" s="293">
        <v>2022</v>
      </c>
      <c r="L6" s="393">
        <f>INDEX('CST-Final'!$BY$4:$BY$490,MATCH(C6,'CST-Final'!$B$4:$B$490,0))</f>
        <v>0</v>
      </c>
      <c r="M6" s="457">
        <f t="shared" ref="M6:M26" si="0">K6-H6</f>
        <v>10</v>
      </c>
      <c r="N6" s="458">
        <f>(((J6/(INDEX('CST-Final'!$BK$4:$BK$490,MATCH(C6,'CST-Final'!$B$4:$B$490,0))*E6))^(1/M6))-1)</f>
        <v>-1</v>
      </c>
      <c r="O6" s="394"/>
      <c r="R6" s="396"/>
    </row>
    <row r="7" spans="2:18" s="395" customFormat="1" ht="29.25" customHeight="1" x14ac:dyDescent="0.25">
      <c r="B7" s="293">
        <v>2</v>
      </c>
      <c r="C7" s="430">
        <v>59</v>
      </c>
      <c r="D7" s="293" t="str">
        <f>CONCATENATE(INDEX('CST-Final'!$C$4:$C$490,MATCH(C7,'CST-Final'!$B$4:$B$490,0)),"; ",INDEX('CST-Final'!$D$4:$D$490,MATCH(C7,'CST-Final'!$B$4:$B$490,0)))</f>
        <v>X59; BACKELITE COVER</v>
      </c>
      <c r="E7" s="293">
        <f>INDEX('CST-Final'!$F$4:$F$490,MATCH(C7,'CST-Final'!$B$4:$B$490,0))</f>
        <v>10</v>
      </c>
      <c r="F7" s="293" t="str">
        <f>CONCATENATE(INDEX('CST-Final'!$BL$4:$BL$490,MATCH(C7,'CST-Final'!$B$4:$B$490,0)),IF(ISTEXT(INDEX('CST-Final'!$BM$4:$BM$490,MATCH(C7,'CST-Final'!$B$4:$B$490,0))),CONCATENATE(" level ",INDEX('CST-Final'!$BM$4:$BM$490,MATCH(C7,'CST-Final'!$B$4:$B$490,0))),CONCATENATE(" dated ",TEXT(INDEX('CST-Final'!$BM$4:$BM$490,MATCH(C7,'CST-Final'!$B$4:$B$490,0)),"dd.mm.yyyy"))))</f>
        <v>CONTRACT-A59 dated 28.02.2012</v>
      </c>
      <c r="G7" s="462">
        <f>INDEX('CST-Final'!$BQ$4:$BQ$490,MATCH(C7,'CST-Final'!$B$4:$B$490,0))</f>
        <v>0</v>
      </c>
      <c r="H7" s="293">
        <f>INDEX('Annexure-I'!$I$1:$I$1493,MATCH(C7,'Annexure-I'!$A$1:$A$1493,0))</f>
        <v>2012</v>
      </c>
      <c r="I7" s="462">
        <f>INDEX('CST-Final'!$BP$4:$BP$490,MATCH(C7,'CST-Final'!$B$4:$B$490,0))</f>
        <v>0</v>
      </c>
      <c r="J7" s="462">
        <f>INDEX('CST-Final'!$BV$4:$BV$490,MATCH(C7,'CST-Final'!$B$4:$B$490,0))</f>
        <v>0</v>
      </c>
      <c r="K7" s="293">
        <v>2022</v>
      </c>
      <c r="L7" s="393">
        <f>INDEX('CST-Final'!$BY$4:$BY$490,MATCH(C7,'CST-Final'!$B$4:$B$490,0))</f>
        <v>0</v>
      </c>
      <c r="M7" s="457">
        <f t="shared" si="0"/>
        <v>10</v>
      </c>
      <c r="N7" s="458">
        <f>(((J7/(INDEX('CST-Final'!$BK$4:$BK$490,MATCH(C7,'CST-Final'!$B$4:$B$490,0))*E7))^(1/M7))-1)</f>
        <v>-1</v>
      </c>
      <c r="O7" s="394"/>
      <c r="R7" s="396"/>
    </row>
    <row r="8" spans="2:18" s="395" customFormat="1" ht="29.25" customHeight="1" x14ac:dyDescent="0.25">
      <c r="B8" s="293">
        <v>3</v>
      </c>
      <c r="C8" s="430">
        <v>60</v>
      </c>
      <c r="D8" s="293" t="str">
        <f>CONCATENATE(INDEX('CST-Final'!$C$4:$C$490,MATCH(C8,'CST-Final'!$B$4:$B$490,0)),"; ",INDEX('CST-Final'!$D$4:$D$490,MATCH(C8,'CST-Final'!$B$4:$B$490,0)))</f>
        <v>X60; PIPE</v>
      </c>
      <c r="E8" s="293">
        <f>INDEX('CST-Final'!$F$4:$F$490,MATCH(C8,'CST-Final'!$B$4:$B$490,0))</f>
        <v>7</v>
      </c>
      <c r="F8" s="293" t="str">
        <f>CONCATENATE(INDEX('CST-Final'!$BL$4:$BL$490,MATCH(C8,'CST-Final'!$B$4:$B$490,0)),IF(ISTEXT(INDEX('CST-Final'!$BM$4:$BM$490,MATCH(C8,'CST-Final'!$B$4:$B$490,0))),CONCATENATE(" level ",INDEX('CST-Final'!$BM$4:$BM$490,MATCH(C8,'CST-Final'!$B$4:$B$490,0))),CONCATENATE(" dated ",TEXT(INDEX('CST-Final'!$BM$4:$BM$490,MATCH(C8,'CST-Final'!$B$4:$B$490,0)),"dd.mm.yyyy"))))</f>
        <v>CONTRACT-A60 dated 28.02.2012</v>
      </c>
      <c r="G8" s="462">
        <f>INDEX('CST-Final'!$BQ$4:$BQ$490,MATCH(C8,'CST-Final'!$B$4:$B$490,0))</f>
        <v>0</v>
      </c>
      <c r="H8" s="293">
        <f>INDEX('Annexure-I'!$I$1:$I$1493,MATCH(C8,'Annexure-I'!$A$1:$A$1493,0))</f>
        <v>2012</v>
      </c>
      <c r="I8" s="462">
        <f>INDEX('CST-Final'!$BP$4:$BP$490,MATCH(C8,'CST-Final'!$B$4:$B$490,0))</f>
        <v>0</v>
      </c>
      <c r="J8" s="462">
        <f>INDEX('CST-Final'!$BV$4:$BV$490,MATCH(C8,'CST-Final'!$B$4:$B$490,0))</f>
        <v>0</v>
      </c>
      <c r="K8" s="293">
        <v>2022</v>
      </c>
      <c r="L8" s="393">
        <f>INDEX('CST-Final'!$BY$4:$BY$490,MATCH(C8,'CST-Final'!$B$4:$B$490,0))</f>
        <v>0</v>
      </c>
      <c r="M8" s="457">
        <f t="shared" si="0"/>
        <v>10</v>
      </c>
      <c r="N8" s="458">
        <f>(((J8/(INDEX('CST-Final'!$BK$4:$BK$490,MATCH(C8,'CST-Final'!$B$4:$B$490,0))*E8))^(1/M8))-1)</f>
        <v>-1</v>
      </c>
      <c r="O8" s="394"/>
      <c r="R8" s="396"/>
    </row>
    <row r="9" spans="2:18" s="395" customFormat="1" ht="29.25" customHeight="1" x14ac:dyDescent="0.25">
      <c r="B9" s="293">
        <v>4</v>
      </c>
      <c r="C9" s="430">
        <v>67</v>
      </c>
      <c r="D9" s="293" t="str">
        <f>CONCATENATE(INDEX('CST-Final'!$C$4:$C$490,MATCH(C9,'CST-Final'!$B$4:$B$490,0)),"; ",INDEX('CST-Final'!$D$4:$D$490,MATCH(C9,'CST-Final'!$B$4:$B$490,0)))</f>
        <v>X67; UNIT 08-06 MP-N / UNIT</v>
      </c>
      <c r="E9" s="293">
        <f>INDEX('CST-Final'!$F$4:$F$490,MATCH(C9,'CST-Final'!$B$4:$B$490,0))</f>
        <v>4</v>
      </c>
      <c r="F9" s="293" t="str">
        <f>CONCATENATE(INDEX('CST-Final'!$BL$4:$BL$490,MATCH(C9,'CST-Final'!$B$4:$B$490,0)),IF(ISTEXT(INDEX('CST-Final'!$BM$4:$BM$490,MATCH(C9,'CST-Final'!$B$4:$B$490,0))),CONCATENATE(" level ",INDEX('CST-Final'!$BM$4:$BM$490,MATCH(C9,'CST-Final'!$B$4:$B$490,0))),CONCATENATE(" dated ",TEXT(INDEX('CST-Final'!$BM$4:$BM$490,MATCH(C9,'CST-Final'!$B$4:$B$490,0)),"dd.mm.yyyy"))))</f>
        <v>CONTRACT-A67 dated 28.02.2012</v>
      </c>
      <c r="G9" s="462">
        <f>INDEX('CST-Final'!$BQ$4:$BQ$490,MATCH(C9,'CST-Final'!$B$4:$B$490,0))</f>
        <v>0</v>
      </c>
      <c r="H9" s="293">
        <f>INDEX('Annexure-I'!$I$1:$I$1493,MATCH(C9,'Annexure-I'!$A$1:$A$1493,0))</f>
        <v>2012</v>
      </c>
      <c r="I9" s="462">
        <f>INDEX('CST-Final'!$BP$4:$BP$490,MATCH(C9,'CST-Final'!$B$4:$B$490,0))</f>
        <v>0</v>
      </c>
      <c r="J9" s="462">
        <f>INDEX('CST-Final'!$BV$4:$BV$490,MATCH(C9,'CST-Final'!$B$4:$B$490,0))</f>
        <v>0</v>
      </c>
      <c r="K9" s="293">
        <v>2022</v>
      </c>
      <c r="L9" s="393">
        <f>INDEX('CST-Final'!$BY$4:$BY$490,MATCH(C9,'CST-Final'!$B$4:$B$490,0))</f>
        <v>0</v>
      </c>
      <c r="M9" s="457">
        <f t="shared" si="0"/>
        <v>10</v>
      </c>
      <c r="N9" s="458">
        <f>(((J9/(INDEX('CST-Final'!$BK$4:$BK$490,MATCH(C9,'CST-Final'!$B$4:$B$490,0))*E9))^(1/M9))-1)</f>
        <v>-1</v>
      </c>
      <c r="O9" s="394"/>
      <c r="R9" s="396"/>
    </row>
    <row r="10" spans="2:18" s="395" customFormat="1" ht="29.25" customHeight="1" x14ac:dyDescent="0.25">
      <c r="B10" s="293">
        <v>5</v>
      </c>
      <c r="C10" s="430">
        <v>68</v>
      </c>
      <c r="D10" s="293" t="str">
        <f>CONCATENATE(INDEX('CST-Final'!$C$4:$C$490,MATCH(C10,'CST-Final'!$B$4:$B$490,0)),"; ",INDEX('CST-Final'!$D$4:$D$490,MATCH(C10,'CST-Final'!$B$4:$B$490,0)))</f>
        <v>X68; UNIT 08-05 OZU</v>
      </c>
      <c r="E10" s="293">
        <f>INDEX('CST-Final'!$F$4:$F$490,MATCH(C10,'CST-Final'!$B$4:$B$490,0))</f>
        <v>5</v>
      </c>
      <c r="F10" s="293" t="str">
        <f>CONCATENATE(INDEX('CST-Final'!$BL$4:$BL$490,MATCH(C10,'CST-Final'!$B$4:$B$490,0)),IF(ISTEXT(INDEX('CST-Final'!$BM$4:$BM$490,MATCH(C10,'CST-Final'!$B$4:$B$490,0))),CONCATENATE(" level ",INDEX('CST-Final'!$BM$4:$BM$490,MATCH(C10,'CST-Final'!$B$4:$B$490,0))),CONCATENATE(" dated ",TEXT(INDEX('CST-Final'!$BM$4:$BM$490,MATCH(C10,'CST-Final'!$B$4:$B$490,0)),"dd.mm.yyyy"))))</f>
        <v>CONTRACT-A68 dated 30.05.2014</v>
      </c>
      <c r="G10" s="462">
        <f>INDEX('CST-Final'!$BQ$4:$BQ$490,MATCH(C10,'CST-Final'!$B$4:$B$490,0))</f>
        <v>0</v>
      </c>
      <c r="H10" s="293">
        <f>INDEX('Annexure-I'!$I$1:$I$1493,MATCH(C10,'Annexure-I'!$A$1:$A$1493,0))</f>
        <v>2014</v>
      </c>
      <c r="I10" s="462">
        <f>INDEX('CST-Final'!$BP$4:$BP$490,MATCH(C10,'CST-Final'!$B$4:$B$490,0))</f>
        <v>0</v>
      </c>
      <c r="J10" s="462">
        <f>INDEX('CST-Final'!$BV$4:$BV$490,MATCH(C10,'CST-Final'!$B$4:$B$490,0))</f>
        <v>0</v>
      </c>
      <c r="K10" s="293">
        <v>2022</v>
      </c>
      <c r="L10" s="393">
        <f>INDEX('CST-Final'!$BY$4:$BY$490,MATCH(C10,'CST-Final'!$B$4:$B$490,0))</f>
        <v>0</v>
      </c>
      <c r="M10" s="457">
        <f t="shared" si="0"/>
        <v>8</v>
      </c>
      <c r="N10" s="458">
        <f>(((J10/(INDEX('CST-Final'!$BK$4:$BK$490,MATCH(C10,'CST-Final'!$B$4:$B$490,0))*E10))^(1/M10))-1)</f>
        <v>-1</v>
      </c>
      <c r="O10" s="394"/>
      <c r="R10" s="396"/>
    </row>
    <row r="11" spans="2:18" s="395" customFormat="1" ht="29.25" customHeight="1" x14ac:dyDescent="0.25">
      <c r="B11" s="293">
        <v>6</v>
      </c>
      <c r="C11" s="430">
        <v>76</v>
      </c>
      <c r="D11" s="293" t="str">
        <f>CONCATENATE(INDEX('CST-Final'!$C$4:$C$490,MATCH(C11,'CST-Final'!$B$4:$B$490,0)),"; ",INDEX('CST-Final'!$D$4:$D$490,MATCH(C11,'CST-Final'!$B$4:$B$490,0)))</f>
        <v>X76; PRESSURE ADAPTER</v>
      </c>
      <c r="E11" s="293">
        <f>INDEX('CST-Final'!$F$4:$F$490,MATCH(C11,'CST-Final'!$B$4:$B$490,0))</f>
        <v>3</v>
      </c>
      <c r="F11" s="293" t="str">
        <f>CONCATENATE(INDEX('CST-Final'!$BL$4:$BL$490,MATCH(C11,'CST-Final'!$B$4:$B$490,0)),IF(ISTEXT(INDEX('CST-Final'!$BM$4:$BM$490,MATCH(C11,'CST-Final'!$B$4:$B$490,0))),CONCATENATE(" level ",INDEX('CST-Final'!$BM$4:$BM$490,MATCH(C11,'CST-Final'!$B$4:$B$490,0))),CONCATENATE(" dated ",TEXT(INDEX('CST-Final'!$BM$4:$BM$490,MATCH(C11,'CST-Final'!$B$4:$B$490,0)),"dd.mm.yyyy"))))</f>
        <v>CONTRACT-A76 dated 28.02.2012</v>
      </c>
      <c r="G11" s="462">
        <f>INDEX('CST-Final'!$BQ$4:$BQ$490,MATCH(C11,'CST-Final'!$B$4:$B$490,0))</f>
        <v>0</v>
      </c>
      <c r="H11" s="293">
        <f>INDEX('Annexure-I'!$I$1:$I$1493,MATCH(C11,'Annexure-I'!$A$1:$A$1493,0))</f>
        <v>2012</v>
      </c>
      <c r="I11" s="462">
        <f>INDEX('CST-Final'!$BP$4:$BP$490,MATCH(C11,'CST-Final'!$B$4:$B$490,0))</f>
        <v>0</v>
      </c>
      <c r="J11" s="462">
        <f>INDEX('CST-Final'!$BV$4:$BV$490,MATCH(C11,'CST-Final'!$B$4:$B$490,0))</f>
        <v>0</v>
      </c>
      <c r="K11" s="293">
        <v>2022</v>
      </c>
      <c r="L11" s="393">
        <f>INDEX('CST-Final'!$BY$4:$BY$490,MATCH(C11,'CST-Final'!$B$4:$B$490,0))</f>
        <v>0</v>
      </c>
      <c r="M11" s="457">
        <f t="shared" si="0"/>
        <v>10</v>
      </c>
      <c r="N11" s="458">
        <f>(((J11/(INDEX('CST-Final'!$BK$4:$BK$490,MATCH(C11,'CST-Final'!$B$4:$B$490,0))*E11))^(1/M11))-1)</f>
        <v>-1</v>
      </c>
      <c r="O11" s="394"/>
      <c r="R11" s="396"/>
    </row>
    <row r="12" spans="2:18" s="395" customFormat="1" ht="29.25" customHeight="1" x14ac:dyDescent="0.25">
      <c r="B12" s="293">
        <v>7</v>
      </c>
      <c r="C12" s="430">
        <v>100</v>
      </c>
      <c r="D12" s="293" t="e">
        <f>CONCATENATE(INDEX('CST-Final'!$C$4:$C$490,MATCH(C12,'CST-Final'!$B$4:$B$490,0)),"; ",INDEX('CST-Final'!$D$4:$D$490,MATCH(C12,'CST-Final'!$B$4:$B$490,0)))</f>
        <v>#N/A</v>
      </c>
      <c r="E12" s="293" t="e">
        <f>INDEX('CST-Final'!$F$4:$F$490,MATCH(C12,'CST-Final'!$B$4:$B$490,0))</f>
        <v>#N/A</v>
      </c>
      <c r="F12" s="293" t="e">
        <f>CONCATENATE(INDEX('CST-Final'!$BL$4:$BL$490,MATCH(C12,'CST-Final'!$B$4:$B$490,0)),IF(ISTEXT(INDEX('CST-Final'!$BM$4:$BM$490,MATCH(C12,'CST-Final'!$B$4:$B$490,0))),CONCATENATE(" level ",INDEX('CST-Final'!$BM$4:$BM$490,MATCH(C12,'CST-Final'!$B$4:$B$490,0))),CONCATENATE(" dated ",TEXT(INDEX('CST-Final'!$BM$4:$BM$490,MATCH(C12,'CST-Final'!$B$4:$B$490,0)),"dd.mm.yyyy"))))</f>
        <v>#N/A</v>
      </c>
      <c r="G12" s="462" t="e">
        <f>INDEX('CST-Final'!$BQ$4:$BQ$490,MATCH(C12,'CST-Final'!$B$4:$B$490,0))</f>
        <v>#N/A</v>
      </c>
      <c r="H12" s="293" t="e">
        <f>INDEX('Annexure-I'!$I$1:$I$1493,MATCH(C12,'Annexure-I'!$A$1:$A$1493,0))</f>
        <v>#N/A</v>
      </c>
      <c r="I12" s="462" t="e">
        <f>INDEX('CST-Final'!$BP$4:$BP$490,MATCH(C12,'CST-Final'!$B$4:$B$490,0))</f>
        <v>#N/A</v>
      </c>
      <c r="J12" s="462" t="e">
        <f>INDEX('CST-Final'!$BV$4:$BV$490,MATCH(C12,'CST-Final'!$B$4:$B$490,0))</f>
        <v>#N/A</v>
      </c>
      <c r="K12" s="293">
        <v>2022</v>
      </c>
      <c r="L12" s="393" t="e">
        <f>INDEX('CST-Final'!$BY$4:$BY$490,MATCH(C12,'CST-Final'!$B$4:$B$490,0))</f>
        <v>#N/A</v>
      </c>
      <c r="M12" s="457" t="e">
        <f t="shared" si="0"/>
        <v>#N/A</v>
      </c>
      <c r="N12" s="458" t="e">
        <f>(((J12/(INDEX('CST-Final'!$BK$4:$BK$490,MATCH(C12,'CST-Final'!$B$4:$B$490,0))*E12))^(1/M12))-1)</f>
        <v>#N/A</v>
      </c>
      <c r="O12" s="394"/>
      <c r="R12" s="396"/>
    </row>
    <row r="13" spans="2:18" s="395" customFormat="1" ht="29.25" customHeight="1" x14ac:dyDescent="0.25">
      <c r="B13" s="293">
        <v>8</v>
      </c>
      <c r="C13" s="430">
        <v>140</v>
      </c>
      <c r="D13" s="293" t="e">
        <f>CONCATENATE(INDEX('CST-Final'!$C$4:$C$490,MATCH(C13,'CST-Final'!$B$4:$B$490,0)),"; ",INDEX('CST-Final'!$D$4:$D$490,MATCH(C13,'CST-Final'!$B$4:$B$490,0)))</f>
        <v>#N/A</v>
      </c>
      <c r="E13" s="293" t="e">
        <f>INDEX('CST-Final'!$F$4:$F$490,MATCH(C13,'CST-Final'!$B$4:$B$490,0))</f>
        <v>#N/A</v>
      </c>
      <c r="F13" s="293" t="e">
        <f>CONCATENATE(INDEX('CST-Final'!$BL$4:$BL$490,MATCH(C13,'CST-Final'!$B$4:$B$490,0)),IF(ISTEXT(INDEX('CST-Final'!$BM$4:$BM$490,MATCH(C13,'CST-Final'!$B$4:$B$490,0))),CONCATENATE(" level ",INDEX('CST-Final'!$BM$4:$BM$490,MATCH(C13,'CST-Final'!$B$4:$B$490,0))),CONCATENATE(" dated ",TEXT(INDEX('CST-Final'!$BM$4:$BM$490,MATCH(C13,'CST-Final'!$B$4:$B$490,0)),"dd.mm.yyyy"))))</f>
        <v>#N/A</v>
      </c>
      <c r="G13" s="462" t="e">
        <f>INDEX('CST-Final'!$BQ$4:$BQ$490,MATCH(C13,'CST-Final'!$B$4:$B$490,0))</f>
        <v>#N/A</v>
      </c>
      <c r="H13" s="293" t="e">
        <f>INDEX('Annexure-I'!$I$1:$I$1493,MATCH(C13,'Annexure-I'!$A$1:$A$1493,0))</f>
        <v>#N/A</v>
      </c>
      <c r="I13" s="462" t="e">
        <f>INDEX('CST-Final'!$BP$4:$BP$490,MATCH(C13,'CST-Final'!$B$4:$B$490,0))</f>
        <v>#N/A</v>
      </c>
      <c r="J13" s="462" t="e">
        <f>INDEX('CST-Final'!$BV$4:$BV$490,MATCH(C13,'CST-Final'!$B$4:$B$490,0))</f>
        <v>#N/A</v>
      </c>
      <c r="K13" s="293">
        <v>2022</v>
      </c>
      <c r="L13" s="393" t="e">
        <f>INDEX('CST-Final'!$BY$4:$BY$490,MATCH(C13,'CST-Final'!$B$4:$B$490,0))</f>
        <v>#N/A</v>
      </c>
      <c r="M13" s="457" t="e">
        <f t="shared" si="0"/>
        <v>#N/A</v>
      </c>
      <c r="N13" s="458" t="e">
        <f>(((J13/(INDEX('CST-Final'!$BK$4:$BK$490,MATCH(C13,'CST-Final'!$B$4:$B$490,0))*E13))^(1/M13))-1)</f>
        <v>#N/A</v>
      </c>
      <c r="O13" s="394"/>
      <c r="R13" s="396"/>
    </row>
    <row r="14" spans="2:18" s="395" customFormat="1" ht="29.25" customHeight="1" x14ac:dyDescent="0.25">
      <c r="B14" s="293">
        <v>9</v>
      </c>
      <c r="C14" s="430">
        <v>226</v>
      </c>
      <c r="D14" s="293" t="e">
        <f>CONCATENATE(INDEX('CST-Final'!$C$4:$C$490,MATCH(C14,'CST-Final'!$B$4:$B$490,0)),"; ",INDEX('CST-Final'!$D$4:$D$490,MATCH(C14,'CST-Final'!$B$4:$B$490,0)))</f>
        <v>#N/A</v>
      </c>
      <c r="E14" s="293" t="e">
        <f>INDEX('CST-Final'!$F$4:$F$490,MATCH(C14,'CST-Final'!$B$4:$B$490,0))</f>
        <v>#N/A</v>
      </c>
      <c r="F14" s="293" t="e">
        <f>CONCATENATE(INDEX('CST-Final'!$BL$4:$BL$490,MATCH(C14,'CST-Final'!$B$4:$B$490,0)),IF(ISTEXT(INDEX('CST-Final'!$BM$4:$BM$490,MATCH(C14,'CST-Final'!$B$4:$B$490,0))),CONCATENATE(" level ",INDEX('CST-Final'!$BM$4:$BM$490,MATCH(C14,'CST-Final'!$B$4:$B$490,0))),CONCATENATE(" dated ",TEXT(INDEX('CST-Final'!$BM$4:$BM$490,MATCH(C14,'CST-Final'!$B$4:$B$490,0)),"dd.mm.yyyy"))))</f>
        <v>#N/A</v>
      </c>
      <c r="G14" s="462" t="e">
        <f>INDEX('CST-Final'!$BQ$4:$BQ$490,MATCH(C14,'CST-Final'!$B$4:$B$490,0))</f>
        <v>#N/A</v>
      </c>
      <c r="H14" s="293" t="e">
        <f>INDEX('Annexure-I'!$I$1:$I$1493,MATCH(C14,'Annexure-I'!$A$1:$A$1493,0))</f>
        <v>#N/A</v>
      </c>
      <c r="I14" s="462" t="e">
        <f>INDEX('CST-Final'!$BP$4:$BP$490,MATCH(C14,'CST-Final'!$B$4:$B$490,0))</f>
        <v>#N/A</v>
      </c>
      <c r="J14" s="462" t="e">
        <f>INDEX('CST-Final'!$BV$4:$BV$490,MATCH(C14,'CST-Final'!$B$4:$B$490,0))</f>
        <v>#N/A</v>
      </c>
      <c r="K14" s="293">
        <v>2022</v>
      </c>
      <c r="L14" s="393" t="e">
        <f>INDEX('CST-Final'!$BY$4:$BY$490,MATCH(C14,'CST-Final'!$B$4:$B$490,0))</f>
        <v>#N/A</v>
      </c>
      <c r="M14" s="457" t="e">
        <f t="shared" si="0"/>
        <v>#N/A</v>
      </c>
      <c r="N14" s="458" t="e">
        <f>(((J14/(INDEX('CST-Final'!$BK$4:$BK$490,MATCH(C14,'CST-Final'!$B$4:$B$490,0))*E14))^(1/M14))-1)</f>
        <v>#N/A</v>
      </c>
      <c r="O14" s="394"/>
      <c r="R14" s="396"/>
    </row>
    <row r="15" spans="2:18" s="395" customFormat="1" ht="29.25" customHeight="1" x14ac:dyDescent="0.25">
      <c r="B15" s="293">
        <v>10</v>
      </c>
      <c r="C15" s="430">
        <v>236</v>
      </c>
      <c r="D15" s="293" t="e">
        <f>CONCATENATE(INDEX('CST-Final'!$C$4:$C$490,MATCH(C15,'CST-Final'!$B$4:$B$490,0)),"; ",INDEX('CST-Final'!$D$4:$D$490,MATCH(C15,'CST-Final'!$B$4:$B$490,0)))</f>
        <v>#N/A</v>
      </c>
      <c r="E15" s="293" t="e">
        <f>INDEX('CST-Final'!$F$4:$F$490,MATCH(C15,'CST-Final'!$B$4:$B$490,0))</f>
        <v>#N/A</v>
      </c>
      <c r="F15" s="293" t="e">
        <f>CONCATENATE(INDEX('CST-Final'!$BL$4:$BL$490,MATCH(C15,'CST-Final'!$B$4:$B$490,0)),IF(ISTEXT(INDEX('CST-Final'!$BM$4:$BM$490,MATCH(C15,'CST-Final'!$B$4:$B$490,0))),CONCATENATE(" level ",INDEX('CST-Final'!$BM$4:$BM$490,MATCH(C15,'CST-Final'!$B$4:$B$490,0))),CONCATENATE(" dated ",TEXT(INDEX('CST-Final'!$BM$4:$BM$490,MATCH(C15,'CST-Final'!$B$4:$B$490,0)),"dd.mm.yyyy"))))</f>
        <v>#N/A</v>
      </c>
      <c r="G15" s="462" t="e">
        <f>INDEX('CST-Final'!$BQ$4:$BQ$490,MATCH(C15,'CST-Final'!$B$4:$B$490,0))</f>
        <v>#N/A</v>
      </c>
      <c r="H15" s="293" t="e">
        <f>INDEX('Annexure-I'!$I$1:$I$1493,MATCH(C15,'Annexure-I'!$A$1:$A$1493,0))</f>
        <v>#N/A</v>
      </c>
      <c r="I15" s="462" t="e">
        <f>INDEX('CST-Final'!$BP$4:$BP$490,MATCH(C15,'CST-Final'!$B$4:$B$490,0))</f>
        <v>#N/A</v>
      </c>
      <c r="J15" s="462" t="e">
        <f>INDEX('CST-Final'!$BV$4:$BV$490,MATCH(C15,'CST-Final'!$B$4:$B$490,0))</f>
        <v>#N/A</v>
      </c>
      <c r="K15" s="293">
        <v>2022</v>
      </c>
      <c r="L15" s="393" t="e">
        <f>INDEX('CST-Final'!$BY$4:$BY$490,MATCH(C15,'CST-Final'!$B$4:$B$490,0))</f>
        <v>#N/A</v>
      </c>
      <c r="M15" s="457" t="e">
        <f t="shared" si="0"/>
        <v>#N/A</v>
      </c>
      <c r="N15" s="458" t="e">
        <f>(((J15/(INDEX('CST-Final'!$BK$4:$BK$490,MATCH(C15,'CST-Final'!$B$4:$B$490,0))*E15))^(1/M15))-1)</f>
        <v>#N/A</v>
      </c>
      <c r="O15" s="394"/>
      <c r="R15" s="396"/>
    </row>
    <row r="16" spans="2:18" s="395" customFormat="1" ht="29.25" customHeight="1" x14ac:dyDescent="0.25">
      <c r="B16" s="293">
        <v>11</v>
      </c>
      <c r="C16" s="430">
        <v>237</v>
      </c>
      <c r="D16" s="293" t="e">
        <f>CONCATENATE(INDEX('CST-Final'!$C$4:$C$490,MATCH(C16,'CST-Final'!$B$4:$B$490,0)),"; ",INDEX('CST-Final'!$D$4:$D$490,MATCH(C16,'CST-Final'!$B$4:$B$490,0)))</f>
        <v>#N/A</v>
      </c>
      <c r="E16" s="293" t="e">
        <f>INDEX('CST-Final'!$F$4:$F$490,MATCH(C16,'CST-Final'!$B$4:$B$490,0))</f>
        <v>#N/A</v>
      </c>
      <c r="F16" s="293" t="e">
        <f>CONCATENATE(INDEX('CST-Final'!$BL$4:$BL$490,MATCH(C16,'CST-Final'!$B$4:$B$490,0)),IF(ISTEXT(INDEX('CST-Final'!$BM$4:$BM$490,MATCH(C16,'CST-Final'!$B$4:$B$490,0))),CONCATENATE(" level ",INDEX('CST-Final'!$BM$4:$BM$490,MATCH(C16,'CST-Final'!$B$4:$B$490,0))),CONCATENATE(" dated ",TEXT(INDEX('CST-Final'!$BM$4:$BM$490,MATCH(C16,'CST-Final'!$B$4:$B$490,0)),"dd.mm.yyyy"))))</f>
        <v>#N/A</v>
      </c>
      <c r="G16" s="462" t="e">
        <f>INDEX('CST-Final'!$BQ$4:$BQ$490,MATCH(C16,'CST-Final'!$B$4:$B$490,0))</f>
        <v>#N/A</v>
      </c>
      <c r="H16" s="293" t="e">
        <f>INDEX('Annexure-I'!$I$1:$I$1493,MATCH(C16,'Annexure-I'!$A$1:$A$1493,0))</f>
        <v>#N/A</v>
      </c>
      <c r="I16" s="462" t="e">
        <f>INDEX('CST-Final'!$BP$4:$BP$490,MATCH(C16,'CST-Final'!$B$4:$B$490,0))</f>
        <v>#N/A</v>
      </c>
      <c r="J16" s="462" t="e">
        <f>INDEX('CST-Final'!$BV$4:$BV$490,MATCH(C16,'CST-Final'!$B$4:$B$490,0))</f>
        <v>#N/A</v>
      </c>
      <c r="K16" s="293">
        <v>2022</v>
      </c>
      <c r="L16" s="393" t="e">
        <f>INDEX('CST-Final'!$BY$4:$BY$490,MATCH(C16,'CST-Final'!$B$4:$B$490,0))</f>
        <v>#N/A</v>
      </c>
      <c r="M16" s="457" t="e">
        <f t="shared" si="0"/>
        <v>#N/A</v>
      </c>
      <c r="N16" s="458" t="e">
        <f>(((J16/(INDEX('CST-Final'!$BK$4:$BK$490,MATCH(C16,'CST-Final'!$B$4:$B$490,0))*E16))^(1/M16))-1)</f>
        <v>#N/A</v>
      </c>
      <c r="O16" s="394"/>
      <c r="R16" s="396"/>
    </row>
    <row r="17" spans="2:18" s="395" customFormat="1" ht="29.25" customHeight="1" x14ac:dyDescent="0.25">
      <c r="B17" s="293">
        <v>12</v>
      </c>
      <c r="C17" s="463">
        <v>257</v>
      </c>
      <c r="D17" s="293" t="e">
        <f>CONCATENATE(INDEX('CST-Final'!$C$4:$C$490,MATCH(C17,'CST-Final'!$B$4:$B$490,0)),"; ",INDEX('CST-Final'!$D$4:$D$490,MATCH(C17,'CST-Final'!$B$4:$B$490,0)))</f>
        <v>#N/A</v>
      </c>
      <c r="E17" s="293" t="e">
        <f>INDEX('CST-Final'!$F$4:$F$490,MATCH(C17,'CST-Final'!$B$4:$B$490,0))</f>
        <v>#N/A</v>
      </c>
      <c r="F17" s="293" t="e">
        <f>CONCATENATE(INDEX('CST-Final'!$BL$4:$BL$490,MATCH(C17,'CST-Final'!$B$4:$B$490,0)),IF(ISTEXT(INDEX('CST-Final'!$BM$4:$BM$490,MATCH(C17,'CST-Final'!$B$4:$B$490,0))),CONCATENATE(" level ",INDEX('CST-Final'!$BM$4:$BM$490,MATCH(C17,'CST-Final'!$B$4:$B$490,0))),CONCATENATE(" dated ",TEXT(INDEX('CST-Final'!$BM$4:$BM$490,MATCH(C17,'CST-Final'!$B$4:$B$490,0)),"dd.mm.yyyy"))))</f>
        <v>#N/A</v>
      </c>
      <c r="G17" s="462" t="e">
        <f>INDEX('CST-Final'!$BQ$4:$BQ$490,MATCH(C17,'CST-Final'!$B$4:$B$490,0))</f>
        <v>#N/A</v>
      </c>
      <c r="H17" s="293" t="e">
        <f>INDEX('Annexure-I'!$I$1:$I$1493,MATCH(C17,'Annexure-I'!$A$1:$A$1493,0))</f>
        <v>#N/A</v>
      </c>
      <c r="I17" s="462" t="e">
        <f>INDEX('CST-Final'!$BP$4:$BP$490,MATCH(C17,'CST-Final'!$B$4:$B$490,0))</f>
        <v>#N/A</v>
      </c>
      <c r="J17" s="462" t="e">
        <f>INDEX('CST-Final'!$BV$4:$BV$490,MATCH(C17,'CST-Final'!$B$4:$B$490,0))</f>
        <v>#N/A</v>
      </c>
      <c r="K17" s="293">
        <v>2022</v>
      </c>
      <c r="L17" s="393" t="e">
        <f>INDEX('CST-Final'!$BY$4:$BY$490,MATCH(C17,'CST-Final'!$B$4:$B$490,0))</f>
        <v>#N/A</v>
      </c>
      <c r="M17" s="457" t="e">
        <f t="shared" si="0"/>
        <v>#N/A</v>
      </c>
      <c r="N17" s="458" t="e">
        <f>(((J17/(INDEX('CST-Final'!$BK$4:$BK$490,MATCH(C17,'CST-Final'!$B$4:$B$490,0))*E17))^(1/M17))-1)</f>
        <v>#N/A</v>
      </c>
      <c r="O17" s="394"/>
      <c r="R17" s="396"/>
    </row>
    <row r="18" spans="2:18" s="395" customFormat="1" ht="29.25" customHeight="1" x14ac:dyDescent="0.25">
      <c r="B18" s="293">
        <v>13</v>
      </c>
      <c r="C18" s="463">
        <v>259</v>
      </c>
      <c r="D18" s="293" t="e">
        <f>CONCATENATE(INDEX('CST-Final'!$C$4:$C$490,MATCH(C18,'CST-Final'!$B$4:$B$490,0)),"; ",INDEX('CST-Final'!$D$4:$D$490,MATCH(C18,'CST-Final'!$B$4:$B$490,0)))</f>
        <v>#N/A</v>
      </c>
      <c r="E18" s="293" t="e">
        <f>INDEX('CST-Final'!$F$4:$F$490,MATCH(C18,'CST-Final'!$B$4:$B$490,0))</f>
        <v>#N/A</v>
      </c>
      <c r="F18" s="293" t="e">
        <f>CONCATENATE(INDEX('CST-Final'!$BL$4:$BL$490,MATCH(C18,'CST-Final'!$B$4:$B$490,0)),IF(ISTEXT(INDEX('CST-Final'!$BM$4:$BM$490,MATCH(C18,'CST-Final'!$B$4:$B$490,0))),CONCATENATE(" level ",INDEX('CST-Final'!$BM$4:$BM$490,MATCH(C18,'CST-Final'!$B$4:$B$490,0))),CONCATENATE(" dated ",TEXT(INDEX('CST-Final'!$BM$4:$BM$490,MATCH(C18,'CST-Final'!$B$4:$B$490,0)),"dd.mm.yyyy"))))</f>
        <v>#N/A</v>
      </c>
      <c r="G18" s="462" t="e">
        <f>INDEX('CST-Final'!$BQ$4:$BQ$490,MATCH(C18,'CST-Final'!$B$4:$B$490,0))</f>
        <v>#N/A</v>
      </c>
      <c r="H18" s="293" t="e">
        <f>INDEX('Annexure-I'!$I$1:$I$1493,MATCH(C18,'Annexure-I'!$A$1:$A$1493,0))</f>
        <v>#N/A</v>
      </c>
      <c r="I18" s="462" t="e">
        <f>INDEX('CST-Final'!$BP$4:$BP$490,MATCH(C18,'CST-Final'!$B$4:$B$490,0))</f>
        <v>#N/A</v>
      </c>
      <c r="J18" s="462" t="e">
        <f>INDEX('CST-Final'!$BV$4:$BV$490,MATCH(C18,'CST-Final'!$B$4:$B$490,0))</f>
        <v>#N/A</v>
      </c>
      <c r="K18" s="293">
        <v>2022</v>
      </c>
      <c r="L18" s="393" t="e">
        <f>INDEX('CST-Final'!$BY$4:$BY$490,MATCH(C18,'CST-Final'!$B$4:$B$490,0))</f>
        <v>#N/A</v>
      </c>
      <c r="M18" s="457" t="e">
        <f t="shared" si="0"/>
        <v>#N/A</v>
      </c>
      <c r="N18" s="458" t="e">
        <f>(((J18/(INDEX('CST-Final'!$BK$4:$BK$490,MATCH(C18,'CST-Final'!$B$4:$B$490,0))*E18))^(1/M18))-1)</f>
        <v>#N/A</v>
      </c>
      <c r="O18" s="394"/>
      <c r="R18" s="396"/>
    </row>
    <row r="19" spans="2:18" s="395" customFormat="1" ht="29.25" customHeight="1" x14ac:dyDescent="0.25">
      <c r="B19" s="293">
        <v>14</v>
      </c>
      <c r="C19" s="430">
        <v>260</v>
      </c>
      <c r="D19" s="293" t="e">
        <f>CONCATENATE(INDEX('CST-Final'!$C$4:$C$490,MATCH(C19,'CST-Final'!$B$4:$B$490,0)),"; ",INDEX('CST-Final'!$D$4:$D$490,MATCH(C19,'CST-Final'!$B$4:$B$490,0)))</f>
        <v>#N/A</v>
      </c>
      <c r="E19" s="293" t="e">
        <f>INDEX('CST-Final'!$F$4:$F$490,MATCH(C19,'CST-Final'!$B$4:$B$490,0))</f>
        <v>#N/A</v>
      </c>
      <c r="F19" s="293" t="e">
        <f>CONCATENATE(INDEX('CST-Final'!$BL$4:$BL$490,MATCH(C19,'CST-Final'!$B$4:$B$490,0)),IF(ISTEXT(INDEX('CST-Final'!$BM$4:$BM$490,MATCH(C19,'CST-Final'!$B$4:$B$490,0))),CONCATENATE(" level ",INDEX('CST-Final'!$BM$4:$BM$490,MATCH(C19,'CST-Final'!$B$4:$B$490,0))),CONCATENATE(" dated ",TEXT(INDEX('CST-Final'!$BM$4:$BM$490,MATCH(C19,'CST-Final'!$B$4:$B$490,0)),"dd.mm.yyyy"))))</f>
        <v>#N/A</v>
      </c>
      <c r="G19" s="462" t="e">
        <f>INDEX('CST-Final'!$BQ$4:$BQ$490,MATCH(C19,'CST-Final'!$B$4:$B$490,0))</f>
        <v>#N/A</v>
      </c>
      <c r="H19" s="293" t="e">
        <f>INDEX('Annexure-I'!$I$1:$I$1493,MATCH(C19,'Annexure-I'!$A$1:$A$1493,0))</f>
        <v>#N/A</v>
      </c>
      <c r="I19" s="462" t="e">
        <f>INDEX('CST-Final'!$BP$4:$BP$490,MATCH(C19,'CST-Final'!$B$4:$B$490,0))</f>
        <v>#N/A</v>
      </c>
      <c r="J19" s="462" t="e">
        <f>INDEX('CST-Final'!$BV$4:$BV$490,MATCH(C19,'CST-Final'!$B$4:$B$490,0))</f>
        <v>#N/A</v>
      </c>
      <c r="K19" s="293">
        <v>2022</v>
      </c>
      <c r="L19" s="393" t="e">
        <f>INDEX('CST-Final'!$BY$4:$BY$490,MATCH(C19,'CST-Final'!$B$4:$B$490,0))</f>
        <v>#N/A</v>
      </c>
      <c r="M19" s="457" t="e">
        <f t="shared" si="0"/>
        <v>#N/A</v>
      </c>
      <c r="N19" s="458" t="e">
        <f>(((J19/(INDEX('CST-Final'!$BK$4:$BK$490,MATCH(C19,'CST-Final'!$B$4:$B$490,0))*E19))^(1/M19))-1)</f>
        <v>#N/A</v>
      </c>
      <c r="O19" s="394"/>
      <c r="R19" s="396"/>
    </row>
    <row r="20" spans="2:18" s="395" customFormat="1" ht="29.25" customHeight="1" x14ac:dyDescent="0.25">
      <c r="B20" s="293">
        <v>15</v>
      </c>
      <c r="C20" s="463">
        <v>261</v>
      </c>
      <c r="D20" s="293" t="e">
        <f>CONCATENATE(INDEX('CST-Final'!$C$4:$C$490,MATCH(C20,'CST-Final'!$B$4:$B$490,0)),"; ",INDEX('CST-Final'!$D$4:$D$490,MATCH(C20,'CST-Final'!$B$4:$B$490,0)))</f>
        <v>#N/A</v>
      </c>
      <c r="E20" s="293" t="e">
        <f>INDEX('CST-Final'!$F$4:$F$490,MATCH(C20,'CST-Final'!$B$4:$B$490,0))</f>
        <v>#N/A</v>
      </c>
      <c r="F20" s="293" t="e">
        <f>CONCATENATE(INDEX('CST-Final'!$BL$4:$BL$490,MATCH(C20,'CST-Final'!$B$4:$B$490,0)),IF(ISTEXT(INDEX('CST-Final'!$BM$4:$BM$490,MATCH(C20,'CST-Final'!$B$4:$B$490,0))),CONCATENATE(" level ",INDEX('CST-Final'!$BM$4:$BM$490,MATCH(C20,'CST-Final'!$B$4:$B$490,0))),CONCATENATE(" dated ",TEXT(INDEX('CST-Final'!$BM$4:$BM$490,MATCH(C20,'CST-Final'!$B$4:$B$490,0)),"dd.mm.yyyy"))))</f>
        <v>#N/A</v>
      </c>
      <c r="G20" s="462" t="e">
        <f>INDEX('CST-Final'!$BQ$4:$BQ$490,MATCH(C20,'CST-Final'!$B$4:$B$490,0))</f>
        <v>#N/A</v>
      </c>
      <c r="H20" s="293" t="e">
        <f>INDEX('Annexure-I'!$I$1:$I$1493,MATCH(C20,'Annexure-I'!$A$1:$A$1493,0))</f>
        <v>#N/A</v>
      </c>
      <c r="I20" s="462" t="e">
        <f>INDEX('CST-Final'!$BP$4:$BP$490,MATCH(C20,'CST-Final'!$B$4:$B$490,0))</f>
        <v>#N/A</v>
      </c>
      <c r="J20" s="462" t="e">
        <f>INDEX('CST-Final'!$BV$4:$BV$490,MATCH(C20,'CST-Final'!$B$4:$B$490,0))</f>
        <v>#N/A</v>
      </c>
      <c r="K20" s="293">
        <v>2022</v>
      </c>
      <c r="L20" s="393" t="e">
        <f>INDEX('CST-Final'!$BY$4:$BY$490,MATCH(C20,'CST-Final'!$B$4:$B$490,0))</f>
        <v>#N/A</v>
      </c>
      <c r="M20" s="457" t="e">
        <f t="shared" si="0"/>
        <v>#N/A</v>
      </c>
      <c r="N20" s="458" t="e">
        <f>(((J20/(INDEX('CST-Final'!$BK$4:$BK$490,MATCH(C20,'CST-Final'!$B$4:$B$490,0))*E20))^(1/M20))-1)</f>
        <v>#N/A</v>
      </c>
      <c r="O20" s="394"/>
      <c r="R20" s="396"/>
    </row>
    <row r="21" spans="2:18" s="395" customFormat="1" ht="29.25" customHeight="1" x14ac:dyDescent="0.25">
      <c r="B21" s="293">
        <v>16</v>
      </c>
      <c r="C21" s="463">
        <v>262</v>
      </c>
      <c r="D21" s="293" t="e">
        <f>CONCATENATE(INDEX('CST-Final'!$C$4:$C$490,MATCH(C21,'CST-Final'!$B$4:$B$490,0)),"; ",INDEX('CST-Final'!$D$4:$D$490,MATCH(C21,'CST-Final'!$B$4:$B$490,0)))</f>
        <v>#N/A</v>
      </c>
      <c r="E21" s="293" t="e">
        <f>INDEX('CST-Final'!$F$4:$F$490,MATCH(C21,'CST-Final'!$B$4:$B$490,0))</f>
        <v>#N/A</v>
      </c>
      <c r="F21" s="293" t="e">
        <f>CONCATENATE(INDEX('CST-Final'!$BL$4:$BL$490,MATCH(C21,'CST-Final'!$B$4:$B$490,0)),IF(ISTEXT(INDEX('CST-Final'!$BM$4:$BM$490,MATCH(C21,'CST-Final'!$B$4:$B$490,0))),CONCATENATE(" level ",INDEX('CST-Final'!$BM$4:$BM$490,MATCH(C21,'CST-Final'!$B$4:$B$490,0))),CONCATENATE(" dated ",TEXT(INDEX('CST-Final'!$BM$4:$BM$490,MATCH(C21,'CST-Final'!$B$4:$B$490,0)),"dd.mm.yyyy"))))</f>
        <v>#N/A</v>
      </c>
      <c r="G21" s="462" t="e">
        <f>INDEX('CST-Final'!$BQ$4:$BQ$490,MATCH(C21,'CST-Final'!$B$4:$B$490,0))</f>
        <v>#N/A</v>
      </c>
      <c r="H21" s="293" t="e">
        <f>INDEX('Annexure-I'!$I$1:$I$1493,MATCH(C21,'Annexure-I'!$A$1:$A$1493,0))</f>
        <v>#N/A</v>
      </c>
      <c r="I21" s="462" t="e">
        <f>INDEX('CST-Final'!$BP$4:$BP$490,MATCH(C21,'CST-Final'!$B$4:$B$490,0))</f>
        <v>#N/A</v>
      </c>
      <c r="J21" s="462" t="e">
        <f>INDEX('CST-Final'!$BV$4:$BV$490,MATCH(C21,'CST-Final'!$B$4:$B$490,0))</f>
        <v>#N/A</v>
      </c>
      <c r="K21" s="293">
        <v>2022</v>
      </c>
      <c r="L21" s="393" t="e">
        <f>INDEX('CST-Final'!$BY$4:$BY$490,MATCH(C21,'CST-Final'!$B$4:$B$490,0))</f>
        <v>#N/A</v>
      </c>
      <c r="M21" s="457" t="e">
        <f t="shared" si="0"/>
        <v>#N/A</v>
      </c>
      <c r="N21" s="458" t="e">
        <f>(((J21/(INDEX('CST-Final'!$BK$4:$BK$490,MATCH(C21,'CST-Final'!$B$4:$B$490,0))*E21))^(1/M21))-1)</f>
        <v>#N/A</v>
      </c>
      <c r="O21" s="394"/>
      <c r="R21" s="396"/>
    </row>
    <row r="22" spans="2:18" s="395" customFormat="1" ht="29.25" customHeight="1" x14ac:dyDescent="0.25">
      <c r="B22" s="293">
        <v>17</v>
      </c>
      <c r="C22" s="430">
        <v>264</v>
      </c>
      <c r="D22" s="293" t="e">
        <f>CONCATENATE(INDEX('CST-Final'!$C$4:$C$490,MATCH(C22,'CST-Final'!$B$4:$B$490,0)),"; ",INDEX('CST-Final'!$D$4:$D$490,MATCH(C22,'CST-Final'!$B$4:$B$490,0)))</f>
        <v>#N/A</v>
      </c>
      <c r="E22" s="293" t="e">
        <f>INDEX('CST-Final'!$F$4:$F$490,MATCH(C22,'CST-Final'!$B$4:$B$490,0))</f>
        <v>#N/A</v>
      </c>
      <c r="F22" s="569" t="s">
        <v>469</v>
      </c>
      <c r="G22" s="462" t="e">
        <f>INDEX('CST-Final'!$BQ$4:$BQ$490,MATCH(C22,'CST-Final'!$B$4:$B$490,0))</f>
        <v>#N/A</v>
      </c>
      <c r="H22" s="293" t="e">
        <f>INDEX('Annexure-I'!$I$1:$I$1493,MATCH(C22,'Annexure-I'!$A$1:$A$1493,0))</f>
        <v>#N/A</v>
      </c>
      <c r="I22" s="462" t="e">
        <f>INDEX('CST-Final'!$BP$4:$BP$490,MATCH(C22,'CST-Final'!$B$4:$B$490,0))</f>
        <v>#N/A</v>
      </c>
      <c r="J22" s="462" t="e">
        <f>INDEX('CST-Final'!$BV$4:$BV$490,MATCH(C22,'CST-Final'!$B$4:$B$490,0))</f>
        <v>#N/A</v>
      </c>
      <c r="K22" s="293">
        <v>2022</v>
      </c>
      <c r="L22" s="393" t="e">
        <f>INDEX('CST-Final'!$BY$4:$BY$490,MATCH(C22,'CST-Final'!$B$4:$B$490,0))</f>
        <v>#N/A</v>
      </c>
      <c r="M22" s="457" t="e">
        <f t="shared" si="0"/>
        <v>#N/A</v>
      </c>
      <c r="N22" s="458" t="e">
        <f>L22</f>
        <v>#N/A</v>
      </c>
      <c r="O22" s="394"/>
      <c r="R22" s="396"/>
    </row>
    <row r="23" spans="2:18" s="395" customFormat="1" ht="29.25" customHeight="1" x14ac:dyDescent="0.25">
      <c r="B23" s="293">
        <v>18</v>
      </c>
      <c r="C23" s="430">
        <v>293</v>
      </c>
      <c r="D23" s="293" t="e">
        <f>CONCATENATE(INDEX('CST-Final'!$C$4:$C$490,MATCH(C23,'CST-Final'!$B$4:$B$490,0)),"; ",INDEX('CST-Final'!$D$4:$D$490,MATCH(C23,'CST-Final'!$B$4:$B$490,0)))</f>
        <v>#N/A</v>
      </c>
      <c r="E23" s="293" t="e">
        <f>INDEX('CST-Final'!$F$4:$F$490,MATCH(C23,'CST-Final'!$B$4:$B$490,0))</f>
        <v>#N/A</v>
      </c>
      <c r="F23" s="293" t="e">
        <f>CONCATENATE(INDEX('CST-Final'!$BL$4:$BL$490,MATCH(C23,'CST-Final'!$B$4:$B$490,0)),IF(ISTEXT(INDEX('CST-Final'!$BM$4:$BM$490,MATCH(C23,'CST-Final'!$B$4:$B$490,0))),CONCATENATE(" level ",INDEX('CST-Final'!$BM$4:$BM$490,MATCH(C23,'CST-Final'!$B$4:$B$490,0))),CONCATENATE(" dated ",TEXT(INDEX('CST-Final'!$BM$4:$BM$490,MATCH(C23,'CST-Final'!$B$4:$B$490,0)),"dd.mm.yyyy"))))</f>
        <v>#N/A</v>
      </c>
      <c r="G23" s="462" t="e">
        <f>INDEX('CST-Final'!$BQ$4:$BQ$490,MATCH(C23,'CST-Final'!$B$4:$B$490,0))</f>
        <v>#N/A</v>
      </c>
      <c r="H23" s="293" t="e">
        <f>INDEX('Annexure-I'!$I$1:$I$1493,MATCH(C23,'Annexure-I'!$A$1:$A$1493,0))</f>
        <v>#N/A</v>
      </c>
      <c r="I23" s="462" t="e">
        <f>INDEX('CST-Final'!$BP$4:$BP$490,MATCH(C23,'CST-Final'!$B$4:$B$490,0))</f>
        <v>#N/A</v>
      </c>
      <c r="J23" s="462" t="e">
        <f>INDEX('CST-Final'!$BV$4:$BV$490,MATCH(C23,'CST-Final'!$B$4:$B$490,0))</f>
        <v>#N/A</v>
      </c>
      <c r="K23" s="293">
        <v>2022</v>
      </c>
      <c r="L23" s="393" t="e">
        <f>INDEX('CST-Final'!$BY$4:$BY$490,MATCH(C23,'CST-Final'!$B$4:$B$490,0))</f>
        <v>#N/A</v>
      </c>
      <c r="M23" s="457" t="e">
        <f t="shared" si="0"/>
        <v>#N/A</v>
      </c>
      <c r="N23" s="458" t="e">
        <f>(((J23/(INDEX('CST-Final'!$BK$4:$BK$490,MATCH(C23,'CST-Final'!$B$4:$B$490,0))*E23))^(1/M23))-1)</f>
        <v>#N/A</v>
      </c>
      <c r="O23" s="394"/>
      <c r="R23" s="396"/>
    </row>
    <row r="24" spans="2:18" s="395" customFormat="1" ht="29.25" customHeight="1" x14ac:dyDescent="0.25">
      <c r="B24" s="293">
        <v>19</v>
      </c>
      <c r="C24" s="430">
        <v>294</v>
      </c>
      <c r="D24" s="293" t="e">
        <f>CONCATENATE(INDEX('CST-Final'!$C$4:$C$490,MATCH(C24,'CST-Final'!$B$4:$B$490,0)),"; ",INDEX('CST-Final'!$D$4:$D$490,MATCH(C24,'CST-Final'!$B$4:$B$490,0)))</f>
        <v>#N/A</v>
      </c>
      <c r="E24" s="293" t="e">
        <f>INDEX('CST-Final'!$F$4:$F$490,MATCH(C24,'CST-Final'!$B$4:$B$490,0))</f>
        <v>#N/A</v>
      </c>
      <c r="F24" s="293" t="e">
        <f>CONCATENATE(INDEX('CST-Final'!$BL$4:$BL$490,MATCH(C24,'CST-Final'!$B$4:$B$490,0)),IF(ISTEXT(INDEX('CST-Final'!$BM$4:$BM$490,MATCH(C24,'CST-Final'!$B$4:$B$490,0))),CONCATENATE(" level ",INDEX('CST-Final'!$BM$4:$BM$490,MATCH(C24,'CST-Final'!$B$4:$B$490,0))),CONCATENATE(" dated ",TEXT(INDEX('CST-Final'!$BM$4:$BM$490,MATCH(C24,'CST-Final'!$B$4:$B$490,0)),"dd.mm.yyyy"))))</f>
        <v>#N/A</v>
      </c>
      <c r="G24" s="462" t="e">
        <f>INDEX('CST-Final'!$BQ$4:$BQ$490,MATCH(C24,'CST-Final'!$B$4:$B$490,0))</f>
        <v>#N/A</v>
      </c>
      <c r="H24" s="293" t="e">
        <f>INDEX('Annexure-I'!$I$1:$I$1493,MATCH(C24,'Annexure-I'!$A$1:$A$1493,0))</f>
        <v>#N/A</v>
      </c>
      <c r="I24" s="462" t="e">
        <f>INDEX('CST-Final'!$BP$4:$BP$490,MATCH(C24,'CST-Final'!$B$4:$B$490,0))</f>
        <v>#N/A</v>
      </c>
      <c r="J24" s="462" t="e">
        <f>INDEX('CST-Final'!$BV$4:$BV$490,MATCH(C24,'CST-Final'!$B$4:$B$490,0))</f>
        <v>#N/A</v>
      </c>
      <c r="K24" s="293">
        <v>2022</v>
      </c>
      <c r="L24" s="393" t="e">
        <f>INDEX('CST-Final'!$BY$4:$BY$490,MATCH(C24,'CST-Final'!$B$4:$B$490,0))</f>
        <v>#N/A</v>
      </c>
      <c r="M24" s="457" t="e">
        <f t="shared" si="0"/>
        <v>#N/A</v>
      </c>
      <c r="N24" s="458" t="e">
        <f>(((J24/(INDEX('CST-Final'!$BK$4:$BK$490,MATCH(C24,'CST-Final'!$B$4:$B$490,0))*E24))^(1/M24))-1)</f>
        <v>#N/A</v>
      </c>
      <c r="O24" s="394"/>
      <c r="R24" s="396"/>
    </row>
    <row r="25" spans="2:18" s="395" customFormat="1" ht="29.25" customHeight="1" x14ac:dyDescent="0.25">
      <c r="B25" s="293">
        <v>20</v>
      </c>
      <c r="C25" s="430">
        <v>297</v>
      </c>
      <c r="D25" s="293" t="e">
        <f>CONCATENATE(INDEX('CST-Final'!$C$4:$C$490,MATCH(C25,'CST-Final'!$B$4:$B$490,0)),"; ",INDEX('CST-Final'!$D$4:$D$490,MATCH(C25,'CST-Final'!$B$4:$B$490,0)))</f>
        <v>#N/A</v>
      </c>
      <c r="E25" s="293" t="e">
        <f>INDEX('CST-Final'!$F$4:$F$490,MATCH(C25,'CST-Final'!$B$4:$B$490,0))</f>
        <v>#N/A</v>
      </c>
      <c r="F25" s="293" t="e">
        <f>CONCATENATE(INDEX('CST-Final'!$BL$4:$BL$490,MATCH(C25,'CST-Final'!$B$4:$B$490,0)),IF(ISTEXT(INDEX('CST-Final'!$BM$4:$BM$490,MATCH(C25,'CST-Final'!$B$4:$B$490,0))),CONCATENATE(" level ",INDEX('CST-Final'!$BM$4:$BM$490,MATCH(C25,'CST-Final'!$B$4:$B$490,0))),CONCATENATE(" dated ",TEXT(INDEX('CST-Final'!$BM$4:$BM$490,MATCH(C25,'CST-Final'!$B$4:$B$490,0)),"dd.mm.yyyy"))))</f>
        <v>#N/A</v>
      </c>
      <c r="G25" s="462" t="e">
        <f>INDEX('CST-Final'!$BQ$4:$BQ$490,MATCH(C25,'CST-Final'!$B$4:$B$490,0))</f>
        <v>#N/A</v>
      </c>
      <c r="H25" s="293" t="e">
        <f>INDEX('Annexure-I'!$I$1:$I$1493,MATCH(C25,'Annexure-I'!$A$1:$A$1493,0))</f>
        <v>#N/A</v>
      </c>
      <c r="I25" s="462" t="e">
        <f>INDEX('CST-Final'!$BP$4:$BP$490,MATCH(C25,'CST-Final'!$B$4:$B$490,0))</f>
        <v>#N/A</v>
      </c>
      <c r="J25" s="462" t="e">
        <f>INDEX('CST-Final'!$BV$4:$BV$490,MATCH(C25,'CST-Final'!$B$4:$B$490,0))</f>
        <v>#N/A</v>
      </c>
      <c r="K25" s="293">
        <v>2022</v>
      </c>
      <c r="L25" s="393" t="e">
        <f>INDEX('CST-Final'!$BY$4:$BY$490,MATCH(C25,'CST-Final'!$B$4:$B$490,0))</f>
        <v>#N/A</v>
      </c>
      <c r="M25" s="457" t="e">
        <f t="shared" si="0"/>
        <v>#N/A</v>
      </c>
      <c r="N25" s="458" t="e">
        <f>(((J25/(INDEX('CST-Final'!$BK$4:$BK$490,MATCH(C25,'CST-Final'!$B$4:$B$490,0))*E25))^(1/M25))-1)</f>
        <v>#N/A</v>
      </c>
      <c r="O25" s="394"/>
      <c r="R25" s="396"/>
    </row>
    <row r="26" spans="2:18" s="395" customFormat="1" ht="29.25" customHeight="1" x14ac:dyDescent="0.25">
      <c r="B26" s="293">
        <v>21</v>
      </c>
      <c r="C26" s="430">
        <v>298</v>
      </c>
      <c r="D26" s="293" t="e">
        <f>CONCATENATE(INDEX('CST-Final'!$C$4:$C$490,MATCH(C26,'CST-Final'!$B$4:$B$490,0)),"; ",INDEX('CST-Final'!$D$4:$D$490,MATCH(C26,'CST-Final'!$B$4:$B$490,0)))</f>
        <v>#N/A</v>
      </c>
      <c r="E26" s="293" t="e">
        <f>INDEX('CST-Final'!$F$4:$F$490,MATCH(C26,'CST-Final'!$B$4:$B$490,0))</f>
        <v>#N/A</v>
      </c>
      <c r="F26" s="293" t="e">
        <f>CONCATENATE(INDEX('CST-Final'!$BL$4:$BL$490,MATCH(C26,'CST-Final'!$B$4:$B$490,0)),IF(ISTEXT(INDEX('CST-Final'!$BM$4:$BM$490,MATCH(C26,'CST-Final'!$B$4:$B$490,0))),CONCATENATE(" level ",INDEX('CST-Final'!$BM$4:$BM$490,MATCH(C26,'CST-Final'!$B$4:$B$490,0))),CONCATENATE(" dated ",TEXT(INDEX('CST-Final'!$BM$4:$BM$490,MATCH(C26,'CST-Final'!$B$4:$B$490,0)),"dd.mm.yyyy"))))</f>
        <v>#N/A</v>
      </c>
      <c r="G26" s="462" t="e">
        <f>INDEX('CST-Final'!$BQ$4:$BQ$490,MATCH(C26,'CST-Final'!$B$4:$B$490,0))</f>
        <v>#N/A</v>
      </c>
      <c r="H26" s="293" t="e">
        <f>INDEX('Annexure-I'!$I$1:$I$1493,MATCH(C26,'Annexure-I'!$A$1:$A$1493,0))</f>
        <v>#N/A</v>
      </c>
      <c r="I26" s="462" t="e">
        <f>INDEX('CST-Final'!$BP$4:$BP$490,MATCH(C26,'CST-Final'!$B$4:$B$490,0))</f>
        <v>#N/A</v>
      </c>
      <c r="J26" s="462" t="e">
        <f>INDEX('CST-Final'!$BV$4:$BV$490,MATCH(C26,'CST-Final'!$B$4:$B$490,0))</f>
        <v>#N/A</v>
      </c>
      <c r="K26" s="293">
        <v>2022</v>
      </c>
      <c r="L26" s="393" t="e">
        <f>INDEX('CST-Final'!$BY$4:$BY$490,MATCH(C26,'CST-Final'!$B$4:$B$490,0))</f>
        <v>#N/A</v>
      </c>
      <c r="M26" s="457" t="e">
        <f t="shared" si="0"/>
        <v>#N/A</v>
      </c>
      <c r="N26" s="458" t="e">
        <f>(((J26/(INDEX('CST-Final'!$BK$4:$BK$490,MATCH(C26,'CST-Final'!$B$4:$B$490,0))*E26))^(1/M26))-1)</f>
        <v>#N/A</v>
      </c>
      <c r="O26" s="394"/>
      <c r="R26" s="396"/>
    </row>
    <row r="27" spans="2:18" s="395" customFormat="1" ht="29.25" customHeight="1" x14ac:dyDescent="0.25">
      <c r="B27" s="293">
        <v>22</v>
      </c>
      <c r="C27" s="430">
        <v>299</v>
      </c>
      <c r="D27" s="293" t="e">
        <f>CONCATENATE(INDEX('CST-Final'!$C$4:$C$490,MATCH(C27,'CST-Final'!$B$4:$B$490,0)),"; ",INDEX('CST-Final'!$D$4:$D$490,MATCH(C27,'CST-Final'!$B$4:$B$490,0)))</f>
        <v>#N/A</v>
      </c>
      <c r="E27" s="293" t="e">
        <f>INDEX('CST-Final'!$F$4:$F$490,MATCH(C27,'CST-Final'!$B$4:$B$490,0))</f>
        <v>#N/A</v>
      </c>
      <c r="F27" s="293" t="e">
        <f>CONCATENATE(INDEX('CST-Final'!$BL$4:$BL$490,MATCH(C27,'CST-Final'!$B$4:$B$490,0)),IF(ISTEXT(INDEX('CST-Final'!$BM$4:$BM$490,MATCH(C27,'CST-Final'!$B$4:$B$490,0))),CONCATENATE(" level ",INDEX('CST-Final'!$BM$4:$BM$490,MATCH(C27,'CST-Final'!$B$4:$B$490,0))),CONCATENATE(" dated ",TEXT(INDEX('CST-Final'!$BM$4:$BM$490,MATCH(C27,'CST-Final'!$B$4:$B$490,0)),"dd.mm.yyyy"))))</f>
        <v>#N/A</v>
      </c>
      <c r="G27" s="462" t="e">
        <f>INDEX('CST-Final'!$BQ$4:$BQ$490,MATCH(C27,'CST-Final'!$B$4:$B$490,0))</f>
        <v>#N/A</v>
      </c>
      <c r="H27" s="293" t="e">
        <f>INDEX('Annexure-I'!$I$1:$I$1493,MATCH(C27,'Annexure-I'!$A$1:$A$1493,0))</f>
        <v>#N/A</v>
      </c>
      <c r="I27" s="462" t="e">
        <f>INDEX('CST-Final'!$BP$4:$BP$490,MATCH(C27,'CST-Final'!$B$4:$B$490,0))</f>
        <v>#N/A</v>
      </c>
      <c r="J27" s="462" t="e">
        <f>INDEX('CST-Final'!$BV$4:$BV$490,MATCH(C27,'CST-Final'!$B$4:$B$490,0))</f>
        <v>#N/A</v>
      </c>
      <c r="K27" s="293">
        <v>2022</v>
      </c>
      <c r="L27" s="393" t="e">
        <f>INDEX('CST-Final'!$BY$4:$BY$490,MATCH(C27,'CST-Final'!$B$4:$B$490,0))</f>
        <v>#N/A</v>
      </c>
      <c r="M27" s="457" t="e">
        <f t="shared" ref="M27:M71" si="1">K27-H27</f>
        <v>#N/A</v>
      </c>
      <c r="N27" s="458" t="e">
        <f>(((J27/(INDEX('CST-Final'!$BK$4:$BK$490,MATCH(C27,'CST-Final'!$B$4:$B$490,0))*E27))^(1/M27))-1)</f>
        <v>#N/A</v>
      </c>
      <c r="O27" s="394"/>
      <c r="R27" s="396"/>
    </row>
    <row r="28" spans="2:18" s="395" customFormat="1" ht="29.25" customHeight="1" x14ac:dyDescent="0.25">
      <c r="B28" s="293">
        <v>23</v>
      </c>
      <c r="C28" s="430">
        <v>300</v>
      </c>
      <c r="D28" s="293" t="e">
        <f>CONCATENATE(INDEX('CST-Final'!$C$4:$C$490,MATCH(C28,'CST-Final'!$B$4:$B$490,0)),"; ",INDEX('CST-Final'!$D$4:$D$490,MATCH(C28,'CST-Final'!$B$4:$B$490,0)))</f>
        <v>#N/A</v>
      </c>
      <c r="E28" s="293" t="e">
        <f>INDEX('CST-Final'!$F$4:$F$490,MATCH(C28,'CST-Final'!$B$4:$B$490,0))</f>
        <v>#N/A</v>
      </c>
      <c r="F28" s="293" t="e">
        <f>CONCATENATE(INDEX('CST-Final'!$BL$4:$BL$490,MATCH(C28,'CST-Final'!$B$4:$B$490,0)),IF(ISTEXT(INDEX('CST-Final'!$BM$4:$BM$490,MATCH(C28,'CST-Final'!$B$4:$B$490,0))),CONCATENATE(" level ",INDEX('CST-Final'!$BM$4:$BM$490,MATCH(C28,'CST-Final'!$B$4:$B$490,0))),CONCATENATE(" dated ",TEXT(INDEX('CST-Final'!$BM$4:$BM$490,MATCH(C28,'CST-Final'!$B$4:$B$490,0)),"dd.mm.yyyy"))))</f>
        <v>#N/A</v>
      </c>
      <c r="G28" s="462" t="e">
        <f>INDEX('CST-Final'!$BQ$4:$BQ$490,MATCH(C28,'CST-Final'!$B$4:$B$490,0))</f>
        <v>#N/A</v>
      </c>
      <c r="H28" s="293" t="e">
        <f>INDEX('Annexure-I'!$I$1:$I$1493,MATCH(C28,'Annexure-I'!$A$1:$A$1493,0))</f>
        <v>#N/A</v>
      </c>
      <c r="I28" s="462" t="e">
        <f>INDEX('CST-Final'!$BP$4:$BP$490,MATCH(C28,'CST-Final'!$B$4:$B$490,0))</f>
        <v>#N/A</v>
      </c>
      <c r="J28" s="462" t="e">
        <f>INDEX('CST-Final'!$BV$4:$BV$490,MATCH(C28,'CST-Final'!$B$4:$B$490,0))</f>
        <v>#N/A</v>
      </c>
      <c r="K28" s="293">
        <v>2022</v>
      </c>
      <c r="L28" s="393" t="e">
        <f>INDEX('CST-Final'!$BY$4:$BY$490,MATCH(C28,'CST-Final'!$B$4:$B$490,0))</f>
        <v>#N/A</v>
      </c>
      <c r="M28" s="457" t="e">
        <f t="shared" si="1"/>
        <v>#N/A</v>
      </c>
      <c r="N28" s="458" t="e">
        <f>(((J28/(INDEX('CST-Final'!$BK$4:$BK$490,MATCH(C28,'CST-Final'!$B$4:$B$490,0))*E28))^(1/M28))-1)</f>
        <v>#N/A</v>
      </c>
      <c r="O28" s="394"/>
      <c r="R28" s="396"/>
    </row>
    <row r="29" spans="2:18" s="395" customFormat="1" ht="29.25" customHeight="1" x14ac:dyDescent="0.25">
      <c r="B29" s="293">
        <v>24</v>
      </c>
      <c r="C29" s="430">
        <v>305</v>
      </c>
      <c r="D29" s="293" t="e">
        <f>CONCATENATE(INDEX('CST-Final'!$C$4:$C$490,MATCH(C29,'CST-Final'!$B$4:$B$490,0)),"; ",INDEX('CST-Final'!$D$4:$D$490,MATCH(C29,'CST-Final'!$B$4:$B$490,0)))</f>
        <v>#N/A</v>
      </c>
      <c r="E29" s="293" t="e">
        <f>INDEX('CST-Final'!$F$4:$F$490,MATCH(C29,'CST-Final'!$B$4:$B$490,0))</f>
        <v>#N/A</v>
      </c>
      <c r="F29" s="293" t="e">
        <f>CONCATENATE(INDEX('CST-Final'!$BL$4:$BL$490,MATCH(C29,'CST-Final'!$B$4:$B$490,0)),IF(ISTEXT(INDEX('CST-Final'!$BM$4:$BM$490,MATCH(C29,'CST-Final'!$B$4:$B$490,0))),CONCATENATE(" level ",INDEX('CST-Final'!$BM$4:$BM$490,MATCH(C29,'CST-Final'!$B$4:$B$490,0))),CONCATENATE(" dated ",TEXT(INDEX('CST-Final'!$BM$4:$BM$490,MATCH(C29,'CST-Final'!$B$4:$B$490,0)),"dd.mm.yyyy"))))</f>
        <v>#N/A</v>
      </c>
      <c r="G29" s="462" t="e">
        <f>INDEX('CST-Final'!$BQ$4:$BQ$490,MATCH(C29,'CST-Final'!$B$4:$B$490,0))</f>
        <v>#N/A</v>
      </c>
      <c r="H29" s="293" t="e">
        <f>INDEX('Annexure-I'!$I$1:$I$1493,MATCH(C29,'Annexure-I'!$A$1:$A$1493,0))</f>
        <v>#N/A</v>
      </c>
      <c r="I29" s="462" t="e">
        <f>INDEX('CST-Final'!$BP$4:$BP$490,MATCH(C29,'CST-Final'!$B$4:$B$490,0))</f>
        <v>#N/A</v>
      </c>
      <c r="J29" s="462" t="e">
        <f>INDEX('CST-Final'!$BV$4:$BV$490,MATCH(C29,'CST-Final'!$B$4:$B$490,0))</f>
        <v>#N/A</v>
      </c>
      <c r="K29" s="293">
        <v>2022</v>
      </c>
      <c r="L29" s="393" t="e">
        <f>INDEX('CST-Final'!$BY$4:$BY$490,MATCH(C29,'CST-Final'!$B$4:$B$490,0))</f>
        <v>#N/A</v>
      </c>
      <c r="M29" s="457" t="e">
        <f t="shared" si="1"/>
        <v>#N/A</v>
      </c>
      <c r="N29" s="458" t="e">
        <f>(((J29/(INDEX('CST-Final'!$BK$4:$BK$490,MATCH(C29,'CST-Final'!$B$4:$B$490,0))*E29))^(1/M29))-1)</f>
        <v>#N/A</v>
      </c>
      <c r="O29" s="394"/>
      <c r="R29" s="396"/>
    </row>
    <row r="30" spans="2:18" s="395" customFormat="1" ht="29.25" customHeight="1" x14ac:dyDescent="0.25">
      <c r="B30" s="293">
        <v>25</v>
      </c>
      <c r="C30" s="430">
        <v>309</v>
      </c>
      <c r="D30" s="293" t="e">
        <f>CONCATENATE(INDEX('CST-Final'!$C$4:$C$490,MATCH(C30,'CST-Final'!$B$4:$B$490,0)),"; ",INDEX('CST-Final'!$D$4:$D$490,MATCH(C30,'CST-Final'!$B$4:$B$490,0)))</f>
        <v>#N/A</v>
      </c>
      <c r="E30" s="293" t="e">
        <f>INDEX('CST-Final'!$F$4:$F$490,MATCH(C30,'CST-Final'!$B$4:$B$490,0))</f>
        <v>#N/A</v>
      </c>
      <c r="F30" s="293" t="e">
        <f>CONCATENATE(INDEX('CST-Final'!$BL$4:$BL$490,MATCH(C30,'CST-Final'!$B$4:$B$490,0)),IF(ISTEXT(INDEX('CST-Final'!$BM$4:$BM$490,MATCH(C30,'CST-Final'!$B$4:$B$490,0))),CONCATENATE(" level ",INDEX('CST-Final'!$BM$4:$BM$490,MATCH(C30,'CST-Final'!$B$4:$B$490,0))),CONCATENATE(" dated ",TEXT(INDEX('CST-Final'!$BM$4:$BM$490,MATCH(C30,'CST-Final'!$B$4:$B$490,0)),"dd.mm.yyyy"))))</f>
        <v>#N/A</v>
      </c>
      <c r="G30" s="462" t="e">
        <f>INDEX('CST-Final'!$BQ$4:$BQ$490,MATCH(C30,'CST-Final'!$B$4:$B$490,0))</f>
        <v>#N/A</v>
      </c>
      <c r="H30" s="293" t="e">
        <f>INDEX('Annexure-I'!$I$1:$I$1493,MATCH(C30,'Annexure-I'!$A$1:$A$1493,0))</f>
        <v>#N/A</v>
      </c>
      <c r="I30" s="462" t="e">
        <f>INDEX('CST-Final'!$BP$4:$BP$490,MATCH(C30,'CST-Final'!$B$4:$B$490,0))</f>
        <v>#N/A</v>
      </c>
      <c r="J30" s="462" t="e">
        <f>INDEX('CST-Final'!$BV$4:$BV$490,MATCH(C30,'CST-Final'!$B$4:$B$490,0))</f>
        <v>#N/A</v>
      </c>
      <c r="K30" s="293">
        <v>2022</v>
      </c>
      <c r="L30" s="393" t="e">
        <f>INDEX('CST-Final'!$BY$4:$BY$490,MATCH(C30,'CST-Final'!$B$4:$B$490,0))</f>
        <v>#N/A</v>
      </c>
      <c r="M30" s="457" t="e">
        <f t="shared" si="1"/>
        <v>#N/A</v>
      </c>
      <c r="N30" s="458" t="e">
        <f>(((J30/(INDEX('CST-Final'!$BK$4:$BK$490,MATCH(C30,'CST-Final'!$B$4:$B$490,0))*E30))^(1/M30))-1)</f>
        <v>#N/A</v>
      </c>
      <c r="O30" s="394"/>
      <c r="R30" s="396"/>
    </row>
    <row r="31" spans="2:18" s="395" customFormat="1" ht="29.25" customHeight="1" x14ac:dyDescent="0.25">
      <c r="B31" s="293">
        <v>26</v>
      </c>
      <c r="C31" s="430">
        <v>311</v>
      </c>
      <c r="D31" s="293" t="e">
        <f>CONCATENATE(INDEX('CST-Final'!$C$4:$C$490,MATCH(C31,'CST-Final'!$B$4:$B$490,0)),"; ",INDEX('CST-Final'!$D$4:$D$490,MATCH(C31,'CST-Final'!$B$4:$B$490,0)))</f>
        <v>#N/A</v>
      </c>
      <c r="E31" s="293" t="e">
        <f>INDEX('CST-Final'!$F$4:$F$490,MATCH(C31,'CST-Final'!$B$4:$B$490,0))</f>
        <v>#N/A</v>
      </c>
      <c r="F31" s="293" t="e">
        <f>CONCATENATE(INDEX('CST-Final'!$BL$4:$BL$490,MATCH(C31,'CST-Final'!$B$4:$B$490,0)),IF(ISTEXT(INDEX('CST-Final'!$BM$4:$BM$490,MATCH(C31,'CST-Final'!$B$4:$B$490,0))),CONCATENATE(" level ",INDEX('CST-Final'!$BM$4:$BM$490,MATCH(C31,'CST-Final'!$B$4:$B$490,0))),CONCATENATE(" dated ",TEXT(INDEX('CST-Final'!$BM$4:$BM$490,MATCH(C31,'CST-Final'!$B$4:$B$490,0)),"dd.mm.yyyy"))))</f>
        <v>#N/A</v>
      </c>
      <c r="G31" s="462" t="e">
        <f>INDEX('CST-Final'!$BQ$4:$BQ$490,MATCH(C31,'CST-Final'!$B$4:$B$490,0))</f>
        <v>#N/A</v>
      </c>
      <c r="H31" s="293" t="e">
        <f>INDEX('Annexure-I'!$I$1:$I$1493,MATCH(C31,'Annexure-I'!$A$1:$A$1493,0))</f>
        <v>#N/A</v>
      </c>
      <c r="I31" s="462" t="e">
        <f>INDEX('CST-Final'!$BP$4:$BP$490,MATCH(C31,'CST-Final'!$B$4:$B$490,0))</f>
        <v>#N/A</v>
      </c>
      <c r="J31" s="462" t="e">
        <f>INDEX('CST-Final'!$BV$4:$BV$490,MATCH(C31,'CST-Final'!$B$4:$B$490,0))</f>
        <v>#N/A</v>
      </c>
      <c r="K31" s="293">
        <v>2022</v>
      </c>
      <c r="L31" s="393" t="e">
        <f>INDEX('CST-Final'!$BY$4:$BY$490,MATCH(C31,'CST-Final'!$B$4:$B$490,0))</f>
        <v>#N/A</v>
      </c>
      <c r="M31" s="457" t="e">
        <f t="shared" si="1"/>
        <v>#N/A</v>
      </c>
      <c r="N31" s="458" t="e">
        <f>(((J31/(INDEX('CST-Final'!$BK$4:$BK$490,MATCH(C31,'CST-Final'!$B$4:$B$490,0))*E31))^(1/M31))-1)</f>
        <v>#N/A</v>
      </c>
      <c r="O31" s="394"/>
      <c r="R31" s="396"/>
    </row>
    <row r="32" spans="2:18" s="395" customFormat="1" ht="29.25" customHeight="1" x14ac:dyDescent="0.25">
      <c r="B32" s="293">
        <v>27</v>
      </c>
      <c r="C32" s="430">
        <v>315</v>
      </c>
      <c r="D32" s="293" t="e">
        <f>CONCATENATE(INDEX('CST-Final'!$C$4:$C$490,MATCH(C32,'CST-Final'!$B$4:$B$490,0)),"; ",INDEX('CST-Final'!$D$4:$D$490,MATCH(C32,'CST-Final'!$B$4:$B$490,0)))</f>
        <v>#N/A</v>
      </c>
      <c r="E32" s="293" t="e">
        <f>INDEX('CST-Final'!$F$4:$F$490,MATCH(C32,'CST-Final'!$B$4:$B$490,0))</f>
        <v>#N/A</v>
      </c>
      <c r="F32" s="293" t="e">
        <f>CONCATENATE(INDEX('CST-Final'!$BL$4:$BL$490,MATCH(C32,'CST-Final'!$B$4:$B$490,0)),IF(ISTEXT(INDEX('CST-Final'!$BM$4:$BM$490,MATCH(C32,'CST-Final'!$B$4:$B$490,0))),CONCATENATE(" level ",INDEX('CST-Final'!$BM$4:$BM$490,MATCH(C32,'CST-Final'!$B$4:$B$490,0))),CONCATENATE(" dated ",TEXT(INDEX('CST-Final'!$BM$4:$BM$490,MATCH(C32,'CST-Final'!$B$4:$B$490,0)),"dd.mm.yyyy"))))</f>
        <v>#N/A</v>
      </c>
      <c r="G32" s="462" t="e">
        <f>INDEX('CST-Final'!$BQ$4:$BQ$490,MATCH(C32,'CST-Final'!$B$4:$B$490,0))</f>
        <v>#N/A</v>
      </c>
      <c r="H32" s="293" t="e">
        <f>INDEX('Annexure-I'!$I$1:$I$1493,MATCH(C32,'Annexure-I'!$A$1:$A$1493,0))</f>
        <v>#N/A</v>
      </c>
      <c r="I32" s="462" t="e">
        <f>INDEX('CST-Final'!$BP$4:$BP$490,MATCH(C32,'CST-Final'!$B$4:$B$490,0))</f>
        <v>#N/A</v>
      </c>
      <c r="J32" s="462" t="e">
        <f>INDEX('CST-Final'!$BV$4:$BV$490,MATCH(C32,'CST-Final'!$B$4:$B$490,0))</f>
        <v>#N/A</v>
      </c>
      <c r="K32" s="293">
        <v>2022</v>
      </c>
      <c r="L32" s="393" t="e">
        <f>INDEX('CST-Final'!$BY$4:$BY$490,MATCH(C32,'CST-Final'!$B$4:$B$490,0))</f>
        <v>#N/A</v>
      </c>
      <c r="M32" s="457" t="e">
        <f t="shared" si="1"/>
        <v>#N/A</v>
      </c>
      <c r="N32" s="458" t="e">
        <f>(((J32/(INDEX('CST-Final'!$BK$4:$BK$490,MATCH(C32,'CST-Final'!$B$4:$B$490,0))*E32))^(1/M32))-1)</f>
        <v>#N/A</v>
      </c>
      <c r="O32" s="394"/>
      <c r="R32" s="396"/>
    </row>
    <row r="33" spans="2:18" s="395" customFormat="1" ht="29.25" customHeight="1" x14ac:dyDescent="0.25">
      <c r="B33" s="293">
        <v>28</v>
      </c>
      <c r="C33" s="430">
        <v>316</v>
      </c>
      <c r="D33" s="293" t="e">
        <f>CONCATENATE(INDEX('CST-Final'!$C$4:$C$490,MATCH(C33,'CST-Final'!$B$4:$B$490,0)),"; ",INDEX('CST-Final'!$D$4:$D$490,MATCH(C33,'CST-Final'!$B$4:$B$490,0)))</f>
        <v>#N/A</v>
      </c>
      <c r="E33" s="293" t="e">
        <f>INDEX('CST-Final'!$F$4:$F$490,MATCH(C33,'CST-Final'!$B$4:$B$490,0))</f>
        <v>#N/A</v>
      </c>
      <c r="F33" s="293" t="e">
        <f>CONCATENATE(INDEX('CST-Final'!$BL$4:$BL$490,MATCH(C33,'CST-Final'!$B$4:$B$490,0)),IF(ISTEXT(INDEX('CST-Final'!$BM$4:$BM$490,MATCH(C33,'CST-Final'!$B$4:$B$490,0))),CONCATENATE(" level ",INDEX('CST-Final'!$BM$4:$BM$490,MATCH(C33,'CST-Final'!$B$4:$B$490,0))),CONCATENATE(" dated ",TEXT(INDEX('CST-Final'!$BM$4:$BM$490,MATCH(C33,'CST-Final'!$B$4:$B$490,0)),"dd.mm.yyyy"))))</f>
        <v>#N/A</v>
      </c>
      <c r="G33" s="462" t="e">
        <f>INDEX('CST-Final'!$BQ$4:$BQ$490,MATCH(C33,'CST-Final'!$B$4:$B$490,0))</f>
        <v>#N/A</v>
      </c>
      <c r="H33" s="293" t="e">
        <f>INDEX('Annexure-I'!$I$1:$I$1493,MATCH(C33,'Annexure-I'!$A$1:$A$1493,0))</f>
        <v>#N/A</v>
      </c>
      <c r="I33" s="462" t="e">
        <f>INDEX('CST-Final'!$BP$4:$BP$490,MATCH(C33,'CST-Final'!$B$4:$B$490,0))</f>
        <v>#N/A</v>
      </c>
      <c r="J33" s="462" t="e">
        <f>INDEX('CST-Final'!$BV$4:$BV$490,MATCH(C33,'CST-Final'!$B$4:$B$490,0))</f>
        <v>#N/A</v>
      </c>
      <c r="K33" s="293">
        <v>2022</v>
      </c>
      <c r="L33" s="393" t="e">
        <f>INDEX('CST-Final'!$BY$4:$BY$490,MATCH(C33,'CST-Final'!$B$4:$B$490,0))</f>
        <v>#N/A</v>
      </c>
      <c r="M33" s="457" t="e">
        <f t="shared" si="1"/>
        <v>#N/A</v>
      </c>
      <c r="N33" s="458" t="e">
        <f>(((J33/(INDEX('CST-Final'!$BK$4:$BK$490,MATCH(C33,'CST-Final'!$B$4:$B$490,0))*E33))^(1/M33))-1)</f>
        <v>#N/A</v>
      </c>
      <c r="O33" s="394"/>
      <c r="R33" s="396"/>
    </row>
    <row r="34" spans="2:18" s="395" customFormat="1" ht="29.25" customHeight="1" x14ac:dyDescent="0.25">
      <c r="B34" s="293">
        <v>29</v>
      </c>
      <c r="C34" s="430">
        <v>330</v>
      </c>
      <c r="D34" s="293" t="e">
        <f>CONCATENATE(INDEX('CST-Final'!$C$4:$C$490,MATCH(C34,'CST-Final'!$B$4:$B$490,0)),"; ",INDEX('CST-Final'!$D$4:$D$490,MATCH(C34,'CST-Final'!$B$4:$B$490,0)))</f>
        <v>#N/A</v>
      </c>
      <c r="E34" s="293" t="e">
        <f>INDEX('CST-Final'!$F$4:$F$490,MATCH(C34,'CST-Final'!$B$4:$B$490,0))</f>
        <v>#N/A</v>
      </c>
      <c r="F34" s="569" t="s">
        <v>469</v>
      </c>
      <c r="G34" s="462" t="e">
        <f>INDEX('CST-Final'!$BQ$4:$BQ$490,MATCH(C34,'CST-Final'!$B$4:$B$490,0))</f>
        <v>#N/A</v>
      </c>
      <c r="H34" s="293" t="e">
        <f>INDEX('Annexure-I'!$I$1:$I$1493,MATCH(C34,'Annexure-I'!$A$1:$A$1493,0))</f>
        <v>#N/A</v>
      </c>
      <c r="I34" s="462" t="e">
        <f>INDEX('CST-Final'!$BP$4:$BP$490,MATCH(C34,'CST-Final'!$B$4:$B$490,0))</f>
        <v>#N/A</v>
      </c>
      <c r="J34" s="462" t="e">
        <f>INDEX('CST-Final'!$BV$4:$BV$490,MATCH(C34,'CST-Final'!$B$4:$B$490,0))</f>
        <v>#N/A</v>
      </c>
      <c r="K34" s="293">
        <v>2022</v>
      </c>
      <c r="L34" s="393" t="e">
        <f>INDEX('CST-Final'!$BY$4:$BY$490,MATCH(C34,'CST-Final'!$B$4:$B$490,0))</f>
        <v>#N/A</v>
      </c>
      <c r="M34" s="457" t="e">
        <f t="shared" si="1"/>
        <v>#N/A</v>
      </c>
      <c r="N34" s="458" t="e">
        <f>L34</f>
        <v>#N/A</v>
      </c>
      <c r="O34" s="394"/>
      <c r="R34" s="396"/>
    </row>
    <row r="35" spans="2:18" s="395" customFormat="1" ht="29.25" customHeight="1" x14ac:dyDescent="0.25">
      <c r="B35" s="293">
        <v>30</v>
      </c>
      <c r="C35" s="430">
        <v>334</v>
      </c>
      <c r="D35" s="293" t="e">
        <f>CONCATENATE(INDEX('CST-Final'!$C$4:$C$490,MATCH(C35,'CST-Final'!$B$4:$B$490,0)),"; ",INDEX('CST-Final'!$D$4:$D$490,MATCH(C35,'CST-Final'!$B$4:$B$490,0)))</f>
        <v>#N/A</v>
      </c>
      <c r="E35" s="293" t="e">
        <f>INDEX('CST-Final'!$F$4:$F$490,MATCH(C35,'CST-Final'!$B$4:$B$490,0))</f>
        <v>#N/A</v>
      </c>
      <c r="F35" s="293" t="e">
        <f>CONCATENATE(INDEX('CST-Final'!$BL$4:$BL$490,MATCH(C35,'CST-Final'!$B$4:$B$490,0)),IF(ISTEXT(INDEX('CST-Final'!$BM$4:$BM$490,MATCH(C35,'CST-Final'!$B$4:$B$490,0))),CONCATENATE(" level ",INDEX('CST-Final'!$BM$4:$BM$490,MATCH(C35,'CST-Final'!$B$4:$B$490,0))),CONCATENATE(" dated ",TEXT(INDEX('CST-Final'!$BM$4:$BM$490,MATCH(C35,'CST-Final'!$B$4:$B$490,0)),"dd.mm.yyyy"))))</f>
        <v>#N/A</v>
      </c>
      <c r="G35" s="462" t="e">
        <f>INDEX('CST-Final'!$BQ$4:$BQ$490,MATCH(C35,'CST-Final'!$B$4:$B$490,0))</f>
        <v>#N/A</v>
      </c>
      <c r="H35" s="293" t="e">
        <f>INDEX('Annexure-I'!$I$1:$I$1493,MATCH(C35,'Annexure-I'!$A$1:$A$1493,0))</f>
        <v>#N/A</v>
      </c>
      <c r="I35" s="462" t="e">
        <f>INDEX('CST-Final'!$BP$4:$BP$490,MATCH(C35,'CST-Final'!$B$4:$B$490,0))</f>
        <v>#N/A</v>
      </c>
      <c r="J35" s="462" t="e">
        <f>INDEX('CST-Final'!$BV$4:$BV$490,MATCH(C35,'CST-Final'!$B$4:$B$490,0))</f>
        <v>#N/A</v>
      </c>
      <c r="K35" s="293">
        <v>2022</v>
      </c>
      <c r="L35" s="393" t="e">
        <f>INDEX('CST-Final'!$BY$4:$BY$490,MATCH(C35,'CST-Final'!$B$4:$B$490,0))</f>
        <v>#N/A</v>
      </c>
      <c r="M35" s="457" t="e">
        <f t="shared" si="1"/>
        <v>#N/A</v>
      </c>
      <c r="N35" s="458" t="e">
        <f>(((J35/(INDEX('CST-Final'!$BK$4:$BK$490,MATCH(C35,'CST-Final'!$B$4:$B$490,0))*E35))^(1/M35))-1)</f>
        <v>#N/A</v>
      </c>
      <c r="O35" s="394"/>
      <c r="R35" s="396"/>
    </row>
    <row r="36" spans="2:18" s="395" customFormat="1" ht="29.25" customHeight="1" x14ac:dyDescent="0.25">
      <c r="B36" s="293">
        <v>31</v>
      </c>
      <c r="C36" s="430">
        <v>337</v>
      </c>
      <c r="D36" s="293" t="e">
        <f>CONCATENATE(INDEX('CST-Final'!$C$4:$C$490,MATCH(C36,'CST-Final'!$B$4:$B$490,0)),"; ",INDEX('CST-Final'!$D$4:$D$490,MATCH(C36,'CST-Final'!$B$4:$B$490,0)))</f>
        <v>#N/A</v>
      </c>
      <c r="E36" s="293" t="e">
        <f>INDEX('CST-Final'!$F$4:$F$490,MATCH(C36,'CST-Final'!$B$4:$B$490,0))</f>
        <v>#N/A</v>
      </c>
      <c r="F36" s="293" t="e">
        <f>CONCATENATE(INDEX('CST-Final'!$BL$4:$BL$490,MATCH(C36,'CST-Final'!$B$4:$B$490,0)),IF(ISTEXT(INDEX('CST-Final'!$BM$4:$BM$490,MATCH(C36,'CST-Final'!$B$4:$B$490,0))),CONCATENATE(" level ",INDEX('CST-Final'!$BM$4:$BM$490,MATCH(C36,'CST-Final'!$B$4:$B$490,0))),CONCATENATE(" dated ",TEXT(INDEX('CST-Final'!$BM$4:$BM$490,MATCH(C36,'CST-Final'!$B$4:$B$490,0)),"dd.mm.yyyy"))))</f>
        <v>#N/A</v>
      </c>
      <c r="G36" s="462" t="e">
        <f>INDEX('CST-Final'!$BQ$4:$BQ$490,MATCH(C36,'CST-Final'!$B$4:$B$490,0))</f>
        <v>#N/A</v>
      </c>
      <c r="H36" s="293" t="e">
        <f>INDEX('Annexure-I'!$I$1:$I$1493,MATCH(C36,'Annexure-I'!$A$1:$A$1493,0))</f>
        <v>#N/A</v>
      </c>
      <c r="I36" s="462" t="e">
        <f>INDEX('CST-Final'!$BP$4:$BP$490,MATCH(C36,'CST-Final'!$B$4:$B$490,0))</f>
        <v>#N/A</v>
      </c>
      <c r="J36" s="462" t="e">
        <f>INDEX('CST-Final'!$BV$4:$BV$490,MATCH(C36,'CST-Final'!$B$4:$B$490,0))</f>
        <v>#N/A</v>
      </c>
      <c r="K36" s="293">
        <v>2022</v>
      </c>
      <c r="L36" s="393" t="e">
        <f>INDEX('CST-Final'!$BY$4:$BY$490,MATCH(C36,'CST-Final'!$B$4:$B$490,0))</f>
        <v>#N/A</v>
      </c>
      <c r="M36" s="457" t="e">
        <f t="shared" si="1"/>
        <v>#N/A</v>
      </c>
      <c r="N36" s="458" t="e">
        <f>(((J36/(INDEX('CST-Final'!$BK$4:$BK$490,MATCH(C36,'CST-Final'!$B$4:$B$490,0))*E36))^(1/M36))-1)</f>
        <v>#N/A</v>
      </c>
      <c r="O36" s="394"/>
      <c r="R36" s="396"/>
    </row>
    <row r="37" spans="2:18" s="395" customFormat="1" ht="29.25" customHeight="1" x14ac:dyDescent="0.25">
      <c r="B37" s="293">
        <v>32</v>
      </c>
      <c r="C37" s="430">
        <v>343</v>
      </c>
      <c r="D37" s="293" t="e">
        <f>CONCATENATE(INDEX('CST-Final'!$C$4:$C$490,MATCH(C37,'CST-Final'!$B$4:$B$490,0)),"; ",INDEX('CST-Final'!$D$4:$D$490,MATCH(C37,'CST-Final'!$B$4:$B$490,0)))</f>
        <v>#N/A</v>
      </c>
      <c r="E37" s="293" t="e">
        <f>INDEX('CST-Final'!$F$4:$F$490,MATCH(C37,'CST-Final'!$B$4:$B$490,0))</f>
        <v>#N/A</v>
      </c>
      <c r="F37" s="293" t="e">
        <f>CONCATENATE(INDEX('CST-Final'!$BL$4:$BL$490,MATCH(C37,'CST-Final'!$B$4:$B$490,0)),IF(ISTEXT(INDEX('CST-Final'!$BM$4:$BM$490,MATCH(C37,'CST-Final'!$B$4:$B$490,0))),CONCATENATE(" level ",INDEX('CST-Final'!$BM$4:$BM$490,MATCH(C37,'CST-Final'!$B$4:$B$490,0))),CONCATENATE(" dated ",TEXT(INDEX('CST-Final'!$BM$4:$BM$490,MATCH(C37,'CST-Final'!$B$4:$B$490,0)),"dd.mm.yyyy"))))</f>
        <v>#N/A</v>
      </c>
      <c r="G37" s="462" t="e">
        <f>INDEX('CST-Final'!$BQ$4:$BQ$490,MATCH(C37,'CST-Final'!$B$4:$B$490,0))</f>
        <v>#N/A</v>
      </c>
      <c r="H37" s="293" t="e">
        <f>INDEX('Annexure-I'!$I$1:$I$1493,MATCH(C37,'Annexure-I'!$A$1:$A$1493,0))</f>
        <v>#N/A</v>
      </c>
      <c r="I37" s="462" t="e">
        <f>INDEX('CST-Final'!$BP$4:$BP$490,MATCH(C37,'CST-Final'!$B$4:$B$490,0))</f>
        <v>#N/A</v>
      </c>
      <c r="J37" s="462" t="e">
        <f>INDEX('CST-Final'!$BV$4:$BV$490,MATCH(C37,'CST-Final'!$B$4:$B$490,0))</f>
        <v>#N/A</v>
      </c>
      <c r="K37" s="293">
        <v>2022</v>
      </c>
      <c r="L37" s="393" t="e">
        <f>INDEX('CST-Final'!$BY$4:$BY$490,MATCH(C37,'CST-Final'!$B$4:$B$490,0))</f>
        <v>#N/A</v>
      </c>
      <c r="M37" s="457" t="e">
        <f t="shared" si="1"/>
        <v>#N/A</v>
      </c>
      <c r="N37" s="458" t="e">
        <f>(((J37/(INDEX('CST-Final'!$BK$4:$BK$490,MATCH(C37,'CST-Final'!$B$4:$B$490,0))*E37))^(1/M37))-1)</f>
        <v>#N/A</v>
      </c>
      <c r="O37" s="394"/>
      <c r="R37" s="396"/>
    </row>
    <row r="38" spans="2:18" s="395" customFormat="1" ht="29.25" customHeight="1" x14ac:dyDescent="0.25">
      <c r="B38" s="293">
        <v>33</v>
      </c>
      <c r="C38" s="430">
        <v>344</v>
      </c>
      <c r="D38" s="293" t="e">
        <f>CONCATENATE(INDEX('CST-Final'!$C$4:$C$490,MATCH(C38,'CST-Final'!$B$4:$B$490,0)),"; ",INDEX('CST-Final'!$D$4:$D$490,MATCH(C38,'CST-Final'!$B$4:$B$490,0)))</f>
        <v>#N/A</v>
      </c>
      <c r="E38" s="293" t="e">
        <f>INDEX('CST-Final'!$F$4:$F$490,MATCH(C38,'CST-Final'!$B$4:$B$490,0))</f>
        <v>#N/A</v>
      </c>
      <c r="F38" s="293" t="e">
        <f>CONCATENATE(INDEX('CST-Final'!$BL$4:$BL$490,MATCH(C38,'CST-Final'!$B$4:$B$490,0)),IF(ISTEXT(INDEX('CST-Final'!$BM$4:$BM$490,MATCH(C38,'CST-Final'!$B$4:$B$490,0))),CONCATENATE(" level ",INDEX('CST-Final'!$BM$4:$BM$490,MATCH(C38,'CST-Final'!$B$4:$B$490,0))),CONCATENATE(" dated ",TEXT(INDEX('CST-Final'!$BM$4:$BM$490,MATCH(C38,'CST-Final'!$B$4:$B$490,0)),"dd.mm.yyyy"))))</f>
        <v>#N/A</v>
      </c>
      <c r="G38" s="462" t="e">
        <f>INDEX('CST-Final'!$BQ$4:$BQ$490,MATCH(C38,'CST-Final'!$B$4:$B$490,0))</f>
        <v>#N/A</v>
      </c>
      <c r="H38" s="293" t="e">
        <f>INDEX('Annexure-I'!$I$1:$I$1493,MATCH(C38,'Annexure-I'!$A$1:$A$1493,0))</f>
        <v>#N/A</v>
      </c>
      <c r="I38" s="462" t="e">
        <f>INDEX('CST-Final'!$BP$4:$BP$490,MATCH(C38,'CST-Final'!$B$4:$B$490,0))</f>
        <v>#N/A</v>
      </c>
      <c r="J38" s="462" t="e">
        <f>INDEX('CST-Final'!$BV$4:$BV$490,MATCH(C38,'CST-Final'!$B$4:$B$490,0))</f>
        <v>#N/A</v>
      </c>
      <c r="K38" s="293">
        <v>2022</v>
      </c>
      <c r="L38" s="393" t="e">
        <f>INDEX('CST-Final'!$BY$4:$BY$490,MATCH(C38,'CST-Final'!$B$4:$B$490,0))</f>
        <v>#N/A</v>
      </c>
      <c r="M38" s="457" t="e">
        <f t="shared" si="1"/>
        <v>#N/A</v>
      </c>
      <c r="N38" s="458" t="e">
        <f>(((J38/(INDEX('CST-Final'!$BK$4:$BK$490,MATCH(C38,'CST-Final'!$B$4:$B$490,0))*E38))^(1/M38))-1)</f>
        <v>#N/A</v>
      </c>
      <c r="O38" s="394"/>
      <c r="R38" s="396"/>
    </row>
    <row r="39" spans="2:18" s="395" customFormat="1" ht="29.25" customHeight="1" x14ac:dyDescent="0.25">
      <c r="B39" s="293">
        <v>34</v>
      </c>
      <c r="C39" s="430">
        <v>350</v>
      </c>
      <c r="D39" s="293" t="e">
        <f>CONCATENATE(INDEX('CST-Final'!$C$4:$C$490,MATCH(C39,'CST-Final'!$B$4:$B$490,0)),"; ",INDEX('CST-Final'!$D$4:$D$490,MATCH(C39,'CST-Final'!$B$4:$B$490,0)))</f>
        <v>#N/A</v>
      </c>
      <c r="E39" s="293" t="e">
        <f>INDEX('CST-Final'!$F$4:$F$490,MATCH(C39,'CST-Final'!$B$4:$B$490,0))</f>
        <v>#N/A</v>
      </c>
      <c r="F39" s="293" t="e">
        <f>CONCATENATE(INDEX('CST-Final'!$BL$4:$BL$490,MATCH(C39,'CST-Final'!$B$4:$B$490,0)),IF(ISTEXT(INDEX('CST-Final'!$BM$4:$BM$490,MATCH(C39,'CST-Final'!$B$4:$B$490,0))),CONCATENATE(" level ",INDEX('CST-Final'!$BM$4:$BM$490,MATCH(C39,'CST-Final'!$B$4:$B$490,0))),CONCATENATE(" dated ",TEXT(INDEX('CST-Final'!$BM$4:$BM$490,MATCH(C39,'CST-Final'!$B$4:$B$490,0)),"dd.mm.yyyy"))))</f>
        <v>#N/A</v>
      </c>
      <c r="G39" s="462" t="e">
        <f>INDEX('CST-Final'!$BQ$4:$BQ$490,MATCH(C39,'CST-Final'!$B$4:$B$490,0))</f>
        <v>#N/A</v>
      </c>
      <c r="H39" s="293" t="e">
        <f>INDEX('Annexure-I'!$I$1:$I$1493,MATCH(C39,'Annexure-I'!$A$1:$A$1493,0))</f>
        <v>#N/A</v>
      </c>
      <c r="I39" s="462" t="e">
        <f>INDEX('CST-Final'!$BP$4:$BP$490,MATCH(C39,'CST-Final'!$B$4:$B$490,0))</f>
        <v>#N/A</v>
      </c>
      <c r="J39" s="462" t="e">
        <f>INDEX('CST-Final'!$BV$4:$BV$490,MATCH(C39,'CST-Final'!$B$4:$B$490,0))</f>
        <v>#N/A</v>
      </c>
      <c r="K39" s="293">
        <v>2022</v>
      </c>
      <c r="L39" s="393" t="e">
        <f>INDEX('CST-Final'!$BY$4:$BY$490,MATCH(C39,'CST-Final'!$B$4:$B$490,0))</f>
        <v>#N/A</v>
      </c>
      <c r="M39" s="457" t="e">
        <f t="shared" si="1"/>
        <v>#N/A</v>
      </c>
      <c r="N39" s="458" t="e">
        <f>(((J39/(INDEX('CST-Final'!$BK$4:$BK$490,MATCH(C39,'CST-Final'!$B$4:$B$490,0))*E39))^(1/M39))-1)</f>
        <v>#N/A</v>
      </c>
      <c r="O39" s="394"/>
      <c r="R39" s="396"/>
    </row>
    <row r="40" spans="2:18" s="395" customFormat="1" ht="29.25" customHeight="1" x14ac:dyDescent="0.25">
      <c r="B40" s="293">
        <v>35</v>
      </c>
      <c r="C40" s="430">
        <v>354</v>
      </c>
      <c r="D40" s="293" t="e">
        <f>CONCATENATE(INDEX('CST-Final'!$C$4:$C$490,MATCH(C40,'CST-Final'!$B$4:$B$490,0)),"; ",INDEX('CST-Final'!$D$4:$D$490,MATCH(C40,'CST-Final'!$B$4:$B$490,0)))</f>
        <v>#N/A</v>
      </c>
      <c r="E40" s="293" t="e">
        <f>INDEX('CST-Final'!$F$4:$F$490,MATCH(C40,'CST-Final'!$B$4:$B$490,0))</f>
        <v>#N/A</v>
      </c>
      <c r="F40" s="293" t="e">
        <f>CONCATENATE(INDEX('CST-Final'!$BL$4:$BL$490,MATCH(C40,'CST-Final'!$B$4:$B$490,0)),IF(ISTEXT(INDEX('CST-Final'!$BM$4:$BM$490,MATCH(C40,'CST-Final'!$B$4:$B$490,0))),CONCATENATE(" level ",INDEX('CST-Final'!$BM$4:$BM$490,MATCH(C40,'CST-Final'!$B$4:$B$490,0))),CONCATENATE(" dated ",TEXT(INDEX('CST-Final'!$BM$4:$BM$490,MATCH(C40,'CST-Final'!$B$4:$B$490,0)),"dd.mm.yyyy"))))</f>
        <v>#N/A</v>
      </c>
      <c r="G40" s="462" t="e">
        <f>INDEX('CST-Final'!$BQ$4:$BQ$490,MATCH(C40,'CST-Final'!$B$4:$B$490,0))</f>
        <v>#N/A</v>
      </c>
      <c r="H40" s="293" t="e">
        <f>INDEX('Annexure-I'!$I$1:$I$1493,MATCH(C40,'Annexure-I'!$A$1:$A$1493,0))</f>
        <v>#N/A</v>
      </c>
      <c r="I40" s="462" t="e">
        <f>INDEX('CST-Final'!$BP$4:$BP$490,MATCH(C40,'CST-Final'!$B$4:$B$490,0))</f>
        <v>#N/A</v>
      </c>
      <c r="J40" s="462" t="e">
        <f>INDEX('CST-Final'!$BV$4:$BV$490,MATCH(C40,'CST-Final'!$B$4:$B$490,0))</f>
        <v>#N/A</v>
      </c>
      <c r="K40" s="293">
        <v>2022</v>
      </c>
      <c r="L40" s="393" t="e">
        <f>INDEX('CST-Final'!$BY$4:$BY$490,MATCH(C40,'CST-Final'!$B$4:$B$490,0))</f>
        <v>#N/A</v>
      </c>
      <c r="M40" s="457" t="e">
        <f t="shared" si="1"/>
        <v>#N/A</v>
      </c>
      <c r="N40" s="458" t="e">
        <f>(((J40/(INDEX('CST-Final'!$BK$4:$BK$490,MATCH(C40,'CST-Final'!$B$4:$B$490,0))*E40))^(1/M40))-1)</f>
        <v>#N/A</v>
      </c>
      <c r="O40" s="394"/>
      <c r="R40" s="396"/>
    </row>
    <row r="41" spans="2:18" s="395" customFormat="1" ht="29.25" customHeight="1" x14ac:dyDescent="0.25">
      <c r="B41" s="293">
        <v>36</v>
      </c>
      <c r="C41" s="430">
        <v>360</v>
      </c>
      <c r="D41" s="293" t="e">
        <f>CONCATENATE(INDEX('CST-Final'!$C$4:$C$490,MATCH(C41,'CST-Final'!$B$4:$B$490,0)),"; ",INDEX('CST-Final'!$D$4:$D$490,MATCH(C41,'CST-Final'!$B$4:$B$490,0)))</f>
        <v>#N/A</v>
      </c>
      <c r="E41" s="293" t="e">
        <f>INDEX('CST-Final'!$F$4:$F$490,MATCH(C41,'CST-Final'!$B$4:$B$490,0))</f>
        <v>#N/A</v>
      </c>
      <c r="F41" s="293" t="e">
        <f>CONCATENATE(INDEX('CST-Final'!$BL$4:$BL$490,MATCH(C41,'CST-Final'!$B$4:$B$490,0)),IF(ISTEXT(INDEX('CST-Final'!$BM$4:$BM$490,MATCH(C41,'CST-Final'!$B$4:$B$490,0))),CONCATENATE(" level ",INDEX('CST-Final'!$BM$4:$BM$490,MATCH(C41,'CST-Final'!$B$4:$B$490,0))),CONCATENATE(" dated ",TEXT(INDEX('CST-Final'!$BM$4:$BM$490,MATCH(C41,'CST-Final'!$B$4:$B$490,0)),"dd.mm.yyyy"))))</f>
        <v>#N/A</v>
      </c>
      <c r="G41" s="462" t="e">
        <f>INDEX('CST-Final'!$BQ$4:$BQ$490,MATCH(C41,'CST-Final'!$B$4:$B$490,0))</f>
        <v>#N/A</v>
      </c>
      <c r="H41" s="293" t="e">
        <f>INDEX('Annexure-I'!$I$1:$I$1493,MATCH(C41,'Annexure-I'!$A$1:$A$1493,0))</f>
        <v>#N/A</v>
      </c>
      <c r="I41" s="462" t="e">
        <f>INDEX('CST-Final'!$BP$4:$BP$490,MATCH(C41,'CST-Final'!$B$4:$B$490,0))</f>
        <v>#N/A</v>
      </c>
      <c r="J41" s="462" t="e">
        <f>INDEX('CST-Final'!$BV$4:$BV$490,MATCH(C41,'CST-Final'!$B$4:$B$490,0))</f>
        <v>#N/A</v>
      </c>
      <c r="K41" s="293">
        <v>2022</v>
      </c>
      <c r="L41" s="393" t="e">
        <f>INDEX('CST-Final'!$BY$4:$BY$490,MATCH(C41,'CST-Final'!$B$4:$B$490,0))</f>
        <v>#N/A</v>
      </c>
      <c r="M41" s="457" t="e">
        <f t="shared" si="1"/>
        <v>#N/A</v>
      </c>
      <c r="N41" s="458" t="e">
        <f>(((J41/(INDEX('CST-Final'!$BK$4:$BK$490,MATCH(C41,'CST-Final'!$B$4:$B$490,0))*E41))^(1/M41))-1)</f>
        <v>#N/A</v>
      </c>
      <c r="O41" s="394"/>
      <c r="R41" s="396"/>
    </row>
    <row r="42" spans="2:18" s="395" customFormat="1" ht="29.25" customHeight="1" x14ac:dyDescent="0.25">
      <c r="B42" s="293">
        <v>37</v>
      </c>
      <c r="C42" s="430">
        <v>368</v>
      </c>
      <c r="D42" s="293" t="e">
        <f>CONCATENATE(INDEX('CST-Final'!$C$4:$C$490,MATCH(C42,'CST-Final'!$B$4:$B$490,0)),"; ",INDEX('CST-Final'!$D$4:$D$490,MATCH(C42,'CST-Final'!$B$4:$B$490,0)))</f>
        <v>#N/A</v>
      </c>
      <c r="E42" s="293" t="e">
        <f>INDEX('CST-Final'!$F$4:$F$490,MATCH(C42,'CST-Final'!$B$4:$B$490,0))</f>
        <v>#N/A</v>
      </c>
      <c r="F42" s="293" t="e">
        <f>CONCATENATE(INDEX('CST-Final'!$BL$4:$BL$490,MATCH(C42,'CST-Final'!$B$4:$B$490,0)),IF(ISTEXT(INDEX('CST-Final'!$BM$4:$BM$490,MATCH(C42,'CST-Final'!$B$4:$B$490,0))),CONCATENATE(" level ",INDEX('CST-Final'!$BM$4:$BM$490,MATCH(C42,'CST-Final'!$B$4:$B$490,0))),CONCATENATE(" dated ",TEXT(INDEX('CST-Final'!$BM$4:$BM$490,MATCH(C42,'CST-Final'!$B$4:$B$490,0)),"dd.mm.yyyy"))))</f>
        <v>#N/A</v>
      </c>
      <c r="G42" s="462" t="e">
        <f>INDEX('CST-Final'!$BQ$4:$BQ$490,MATCH(C42,'CST-Final'!$B$4:$B$490,0))</f>
        <v>#N/A</v>
      </c>
      <c r="H42" s="293" t="e">
        <f>INDEX('Annexure-I'!$I$1:$I$1493,MATCH(C42,'Annexure-I'!$A$1:$A$1493,0))</f>
        <v>#N/A</v>
      </c>
      <c r="I42" s="462" t="e">
        <f>INDEX('CST-Final'!$BP$4:$BP$490,MATCH(C42,'CST-Final'!$B$4:$B$490,0))</f>
        <v>#N/A</v>
      </c>
      <c r="J42" s="462" t="e">
        <f>INDEX('CST-Final'!$BV$4:$BV$490,MATCH(C42,'CST-Final'!$B$4:$B$490,0))</f>
        <v>#N/A</v>
      </c>
      <c r="K42" s="293">
        <v>2022</v>
      </c>
      <c r="L42" s="393" t="e">
        <f>INDEX('CST-Final'!$BY$4:$BY$490,MATCH(C42,'CST-Final'!$B$4:$B$490,0))</f>
        <v>#N/A</v>
      </c>
      <c r="M42" s="457" t="e">
        <f t="shared" si="1"/>
        <v>#N/A</v>
      </c>
      <c r="N42" s="458" t="e">
        <f>(((J42/(INDEX('CST-Final'!$BK$4:$BK$490,MATCH(C42,'CST-Final'!$B$4:$B$490,0))*E42))^(1/M42))-1)</f>
        <v>#N/A</v>
      </c>
      <c r="O42" s="394"/>
      <c r="R42" s="396"/>
    </row>
    <row r="43" spans="2:18" s="395" customFormat="1" ht="29.25" customHeight="1" x14ac:dyDescent="0.25">
      <c r="B43" s="293">
        <v>38</v>
      </c>
      <c r="C43" s="430">
        <v>371</v>
      </c>
      <c r="D43" s="293" t="e">
        <f>CONCATENATE(INDEX('CST-Final'!$C$4:$C$490,MATCH(C43,'CST-Final'!$B$4:$B$490,0)),"; ",INDEX('CST-Final'!$D$4:$D$490,MATCH(C43,'CST-Final'!$B$4:$B$490,0)))</f>
        <v>#N/A</v>
      </c>
      <c r="E43" s="293" t="e">
        <f>INDEX('CST-Final'!$F$4:$F$490,MATCH(C43,'CST-Final'!$B$4:$B$490,0))</f>
        <v>#N/A</v>
      </c>
      <c r="F43" s="293" t="e">
        <f>CONCATENATE(INDEX('CST-Final'!$BL$4:$BL$490,MATCH(C43,'CST-Final'!$B$4:$B$490,0)),IF(ISTEXT(INDEX('CST-Final'!$BM$4:$BM$490,MATCH(C43,'CST-Final'!$B$4:$B$490,0))),CONCATENATE(" level ",INDEX('CST-Final'!$BM$4:$BM$490,MATCH(C43,'CST-Final'!$B$4:$B$490,0))),CONCATENATE(" dated ",TEXT(INDEX('CST-Final'!$BM$4:$BM$490,MATCH(C43,'CST-Final'!$B$4:$B$490,0)),"dd.mm.yyyy"))))</f>
        <v>#N/A</v>
      </c>
      <c r="G43" s="462" t="e">
        <f>INDEX('CST-Final'!$BQ$4:$BQ$490,MATCH(C43,'CST-Final'!$B$4:$B$490,0))</f>
        <v>#N/A</v>
      </c>
      <c r="H43" s="293" t="e">
        <f>INDEX('Annexure-I'!$I$1:$I$1493,MATCH(C43,'Annexure-I'!$A$1:$A$1493,0))</f>
        <v>#N/A</v>
      </c>
      <c r="I43" s="462" t="e">
        <f>INDEX('CST-Final'!$BP$4:$BP$490,MATCH(C43,'CST-Final'!$B$4:$B$490,0))</f>
        <v>#N/A</v>
      </c>
      <c r="J43" s="462" t="e">
        <f>INDEX('CST-Final'!$BV$4:$BV$490,MATCH(C43,'CST-Final'!$B$4:$B$490,0))</f>
        <v>#N/A</v>
      </c>
      <c r="K43" s="293">
        <v>2022</v>
      </c>
      <c r="L43" s="393" t="e">
        <f>INDEX('CST-Final'!$BY$4:$BY$490,MATCH(C43,'CST-Final'!$B$4:$B$490,0))</f>
        <v>#N/A</v>
      </c>
      <c r="M43" s="457" t="e">
        <f t="shared" si="1"/>
        <v>#N/A</v>
      </c>
      <c r="N43" s="458" t="e">
        <f>(((J43/(INDEX('CST-Final'!$BK$4:$BK$490,MATCH(C43,'CST-Final'!$B$4:$B$490,0))*E43))^(1/M43))-1)</f>
        <v>#N/A</v>
      </c>
      <c r="O43" s="394"/>
      <c r="R43" s="396"/>
    </row>
    <row r="44" spans="2:18" s="395" customFormat="1" ht="29.25" customHeight="1" x14ac:dyDescent="0.25">
      <c r="B44" s="293">
        <v>39</v>
      </c>
      <c r="C44" s="430">
        <v>372</v>
      </c>
      <c r="D44" s="293" t="e">
        <f>CONCATENATE(INDEX('CST-Final'!$C$4:$C$490,MATCH(C44,'CST-Final'!$B$4:$B$490,0)),"; ",INDEX('CST-Final'!$D$4:$D$490,MATCH(C44,'CST-Final'!$B$4:$B$490,0)))</f>
        <v>#N/A</v>
      </c>
      <c r="E44" s="293" t="e">
        <f>INDEX('CST-Final'!$F$4:$F$490,MATCH(C44,'CST-Final'!$B$4:$B$490,0))</f>
        <v>#N/A</v>
      </c>
      <c r="F44" s="569" t="s">
        <v>469</v>
      </c>
      <c r="G44" s="462" t="e">
        <f>INDEX('CST-Final'!$BQ$4:$BQ$490,MATCH(C44,'CST-Final'!$B$4:$B$490,0))</f>
        <v>#N/A</v>
      </c>
      <c r="H44" s="293" t="e">
        <f>INDEX('Annexure-I'!$I$1:$I$1493,MATCH(C44,'Annexure-I'!$A$1:$A$1493,0))</f>
        <v>#N/A</v>
      </c>
      <c r="I44" s="462" t="e">
        <f>INDEX('CST-Final'!$BP$4:$BP$490,MATCH(C44,'CST-Final'!$B$4:$B$490,0))</f>
        <v>#N/A</v>
      </c>
      <c r="J44" s="462" t="e">
        <f>INDEX('CST-Final'!$BV$4:$BV$490,MATCH(C44,'CST-Final'!$B$4:$B$490,0))</f>
        <v>#N/A</v>
      </c>
      <c r="K44" s="293">
        <v>2022</v>
      </c>
      <c r="L44" s="393" t="e">
        <f>INDEX('CST-Final'!$BY$4:$BY$490,MATCH(C44,'CST-Final'!$B$4:$B$490,0))</f>
        <v>#N/A</v>
      </c>
      <c r="M44" s="457" t="e">
        <f t="shared" si="1"/>
        <v>#N/A</v>
      </c>
      <c r="N44" s="458" t="e">
        <f>L44</f>
        <v>#N/A</v>
      </c>
      <c r="O44" s="394"/>
      <c r="R44" s="396"/>
    </row>
    <row r="45" spans="2:18" s="395" customFormat="1" ht="29.25" customHeight="1" x14ac:dyDescent="0.25">
      <c r="B45" s="293">
        <v>40</v>
      </c>
      <c r="C45" s="430">
        <v>373</v>
      </c>
      <c r="D45" s="293" t="e">
        <f>CONCATENATE(INDEX('CST-Final'!$C$4:$C$490,MATCH(C45,'CST-Final'!$B$4:$B$490,0)),"; ",INDEX('CST-Final'!$D$4:$D$490,MATCH(C45,'CST-Final'!$B$4:$B$490,0)))</f>
        <v>#N/A</v>
      </c>
      <c r="E45" s="293" t="e">
        <f>INDEX('CST-Final'!$F$4:$F$490,MATCH(C45,'CST-Final'!$B$4:$B$490,0))</f>
        <v>#N/A</v>
      </c>
      <c r="F45" s="293" t="e">
        <f>CONCATENATE(INDEX('CST-Final'!$BL$4:$BL$490,MATCH(C45,'CST-Final'!$B$4:$B$490,0)),IF(ISTEXT(INDEX('CST-Final'!$BM$4:$BM$490,MATCH(C45,'CST-Final'!$B$4:$B$490,0))),CONCATENATE(" level ",INDEX('CST-Final'!$BM$4:$BM$490,MATCH(C45,'CST-Final'!$B$4:$B$490,0))),CONCATENATE(" dated ",TEXT(INDEX('CST-Final'!$BM$4:$BM$490,MATCH(C45,'CST-Final'!$B$4:$B$490,0)),"dd.mm.yyyy"))))</f>
        <v>#N/A</v>
      </c>
      <c r="G45" s="462" t="e">
        <f>INDEX('CST-Final'!$BQ$4:$BQ$490,MATCH(C45,'CST-Final'!$B$4:$B$490,0))</f>
        <v>#N/A</v>
      </c>
      <c r="H45" s="293" t="e">
        <f>INDEX('Annexure-I'!$I$1:$I$1493,MATCH(C45,'Annexure-I'!$A$1:$A$1493,0))</f>
        <v>#N/A</v>
      </c>
      <c r="I45" s="462" t="e">
        <f>INDEX('CST-Final'!$BP$4:$BP$490,MATCH(C45,'CST-Final'!$B$4:$B$490,0))</f>
        <v>#N/A</v>
      </c>
      <c r="J45" s="462" t="e">
        <f>INDEX('CST-Final'!$BV$4:$BV$490,MATCH(C45,'CST-Final'!$B$4:$B$490,0))</f>
        <v>#N/A</v>
      </c>
      <c r="K45" s="293">
        <v>2022</v>
      </c>
      <c r="L45" s="393" t="e">
        <f>INDEX('CST-Final'!$BY$4:$BY$490,MATCH(C45,'CST-Final'!$B$4:$B$490,0))</f>
        <v>#N/A</v>
      </c>
      <c r="M45" s="457" t="e">
        <f t="shared" si="1"/>
        <v>#N/A</v>
      </c>
      <c r="N45" s="458" t="e">
        <f>(((J45/(INDEX('CST-Final'!$BK$4:$BK$490,MATCH(C45,'CST-Final'!$B$4:$B$490,0))*E45))^(1/M45))-1)</f>
        <v>#N/A</v>
      </c>
      <c r="O45" s="394"/>
      <c r="R45" s="396"/>
    </row>
    <row r="46" spans="2:18" s="395" customFormat="1" ht="29.25" customHeight="1" x14ac:dyDescent="0.25">
      <c r="B46" s="293">
        <v>41</v>
      </c>
      <c r="C46" s="430">
        <v>375</v>
      </c>
      <c r="D46" s="293" t="e">
        <f>CONCATENATE(INDEX('CST-Final'!$C$4:$C$490,MATCH(C46,'CST-Final'!$B$4:$B$490,0)),"; ",INDEX('CST-Final'!$D$4:$D$490,MATCH(C46,'CST-Final'!$B$4:$B$490,0)))</f>
        <v>#N/A</v>
      </c>
      <c r="E46" s="293" t="e">
        <f>INDEX('CST-Final'!$F$4:$F$490,MATCH(C46,'CST-Final'!$B$4:$B$490,0))</f>
        <v>#N/A</v>
      </c>
      <c r="F46" s="293" t="e">
        <f>CONCATENATE(INDEX('CST-Final'!$BL$4:$BL$490,MATCH(C46,'CST-Final'!$B$4:$B$490,0)),IF(ISTEXT(INDEX('CST-Final'!$BM$4:$BM$490,MATCH(C46,'CST-Final'!$B$4:$B$490,0))),CONCATENATE(" level ",INDEX('CST-Final'!$BM$4:$BM$490,MATCH(C46,'CST-Final'!$B$4:$B$490,0))),CONCATENATE(" dated ",TEXT(INDEX('CST-Final'!$BM$4:$BM$490,MATCH(C46,'CST-Final'!$B$4:$B$490,0)),"dd.mm.yyyy"))))</f>
        <v>#N/A</v>
      </c>
      <c r="G46" s="462" t="e">
        <f>INDEX('CST-Final'!$BQ$4:$BQ$490,MATCH(C46,'CST-Final'!$B$4:$B$490,0))</f>
        <v>#N/A</v>
      </c>
      <c r="H46" s="293" t="e">
        <f>INDEX('Annexure-I'!$I$1:$I$1493,MATCH(C46,'Annexure-I'!$A$1:$A$1493,0))</f>
        <v>#N/A</v>
      </c>
      <c r="I46" s="462" t="e">
        <f>INDEX('CST-Final'!$BP$4:$BP$490,MATCH(C46,'CST-Final'!$B$4:$B$490,0))</f>
        <v>#N/A</v>
      </c>
      <c r="J46" s="462" t="e">
        <f>INDEX('CST-Final'!$BV$4:$BV$490,MATCH(C46,'CST-Final'!$B$4:$B$490,0))</f>
        <v>#N/A</v>
      </c>
      <c r="K46" s="293">
        <v>2022</v>
      </c>
      <c r="L46" s="393" t="e">
        <f>INDEX('CST-Final'!$BY$4:$BY$490,MATCH(C46,'CST-Final'!$B$4:$B$490,0))</f>
        <v>#N/A</v>
      </c>
      <c r="M46" s="457" t="e">
        <f t="shared" si="1"/>
        <v>#N/A</v>
      </c>
      <c r="N46" s="458" t="e">
        <f>(((J46/(INDEX('CST-Final'!$BK$4:$BK$490,MATCH(C46,'CST-Final'!$B$4:$B$490,0))*E46))^(1/M46))-1)</f>
        <v>#N/A</v>
      </c>
      <c r="O46" s="394"/>
      <c r="R46" s="396"/>
    </row>
    <row r="47" spans="2:18" s="395" customFormat="1" ht="29.25" customHeight="1" x14ac:dyDescent="0.25">
      <c r="B47" s="293">
        <v>42</v>
      </c>
      <c r="C47" s="430">
        <v>379</v>
      </c>
      <c r="D47" s="293" t="e">
        <f>CONCATENATE(INDEX('CST-Final'!$C$4:$C$490,MATCH(C47,'CST-Final'!$B$4:$B$490,0)),"; ",INDEX('CST-Final'!$D$4:$D$490,MATCH(C47,'CST-Final'!$B$4:$B$490,0)))</f>
        <v>#N/A</v>
      </c>
      <c r="E47" s="293" t="e">
        <f>INDEX('CST-Final'!$F$4:$F$490,MATCH(C47,'CST-Final'!$B$4:$B$490,0))</f>
        <v>#N/A</v>
      </c>
      <c r="F47" s="293" t="e">
        <f>CONCATENATE(INDEX('CST-Final'!$BL$4:$BL$490,MATCH(C47,'CST-Final'!$B$4:$B$490,0)),IF(ISTEXT(INDEX('CST-Final'!$BM$4:$BM$490,MATCH(C47,'CST-Final'!$B$4:$B$490,0))),CONCATENATE(" level ",INDEX('CST-Final'!$BM$4:$BM$490,MATCH(C47,'CST-Final'!$B$4:$B$490,0))),CONCATENATE(" dated ",TEXT(INDEX('CST-Final'!$BM$4:$BM$490,MATCH(C47,'CST-Final'!$B$4:$B$490,0)),"dd.mm.yyyy"))))</f>
        <v>#N/A</v>
      </c>
      <c r="G47" s="462" t="e">
        <f>INDEX('CST-Final'!$BQ$4:$BQ$490,MATCH(C47,'CST-Final'!$B$4:$B$490,0))</f>
        <v>#N/A</v>
      </c>
      <c r="H47" s="293" t="e">
        <f>INDEX('Annexure-I'!$I$1:$I$1493,MATCH(C47,'Annexure-I'!$A$1:$A$1493,0))</f>
        <v>#N/A</v>
      </c>
      <c r="I47" s="462" t="e">
        <f>INDEX('CST-Final'!$BP$4:$BP$490,MATCH(C47,'CST-Final'!$B$4:$B$490,0))</f>
        <v>#N/A</v>
      </c>
      <c r="J47" s="462" t="e">
        <f>INDEX('CST-Final'!$BV$4:$BV$490,MATCH(C47,'CST-Final'!$B$4:$B$490,0))</f>
        <v>#N/A</v>
      </c>
      <c r="K47" s="293">
        <v>2022</v>
      </c>
      <c r="L47" s="393" t="e">
        <f>INDEX('CST-Final'!$BY$4:$BY$490,MATCH(C47,'CST-Final'!$B$4:$B$490,0))</f>
        <v>#N/A</v>
      </c>
      <c r="M47" s="457" t="e">
        <f t="shared" si="1"/>
        <v>#N/A</v>
      </c>
      <c r="N47" s="458" t="e">
        <f>(((J47/(INDEX('CST-Final'!$BK$4:$BK$490,MATCH(C47,'CST-Final'!$B$4:$B$490,0))*E47))^(1/M47))-1)</f>
        <v>#N/A</v>
      </c>
      <c r="O47" s="394"/>
      <c r="R47" s="396"/>
    </row>
    <row r="48" spans="2:18" s="395" customFormat="1" ht="29.25" customHeight="1" x14ac:dyDescent="0.25">
      <c r="B48" s="293">
        <v>43</v>
      </c>
      <c r="C48" s="430">
        <v>380</v>
      </c>
      <c r="D48" s="293" t="e">
        <f>CONCATENATE(INDEX('CST-Final'!$C$4:$C$490,MATCH(C48,'CST-Final'!$B$4:$B$490,0)),"; ",INDEX('CST-Final'!$D$4:$D$490,MATCH(C48,'CST-Final'!$B$4:$B$490,0)))</f>
        <v>#N/A</v>
      </c>
      <c r="E48" s="293" t="e">
        <f>INDEX('CST-Final'!$F$4:$F$490,MATCH(C48,'CST-Final'!$B$4:$B$490,0))</f>
        <v>#N/A</v>
      </c>
      <c r="F48" s="293" t="e">
        <f>CONCATENATE(INDEX('CST-Final'!$BL$4:$BL$490,MATCH(C48,'CST-Final'!$B$4:$B$490,0)),IF(ISTEXT(INDEX('CST-Final'!$BM$4:$BM$490,MATCH(C48,'CST-Final'!$B$4:$B$490,0))),CONCATENATE(" level ",INDEX('CST-Final'!$BM$4:$BM$490,MATCH(C48,'CST-Final'!$B$4:$B$490,0))),CONCATENATE(" dated ",TEXT(INDEX('CST-Final'!$BM$4:$BM$490,MATCH(C48,'CST-Final'!$B$4:$B$490,0)),"dd.mm.yyyy"))))</f>
        <v>#N/A</v>
      </c>
      <c r="G48" s="462" t="e">
        <f>INDEX('CST-Final'!$BQ$4:$BQ$490,MATCH(C48,'CST-Final'!$B$4:$B$490,0))</f>
        <v>#N/A</v>
      </c>
      <c r="H48" s="293" t="e">
        <f>INDEX('Annexure-I'!$I$1:$I$1493,MATCH(C48,'Annexure-I'!$A$1:$A$1493,0))</f>
        <v>#N/A</v>
      </c>
      <c r="I48" s="462" t="e">
        <f>INDEX('CST-Final'!$BP$4:$BP$490,MATCH(C48,'CST-Final'!$B$4:$B$490,0))</f>
        <v>#N/A</v>
      </c>
      <c r="J48" s="462" t="e">
        <f>INDEX('CST-Final'!$BV$4:$BV$490,MATCH(C48,'CST-Final'!$B$4:$B$490,0))</f>
        <v>#N/A</v>
      </c>
      <c r="K48" s="293">
        <v>2022</v>
      </c>
      <c r="L48" s="393" t="e">
        <f>INDEX('CST-Final'!$BY$4:$BY$490,MATCH(C48,'CST-Final'!$B$4:$B$490,0))</f>
        <v>#N/A</v>
      </c>
      <c r="M48" s="457" t="e">
        <f t="shared" si="1"/>
        <v>#N/A</v>
      </c>
      <c r="N48" s="458" t="e">
        <f>(((J48/(INDEX('CST-Final'!$BK$4:$BK$490,MATCH(C48,'CST-Final'!$B$4:$B$490,0))*E48))^(1/M48))-1)</f>
        <v>#N/A</v>
      </c>
      <c r="O48" s="394"/>
      <c r="R48" s="396"/>
    </row>
    <row r="49" spans="2:18" s="395" customFormat="1" ht="29.25" customHeight="1" x14ac:dyDescent="0.25">
      <c r="B49" s="293">
        <v>44</v>
      </c>
      <c r="C49" s="430">
        <v>381</v>
      </c>
      <c r="D49" s="293" t="e">
        <f>CONCATENATE(INDEX('CST-Final'!$C$4:$C$490,MATCH(C49,'CST-Final'!$B$4:$B$490,0)),"; ",INDEX('CST-Final'!$D$4:$D$490,MATCH(C49,'CST-Final'!$B$4:$B$490,0)))</f>
        <v>#N/A</v>
      </c>
      <c r="E49" s="293" t="e">
        <f>INDEX('CST-Final'!$F$4:$F$490,MATCH(C49,'CST-Final'!$B$4:$B$490,0))</f>
        <v>#N/A</v>
      </c>
      <c r="F49" s="293" t="e">
        <f>CONCATENATE(INDEX('CST-Final'!$BL$4:$BL$490,MATCH(C49,'CST-Final'!$B$4:$B$490,0)),IF(ISTEXT(INDEX('CST-Final'!$BM$4:$BM$490,MATCH(C49,'CST-Final'!$B$4:$B$490,0))),CONCATENATE(" level ",INDEX('CST-Final'!$BM$4:$BM$490,MATCH(C49,'CST-Final'!$B$4:$B$490,0))),CONCATENATE(" dated ",TEXT(INDEX('CST-Final'!$BM$4:$BM$490,MATCH(C49,'CST-Final'!$B$4:$B$490,0)),"dd.mm.yyyy"))))</f>
        <v>#N/A</v>
      </c>
      <c r="G49" s="462" t="e">
        <f>INDEX('CST-Final'!$BQ$4:$BQ$490,MATCH(C49,'CST-Final'!$B$4:$B$490,0))</f>
        <v>#N/A</v>
      </c>
      <c r="H49" s="293" t="e">
        <f>INDEX('Annexure-I'!$I$1:$I$1493,MATCH(C49,'Annexure-I'!$A$1:$A$1493,0))</f>
        <v>#N/A</v>
      </c>
      <c r="I49" s="462" t="e">
        <f>INDEX('CST-Final'!$BP$4:$BP$490,MATCH(C49,'CST-Final'!$B$4:$B$490,0))</f>
        <v>#N/A</v>
      </c>
      <c r="J49" s="462" t="e">
        <f>INDEX('CST-Final'!$BV$4:$BV$490,MATCH(C49,'CST-Final'!$B$4:$B$490,0))</f>
        <v>#N/A</v>
      </c>
      <c r="K49" s="293">
        <v>2022</v>
      </c>
      <c r="L49" s="393" t="e">
        <f>INDEX('CST-Final'!$BY$4:$BY$490,MATCH(C49,'CST-Final'!$B$4:$B$490,0))</f>
        <v>#N/A</v>
      </c>
      <c r="M49" s="457" t="e">
        <f t="shared" si="1"/>
        <v>#N/A</v>
      </c>
      <c r="N49" s="458" t="e">
        <f>(((J49/(INDEX('CST-Final'!$BK$4:$BK$490,MATCH(C49,'CST-Final'!$B$4:$B$490,0))*E49))^(1/M49))-1)</f>
        <v>#N/A</v>
      </c>
      <c r="O49" s="394"/>
      <c r="R49" s="396"/>
    </row>
    <row r="50" spans="2:18" s="395" customFormat="1" ht="29.25" customHeight="1" x14ac:dyDescent="0.25">
      <c r="B50" s="293">
        <v>45</v>
      </c>
      <c r="C50" s="430">
        <v>382</v>
      </c>
      <c r="D50" s="293" t="e">
        <f>CONCATENATE(INDEX('CST-Final'!$C$4:$C$490,MATCH(C50,'CST-Final'!$B$4:$B$490,0)),"; ",INDEX('CST-Final'!$D$4:$D$490,MATCH(C50,'CST-Final'!$B$4:$B$490,0)))</f>
        <v>#N/A</v>
      </c>
      <c r="E50" s="293" t="e">
        <f>INDEX('CST-Final'!$F$4:$F$490,MATCH(C50,'CST-Final'!$B$4:$B$490,0))</f>
        <v>#N/A</v>
      </c>
      <c r="F50" s="293" t="e">
        <f>CONCATENATE(INDEX('CST-Final'!$BL$4:$BL$490,MATCH(C50,'CST-Final'!$B$4:$B$490,0)),IF(ISTEXT(INDEX('CST-Final'!$BM$4:$BM$490,MATCH(C50,'CST-Final'!$B$4:$B$490,0))),CONCATENATE(" level ",INDEX('CST-Final'!$BM$4:$BM$490,MATCH(C50,'CST-Final'!$B$4:$B$490,0))),CONCATENATE(" dated ",TEXT(INDEX('CST-Final'!$BM$4:$BM$490,MATCH(C50,'CST-Final'!$B$4:$B$490,0)),"dd.mm.yyyy"))))</f>
        <v>#N/A</v>
      </c>
      <c r="G50" s="462" t="e">
        <f>INDEX('CST-Final'!$BQ$4:$BQ$490,MATCH(C50,'CST-Final'!$B$4:$B$490,0))</f>
        <v>#N/A</v>
      </c>
      <c r="H50" s="293" t="e">
        <f>INDEX('Annexure-I'!$I$1:$I$1493,MATCH(C50,'Annexure-I'!$A$1:$A$1493,0))</f>
        <v>#N/A</v>
      </c>
      <c r="I50" s="462" t="e">
        <f>INDEX('CST-Final'!$BP$4:$BP$490,MATCH(C50,'CST-Final'!$B$4:$B$490,0))</f>
        <v>#N/A</v>
      </c>
      <c r="J50" s="462" t="e">
        <f>INDEX('CST-Final'!$BV$4:$BV$490,MATCH(C50,'CST-Final'!$B$4:$B$490,0))</f>
        <v>#N/A</v>
      </c>
      <c r="K50" s="293">
        <v>2022</v>
      </c>
      <c r="L50" s="393" t="e">
        <f>INDEX('CST-Final'!$BY$4:$BY$490,MATCH(C50,'CST-Final'!$B$4:$B$490,0))</f>
        <v>#N/A</v>
      </c>
      <c r="M50" s="457" t="e">
        <f t="shared" si="1"/>
        <v>#N/A</v>
      </c>
      <c r="N50" s="458" t="e">
        <f>(((J50/(INDEX('CST-Final'!$BK$4:$BK$490,MATCH(C50,'CST-Final'!$B$4:$B$490,0))*E50))^(1/M50))-1)</f>
        <v>#N/A</v>
      </c>
      <c r="O50" s="394"/>
      <c r="R50" s="396"/>
    </row>
    <row r="51" spans="2:18" s="395" customFormat="1" ht="29.25" customHeight="1" x14ac:dyDescent="0.25">
      <c r="B51" s="293">
        <v>46</v>
      </c>
      <c r="C51" s="430">
        <v>399</v>
      </c>
      <c r="D51" s="293" t="e">
        <f>CONCATENATE(INDEX('CST-Final'!$C$4:$C$490,MATCH(C51,'CST-Final'!$B$4:$B$490,0)),"; ",INDEX('CST-Final'!$D$4:$D$490,MATCH(C51,'CST-Final'!$B$4:$B$490,0)))</f>
        <v>#N/A</v>
      </c>
      <c r="E51" s="293" t="e">
        <f>INDEX('CST-Final'!$F$4:$F$490,MATCH(C51,'CST-Final'!$B$4:$B$490,0))</f>
        <v>#N/A</v>
      </c>
      <c r="F51" s="293" t="e">
        <f>CONCATENATE(INDEX('CST-Final'!$BL$4:$BL$490,MATCH(C51,'CST-Final'!$B$4:$B$490,0)),IF(ISTEXT(INDEX('CST-Final'!$BM$4:$BM$490,MATCH(C51,'CST-Final'!$B$4:$B$490,0))),CONCATENATE(" level ",INDEX('CST-Final'!$BM$4:$BM$490,MATCH(C51,'CST-Final'!$B$4:$B$490,0))),CONCATENATE(" dated ",TEXT(INDEX('CST-Final'!$BM$4:$BM$490,MATCH(C51,'CST-Final'!$B$4:$B$490,0)),"dd.mm.yyyy"))))</f>
        <v>#N/A</v>
      </c>
      <c r="G51" s="462" t="e">
        <f>INDEX('CST-Final'!$BQ$4:$BQ$490,MATCH(C51,'CST-Final'!$B$4:$B$490,0))</f>
        <v>#N/A</v>
      </c>
      <c r="H51" s="293" t="e">
        <f>INDEX('Annexure-I'!$I$1:$I$1493,MATCH(C51,'Annexure-I'!$A$1:$A$1493,0))</f>
        <v>#N/A</v>
      </c>
      <c r="I51" s="462" t="e">
        <f>INDEX('CST-Final'!$BP$4:$BP$490,MATCH(C51,'CST-Final'!$B$4:$B$490,0))</f>
        <v>#N/A</v>
      </c>
      <c r="J51" s="462" t="e">
        <f>INDEX('CST-Final'!$BV$4:$BV$490,MATCH(C51,'CST-Final'!$B$4:$B$490,0))</f>
        <v>#N/A</v>
      </c>
      <c r="K51" s="293">
        <v>2022</v>
      </c>
      <c r="L51" s="393" t="e">
        <f>INDEX('CST-Final'!$BY$4:$BY$490,MATCH(C51,'CST-Final'!$B$4:$B$490,0))</f>
        <v>#N/A</v>
      </c>
      <c r="M51" s="457" t="e">
        <f t="shared" si="1"/>
        <v>#N/A</v>
      </c>
      <c r="N51" s="458" t="e">
        <f>(((J51/(INDEX('CST-Final'!$BK$4:$BK$490,MATCH(C51,'CST-Final'!$B$4:$B$490,0))*E51))^(1/M51))-1)</f>
        <v>#N/A</v>
      </c>
      <c r="O51" s="394"/>
      <c r="R51" s="396"/>
    </row>
    <row r="52" spans="2:18" s="395" customFormat="1" ht="29.25" customHeight="1" x14ac:dyDescent="0.25">
      <c r="B52" s="293">
        <v>47</v>
      </c>
      <c r="C52" s="430">
        <v>407</v>
      </c>
      <c r="D52" s="293" t="e">
        <f>CONCATENATE(INDEX('CST-Final'!$C$4:$C$490,MATCH(C52,'CST-Final'!$B$4:$B$490,0)),"; ",INDEX('CST-Final'!$D$4:$D$490,MATCH(C52,'CST-Final'!$B$4:$B$490,0)))</f>
        <v>#N/A</v>
      </c>
      <c r="E52" s="293" t="e">
        <f>INDEX('CST-Final'!$F$4:$F$490,MATCH(C52,'CST-Final'!$B$4:$B$490,0))</f>
        <v>#N/A</v>
      </c>
      <c r="F52" s="293" t="e">
        <f>CONCATENATE(INDEX('CST-Final'!$BL$4:$BL$490,MATCH(C52,'CST-Final'!$B$4:$B$490,0)),IF(ISTEXT(INDEX('CST-Final'!$BM$4:$BM$490,MATCH(C52,'CST-Final'!$B$4:$B$490,0))),CONCATENATE(" level ",INDEX('CST-Final'!$BM$4:$BM$490,MATCH(C52,'CST-Final'!$B$4:$B$490,0))),CONCATENATE(" dated ",TEXT(INDEX('CST-Final'!$BM$4:$BM$490,MATCH(C52,'CST-Final'!$B$4:$B$490,0)),"dd.mm.yyyy"))))</f>
        <v>#N/A</v>
      </c>
      <c r="G52" s="462" t="e">
        <f>INDEX('CST-Final'!$BQ$4:$BQ$490,MATCH(C52,'CST-Final'!$B$4:$B$490,0))</f>
        <v>#N/A</v>
      </c>
      <c r="H52" s="293" t="e">
        <f>INDEX('Annexure-I'!$I$1:$I$1493,MATCH(C52,'Annexure-I'!$A$1:$A$1493,0))</f>
        <v>#N/A</v>
      </c>
      <c r="I52" s="462" t="e">
        <f>INDEX('CST-Final'!$BP$4:$BP$490,MATCH(C52,'CST-Final'!$B$4:$B$490,0))</f>
        <v>#N/A</v>
      </c>
      <c r="J52" s="462" t="e">
        <f>INDEX('CST-Final'!$BV$4:$BV$490,MATCH(C52,'CST-Final'!$B$4:$B$490,0))</f>
        <v>#N/A</v>
      </c>
      <c r="K52" s="293">
        <v>2022</v>
      </c>
      <c r="L52" s="393" t="e">
        <f>INDEX('CST-Final'!$BY$4:$BY$490,MATCH(C52,'CST-Final'!$B$4:$B$490,0))</f>
        <v>#N/A</v>
      </c>
      <c r="M52" s="457" t="e">
        <f t="shared" si="1"/>
        <v>#N/A</v>
      </c>
      <c r="N52" s="458" t="e">
        <f>(((J52/(INDEX('CST-Final'!$BK$4:$BK$490,MATCH(C52,'CST-Final'!$B$4:$B$490,0))*E52))^(1/M52))-1)</f>
        <v>#N/A</v>
      </c>
      <c r="O52" s="394"/>
      <c r="R52" s="396"/>
    </row>
    <row r="53" spans="2:18" s="395" customFormat="1" ht="29.25" customHeight="1" x14ac:dyDescent="0.25">
      <c r="B53" s="293">
        <v>48</v>
      </c>
      <c r="C53" s="430">
        <v>412</v>
      </c>
      <c r="D53" s="293" t="e">
        <f>CONCATENATE(INDEX('CST-Final'!$C$4:$C$490,MATCH(C53,'CST-Final'!$B$4:$B$490,0)),"; ",INDEX('CST-Final'!$D$4:$D$490,MATCH(C53,'CST-Final'!$B$4:$B$490,0)))</f>
        <v>#N/A</v>
      </c>
      <c r="E53" s="293" t="e">
        <f>INDEX('CST-Final'!$F$4:$F$490,MATCH(C53,'CST-Final'!$B$4:$B$490,0))</f>
        <v>#N/A</v>
      </c>
      <c r="F53" s="293" t="e">
        <f>CONCATENATE(INDEX('CST-Final'!$BL$4:$BL$490,MATCH(C53,'CST-Final'!$B$4:$B$490,0)),IF(ISTEXT(INDEX('CST-Final'!$BM$4:$BM$490,MATCH(C53,'CST-Final'!$B$4:$B$490,0))),CONCATENATE(" level ",INDEX('CST-Final'!$BM$4:$BM$490,MATCH(C53,'CST-Final'!$B$4:$B$490,0))),CONCATENATE(" dated ",TEXT(INDEX('CST-Final'!$BM$4:$BM$490,MATCH(C53,'CST-Final'!$B$4:$B$490,0)),"dd.mm.yyyy"))))</f>
        <v>#N/A</v>
      </c>
      <c r="G53" s="462" t="e">
        <f>INDEX('CST-Final'!$BQ$4:$BQ$490,MATCH(C53,'CST-Final'!$B$4:$B$490,0))</f>
        <v>#N/A</v>
      </c>
      <c r="H53" s="293" t="e">
        <f>INDEX('Annexure-I'!$I$1:$I$1493,MATCH(C53,'Annexure-I'!$A$1:$A$1493,0))</f>
        <v>#N/A</v>
      </c>
      <c r="I53" s="462" t="e">
        <f>INDEX('CST-Final'!$BP$4:$BP$490,MATCH(C53,'CST-Final'!$B$4:$B$490,0))</f>
        <v>#N/A</v>
      </c>
      <c r="J53" s="462" t="e">
        <f>INDEX('CST-Final'!$BV$4:$BV$490,MATCH(C53,'CST-Final'!$B$4:$B$490,0))</f>
        <v>#N/A</v>
      </c>
      <c r="K53" s="293">
        <v>2022</v>
      </c>
      <c r="L53" s="393" t="e">
        <f>INDEX('CST-Final'!$BY$4:$BY$490,MATCH(C53,'CST-Final'!$B$4:$B$490,0))</f>
        <v>#N/A</v>
      </c>
      <c r="M53" s="457" t="e">
        <f t="shared" si="1"/>
        <v>#N/A</v>
      </c>
      <c r="N53" s="458" t="e">
        <f>(((J53/(INDEX('CST-Final'!$BK$4:$BK$490,MATCH(C53,'CST-Final'!$B$4:$B$490,0))*E53))^(1/M53))-1)</f>
        <v>#N/A</v>
      </c>
      <c r="O53" s="394"/>
      <c r="R53" s="396"/>
    </row>
    <row r="54" spans="2:18" s="395" customFormat="1" ht="29.25" customHeight="1" x14ac:dyDescent="0.25">
      <c r="B54" s="293">
        <v>49</v>
      </c>
      <c r="C54" s="430">
        <v>424</v>
      </c>
      <c r="D54" s="293" t="e">
        <f>CONCATENATE(INDEX('CST-Final'!$C$4:$C$490,MATCH(C54,'CST-Final'!$B$4:$B$490,0)),"; ",INDEX('CST-Final'!$D$4:$D$490,MATCH(C54,'CST-Final'!$B$4:$B$490,0)))</f>
        <v>#N/A</v>
      </c>
      <c r="E54" s="293" t="e">
        <f>INDEX('CST-Final'!$F$4:$F$490,MATCH(C54,'CST-Final'!$B$4:$B$490,0))</f>
        <v>#N/A</v>
      </c>
      <c r="F54" s="293" t="e">
        <f>CONCATENATE(INDEX('CST-Final'!$BL$4:$BL$490,MATCH(C54,'CST-Final'!$B$4:$B$490,0)),IF(ISTEXT(INDEX('CST-Final'!$BM$4:$BM$490,MATCH(C54,'CST-Final'!$B$4:$B$490,0))),CONCATENATE(" level ",INDEX('CST-Final'!$BM$4:$BM$490,MATCH(C54,'CST-Final'!$B$4:$B$490,0))),CONCATENATE(" dated ",TEXT(INDEX('CST-Final'!$BM$4:$BM$490,MATCH(C54,'CST-Final'!$B$4:$B$490,0)),"dd.mm.yyyy"))))</f>
        <v>#N/A</v>
      </c>
      <c r="G54" s="462" t="e">
        <f>INDEX('CST-Final'!$BQ$4:$BQ$490,MATCH(C54,'CST-Final'!$B$4:$B$490,0))</f>
        <v>#N/A</v>
      </c>
      <c r="H54" s="293" t="e">
        <f>INDEX('Annexure-I'!$I$1:$I$1493,MATCH(C54,'Annexure-I'!$A$1:$A$1493,0))</f>
        <v>#N/A</v>
      </c>
      <c r="I54" s="462" t="e">
        <f>INDEX('CST-Final'!$BP$4:$BP$490,MATCH(C54,'CST-Final'!$B$4:$B$490,0))</f>
        <v>#N/A</v>
      </c>
      <c r="J54" s="462" t="e">
        <f>INDEX('CST-Final'!$BV$4:$BV$490,MATCH(C54,'CST-Final'!$B$4:$B$490,0))</f>
        <v>#N/A</v>
      </c>
      <c r="K54" s="293">
        <v>2022</v>
      </c>
      <c r="L54" s="393" t="e">
        <f>INDEX('CST-Final'!$BY$4:$BY$490,MATCH(C54,'CST-Final'!$B$4:$B$490,0))</f>
        <v>#N/A</v>
      </c>
      <c r="M54" s="457" t="e">
        <f t="shared" si="1"/>
        <v>#N/A</v>
      </c>
      <c r="N54" s="458" t="e">
        <f>(((J54/(INDEX('CST-Final'!$BK$4:$BK$490,MATCH(C54,'CST-Final'!$B$4:$B$490,0))*E54))^(1/M54))-1)</f>
        <v>#N/A</v>
      </c>
      <c r="O54" s="394"/>
      <c r="R54" s="396"/>
    </row>
    <row r="55" spans="2:18" s="395" customFormat="1" ht="29.25" customHeight="1" x14ac:dyDescent="0.25">
      <c r="B55" s="293">
        <v>50</v>
      </c>
      <c r="C55" s="430">
        <v>428</v>
      </c>
      <c r="D55" s="293" t="e">
        <f>CONCATENATE(INDEX('CST-Final'!$C$4:$C$490,MATCH(C55,'CST-Final'!$B$4:$B$490,0)),"; ",INDEX('CST-Final'!$D$4:$D$490,MATCH(C55,'CST-Final'!$B$4:$B$490,0)))</f>
        <v>#N/A</v>
      </c>
      <c r="E55" s="293" t="e">
        <f>INDEX('CST-Final'!$F$4:$F$490,MATCH(C55,'CST-Final'!$B$4:$B$490,0))</f>
        <v>#N/A</v>
      </c>
      <c r="F55" s="293" t="e">
        <f>CONCATENATE(INDEX('CST-Final'!$BL$4:$BL$490,MATCH(C55,'CST-Final'!$B$4:$B$490,0)),IF(ISTEXT(INDEX('CST-Final'!$BM$4:$BM$490,MATCH(C55,'CST-Final'!$B$4:$B$490,0))),CONCATENATE(" level ",INDEX('CST-Final'!$BM$4:$BM$490,MATCH(C55,'CST-Final'!$B$4:$B$490,0))),CONCATENATE(" dated ",TEXT(INDEX('CST-Final'!$BM$4:$BM$490,MATCH(C55,'CST-Final'!$B$4:$B$490,0)),"dd.mm.yyyy"))))</f>
        <v>#N/A</v>
      </c>
      <c r="G55" s="462" t="e">
        <f>INDEX('CST-Final'!$BQ$4:$BQ$490,MATCH(C55,'CST-Final'!$B$4:$B$490,0))</f>
        <v>#N/A</v>
      </c>
      <c r="H55" s="293" t="e">
        <f>INDEX('Annexure-I'!$I$1:$I$1493,MATCH(C55,'Annexure-I'!$A$1:$A$1493,0))</f>
        <v>#N/A</v>
      </c>
      <c r="I55" s="462" t="e">
        <f>INDEX('CST-Final'!$BP$4:$BP$490,MATCH(C55,'CST-Final'!$B$4:$B$490,0))</f>
        <v>#N/A</v>
      </c>
      <c r="J55" s="462" t="e">
        <f>INDEX('CST-Final'!$BV$4:$BV$490,MATCH(C55,'CST-Final'!$B$4:$B$490,0))</f>
        <v>#N/A</v>
      </c>
      <c r="K55" s="293">
        <v>2022</v>
      </c>
      <c r="L55" s="393" t="e">
        <f>INDEX('CST-Final'!$BY$4:$BY$490,MATCH(C55,'CST-Final'!$B$4:$B$490,0))</f>
        <v>#N/A</v>
      </c>
      <c r="M55" s="457" t="e">
        <f t="shared" si="1"/>
        <v>#N/A</v>
      </c>
      <c r="N55" s="458" t="e">
        <f>(((J55/(INDEX('CST-Final'!$BK$4:$BK$490,MATCH(C55,'CST-Final'!$B$4:$B$490,0))*E55))^(1/M55))-1)</f>
        <v>#N/A</v>
      </c>
      <c r="O55" s="394"/>
      <c r="R55" s="396"/>
    </row>
    <row r="56" spans="2:18" s="395" customFormat="1" ht="29.25" customHeight="1" x14ac:dyDescent="0.25">
      <c r="B56" s="293">
        <v>51</v>
      </c>
      <c r="C56" s="430">
        <v>429</v>
      </c>
      <c r="D56" s="293" t="e">
        <f>CONCATENATE(INDEX('CST-Final'!$C$4:$C$490,MATCH(C56,'CST-Final'!$B$4:$B$490,0)),"; ",INDEX('CST-Final'!$D$4:$D$490,MATCH(C56,'CST-Final'!$B$4:$B$490,0)))</f>
        <v>#N/A</v>
      </c>
      <c r="E56" s="293" t="e">
        <f>INDEX('CST-Final'!$F$4:$F$490,MATCH(C56,'CST-Final'!$B$4:$B$490,0))</f>
        <v>#N/A</v>
      </c>
      <c r="F56" s="293" t="e">
        <f>CONCATENATE(INDEX('CST-Final'!$BL$4:$BL$490,MATCH(C56,'CST-Final'!$B$4:$B$490,0)),IF(ISTEXT(INDEX('CST-Final'!$BM$4:$BM$490,MATCH(C56,'CST-Final'!$B$4:$B$490,0))),CONCATENATE(" level ",INDEX('CST-Final'!$BM$4:$BM$490,MATCH(C56,'CST-Final'!$B$4:$B$490,0))),CONCATENATE(" dated ",TEXT(INDEX('CST-Final'!$BM$4:$BM$490,MATCH(C56,'CST-Final'!$B$4:$B$490,0)),"dd.mm.yyyy"))))</f>
        <v>#N/A</v>
      </c>
      <c r="G56" s="462" t="e">
        <f>INDEX('CST-Final'!$BQ$4:$BQ$490,MATCH(C56,'CST-Final'!$B$4:$B$490,0))</f>
        <v>#N/A</v>
      </c>
      <c r="H56" s="293" t="e">
        <f>INDEX('Annexure-I'!$I$1:$I$1493,MATCH(C56,'Annexure-I'!$A$1:$A$1493,0))</f>
        <v>#N/A</v>
      </c>
      <c r="I56" s="462" t="e">
        <f>INDEX('CST-Final'!$BP$4:$BP$490,MATCH(C56,'CST-Final'!$B$4:$B$490,0))</f>
        <v>#N/A</v>
      </c>
      <c r="J56" s="462" t="e">
        <f>INDEX('CST-Final'!$BV$4:$BV$490,MATCH(C56,'CST-Final'!$B$4:$B$490,0))</f>
        <v>#N/A</v>
      </c>
      <c r="K56" s="293">
        <v>2022</v>
      </c>
      <c r="L56" s="393" t="e">
        <f>INDEX('CST-Final'!$BY$4:$BY$490,MATCH(C56,'CST-Final'!$B$4:$B$490,0))</f>
        <v>#N/A</v>
      </c>
      <c r="M56" s="457" t="e">
        <f t="shared" si="1"/>
        <v>#N/A</v>
      </c>
      <c r="N56" s="458" t="e">
        <f>(((J56/(INDEX('CST-Final'!$BK$4:$BK$490,MATCH(C56,'CST-Final'!$B$4:$B$490,0))*E56))^(1/M56))-1)</f>
        <v>#N/A</v>
      </c>
      <c r="O56" s="394"/>
      <c r="R56" s="396"/>
    </row>
    <row r="57" spans="2:18" s="395" customFormat="1" ht="29.25" customHeight="1" x14ac:dyDescent="0.25">
      <c r="B57" s="293">
        <v>52</v>
      </c>
      <c r="C57" s="430">
        <v>431</v>
      </c>
      <c r="D57" s="293" t="e">
        <f>CONCATENATE(INDEX('CST-Final'!$C$4:$C$490,MATCH(C57,'CST-Final'!$B$4:$B$490,0)),"; ",INDEX('CST-Final'!$D$4:$D$490,MATCH(C57,'CST-Final'!$B$4:$B$490,0)))</f>
        <v>#N/A</v>
      </c>
      <c r="E57" s="293" t="e">
        <f>INDEX('CST-Final'!$F$4:$F$490,MATCH(C57,'CST-Final'!$B$4:$B$490,0))</f>
        <v>#N/A</v>
      </c>
      <c r="F57" s="293" t="e">
        <f>CONCATENATE(INDEX('CST-Final'!$BL$4:$BL$490,MATCH(C57,'CST-Final'!$B$4:$B$490,0)),IF(ISTEXT(INDEX('CST-Final'!$BM$4:$BM$490,MATCH(C57,'CST-Final'!$B$4:$B$490,0))),CONCATENATE(" level ",INDEX('CST-Final'!$BM$4:$BM$490,MATCH(C57,'CST-Final'!$B$4:$B$490,0))),CONCATENATE(" dated ",TEXT(INDEX('CST-Final'!$BM$4:$BM$490,MATCH(C57,'CST-Final'!$B$4:$B$490,0)),"dd.mm.yyyy"))))</f>
        <v>#N/A</v>
      </c>
      <c r="G57" s="462" t="e">
        <f>INDEX('CST-Final'!$BQ$4:$BQ$490,MATCH(C57,'CST-Final'!$B$4:$B$490,0))</f>
        <v>#N/A</v>
      </c>
      <c r="H57" s="293" t="e">
        <f>INDEX('Annexure-I'!$I$1:$I$1493,MATCH(C57,'Annexure-I'!$A$1:$A$1493,0))</f>
        <v>#N/A</v>
      </c>
      <c r="I57" s="462" t="e">
        <f>INDEX('CST-Final'!$BP$4:$BP$490,MATCH(C57,'CST-Final'!$B$4:$B$490,0))</f>
        <v>#N/A</v>
      </c>
      <c r="J57" s="462" t="e">
        <f>INDEX('CST-Final'!$BV$4:$BV$490,MATCH(C57,'CST-Final'!$B$4:$B$490,0))</f>
        <v>#N/A</v>
      </c>
      <c r="K57" s="293">
        <v>2022</v>
      </c>
      <c r="L57" s="393" t="e">
        <f>INDEX('CST-Final'!$BY$4:$BY$490,MATCH(C57,'CST-Final'!$B$4:$B$490,0))</f>
        <v>#N/A</v>
      </c>
      <c r="M57" s="457" t="e">
        <f t="shared" si="1"/>
        <v>#N/A</v>
      </c>
      <c r="N57" s="458" t="e">
        <f>(((J57/(INDEX('CST-Final'!$BK$4:$BK$490,MATCH(C57,'CST-Final'!$B$4:$B$490,0))*E57))^(1/M57))-1)</f>
        <v>#N/A</v>
      </c>
      <c r="O57" s="394"/>
      <c r="R57" s="396"/>
    </row>
    <row r="58" spans="2:18" s="395" customFormat="1" ht="29.25" customHeight="1" x14ac:dyDescent="0.25">
      <c r="B58" s="293">
        <v>53</v>
      </c>
      <c r="C58" s="430">
        <v>436</v>
      </c>
      <c r="D58" s="293" t="e">
        <f>CONCATENATE(INDEX('CST-Final'!$C$4:$C$490,MATCH(C58,'CST-Final'!$B$4:$B$490,0)),"; ",INDEX('CST-Final'!$D$4:$D$490,MATCH(C58,'CST-Final'!$B$4:$B$490,0)))</f>
        <v>#N/A</v>
      </c>
      <c r="E58" s="293" t="e">
        <f>INDEX('CST-Final'!$F$4:$F$490,MATCH(C58,'CST-Final'!$B$4:$B$490,0))</f>
        <v>#N/A</v>
      </c>
      <c r="F58" s="293" t="e">
        <f>CONCATENATE(INDEX('CST-Final'!$BL$4:$BL$490,MATCH(C58,'CST-Final'!$B$4:$B$490,0)),IF(ISTEXT(INDEX('CST-Final'!$BM$4:$BM$490,MATCH(C58,'CST-Final'!$B$4:$B$490,0))),CONCATENATE(" level ",INDEX('CST-Final'!$BM$4:$BM$490,MATCH(C58,'CST-Final'!$B$4:$B$490,0))),CONCATENATE(" dated ",TEXT(INDEX('CST-Final'!$BM$4:$BM$490,MATCH(C58,'CST-Final'!$B$4:$B$490,0)),"dd.mm.yyyy"))))</f>
        <v>#N/A</v>
      </c>
      <c r="G58" s="462" t="e">
        <f>INDEX('CST-Final'!$BQ$4:$BQ$490,MATCH(C58,'CST-Final'!$B$4:$B$490,0))</f>
        <v>#N/A</v>
      </c>
      <c r="H58" s="293" t="e">
        <f>INDEX('Annexure-I'!$I$1:$I$1493,MATCH(C58,'Annexure-I'!$A$1:$A$1493,0))</f>
        <v>#N/A</v>
      </c>
      <c r="I58" s="462" t="e">
        <f>INDEX('CST-Final'!$BP$4:$BP$490,MATCH(C58,'CST-Final'!$B$4:$B$490,0))</f>
        <v>#N/A</v>
      </c>
      <c r="J58" s="462" t="e">
        <f>INDEX('CST-Final'!$BV$4:$BV$490,MATCH(C58,'CST-Final'!$B$4:$B$490,0))</f>
        <v>#N/A</v>
      </c>
      <c r="K58" s="293">
        <v>2022</v>
      </c>
      <c r="L58" s="393" t="e">
        <f>INDEX('CST-Final'!$BY$4:$BY$490,MATCH(C58,'CST-Final'!$B$4:$B$490,0))</f>
        <v>#N/A</v>
      </c>
      <c r="M58" s="457" t="e">
        <f t="shared" si="1"/>
        <v>#N/A</v>
      </c>
      <c r="N58" s="458" t="e">
        <f>(((J58/(INDEX('CST-Final'!$BK$4:$BK$490,MATCH(C58,'CST-Final'!$B$4:$B$490,0))*E58))^(1/M58))-1)</f>
        <v>#N/A</v>
      </c>
      <c r="O58" s="394"/>
      <c r="R58" s="396"/>
    </row>
    <row r="59" spans="2:18" s="395" customFormat="1" ht="29.25" customHeight="1" x14ac:dyDescent="0.25">
      <c r="B59" s="293">
        <v>54</v>
      </c>
      <c r="C59" s="430">
        <v>437</v>
      </c>
      <c r="D59" s="293" t="e">
        <f>CONCATENATE(INDEX('CST-Final'!$C$4:$C$490,MATCH(C59,'CST-Final'!$B$4:$B$490,0)),"; ",INDEX('CST-Final'!$D$4:$D$490,MATCH(C59,'CST-Final'!$B$4:$B$490,0)))</f>
        <v>#N/A</v>
      </c>
      <c r="E59" s="293" t="e">
        <f>INDEX('CST-Final'!$F$4:$F$490,MATCH(C59,'CST-Final'!$B$4:$B$490,0))</f>
        <v>#N/A</v>
      </c>
      <c r="F59" s="293" t="e">
        <f>CONCATENATE(INDEX('CST-Final'!$BL$4:$BL$490,MATCH(C59,'CST-Final'!$B$4:$B$490,0)),IF(ISTEXT(INDEX('CST-Final'!$BM$4:$BM$490,MATCH(C59,'CST-Final'!$B$4:$B$490,0))),CONCATENATE(" level ",INDEX('CST-Final'!$BM$4:$BM$490,MATCH(C59,'CST-Final'!$B$4:$B$490,0))),CONCATENATE(" dated ",TEXT(INDEX('CST-Final'!$BM$4:$BM$490,MATCH(C59,'CST-Final'!$B$4:$B$490,0)),"dd.mm.yyyy"))))</f>
        <v>#N/A</v>
      </c>
      <c r="G59" s="462" t="e">
        <f>INDEX('CST-Final'!$BQ$4:$BQ$490,MATCH(C59,'CST-Final'!$B$4:$B$490,0))</f>
        <v>#N/A</v>
      </c>
      <c r="H59" s="293" t="e">
        <f>INDEX('Annexure-I'!$I$1:$I$1493,MATCH(C59,'Annexure-I'!$A$1:$A$1493,0))</f>
        <v>#N/A</v>
      </c>
      <c r="I59" s="462" t="e">
        <f>INDEX('CST-Final'!$BP$4:$BP$490,MATCH(C59,'CST-Final'!$B$4:$B$490,0))</f>
        <v>#N/A</v>
      </c>
      <c r="J59" s="462" t="e">
        <f>INDEX('CST-Final'!$BV$4:$BV$490,MATCH(C59,'CST-Final'!$B$4:$B$490,0))</f>
        <v>#N/A</v>
      </c>
      <c r="K59" s="293">
        <v>2022</v>
      </c>
      <c r="L59" s="393" t="e">
        <f>INDEX('CST-Final'!$BY$4:$BY$490,MATCH(C59,'CST-Final'!$B$4:$B$490,0))</f>
        <v>#N/A</v>
      </c>
      <c r="M59" s="457" t="e">
        <f t="shared" si="1"/>
        <v>#N/A</v>
      </c>
      <c r="N59" s="458" t="e">
        <f>(((J59/(INDEX('CST-Final'!$BK$4:$BK$490,MATCH(C59,'CST-Final'!$B$4:$B$490,0))*E59))^(1/M59))-1)</f>
        <v>#N/A</v>
      </c>
      <c r="O59" s="394"/>
      <c r="R59" s="396"/>
    </row>
    <row r="60" spans="2:18" s="395" customFormat="1" ht="29.25" customHeight="1" x14ac:dyDescent="0.25">
      <c r="B60" s="293">
        <v>55</v>
      </c>
      <c r="C60" s="430">
        <v>447</v>
      </c>
      <c r="D60" s="293" t="e">
        <f>CONCATENATE(INDEX('CST-Final'!$C$4:$C$490,MATCH(C60,'CST-Final'!$B$4:$B$490,0)),"; ",INDEX('CST-Final'!$D$4:$D$490,MATCH(C60,'CST-Final'!$B$4:$B$490,0)))</f>
        <v>#N/A</v>
      </c>
      <c r="E60" s="293" t="e">
        <f>INDEX('CST-Final'!$F$4:$F$490,MATCH(C60,'CST-Final'!$B$4:$B$490,0))</f>
        <v>#N/A</v>
      </c>
      <c r="F60" s="293" t="e">
        <f>CONCATENATE(INDEX('CST-Final'!$BL$4:$BL$490,MATCH(C60,'CST-Final'!$B$4:$B$490,0)),IF(ISTEXT(INDEX('CST-Final'!$BM$4:$BM$490,MATCH(C60,'CST-Final'!$B$4:$B$490,0))),CONCATENATE(" level ",INDEX('CST-Final'!$BM$4:$BM$490,MATCH(C60,'CST-Final'!$B$4:$B$490,0))),CONCATENATE(" dated ",TEXT(INDEX('CST-Final'!$BM$4:$BM$490,MATCH(C60,'CST-Final'!$B$4:$B$490,0)),"dd.mm.yyyy"))))</f>
        <v>#N/A</v>
      </c>
      <c r="G60" s="462" t="e">
        <f>INDEX('CST-Final'!$BQ$4:$BQ$490,MATCH(C60,'CST-Final'!$B$4:$B$490,0))</f>
        <v>#N/A</v>
      </c>
      <c r="H60" s="293" t="e">
        <f>INDEX('Annexure-I'!$I$1:$I$1493,MATCH(C60,'Annexure-I'!$A$1:$A$1493,0))</f>
        <v>#N/A</v>
      </c>
      <c r="I60" s="462" t="e">
        <f>INDEX('CST-Final'!$BP$4:$BP$490,MATCH(C60,'CST-Final'!$B$4:$B$490,0))</f>
        <v>#N/A</v>
      </c>
      <c r="J60" s="462" t="e">
        <f>INDEX('CST-Final'!$BV$4:$BV$490,MATCH(C60,'CST-Final'!$B$4:$B$490,0))</f>
        <v>#N/A</v>
      </c>
      <c r="K60" s="293">
        <v>2022</v>
      </c>
      <c r="L60" s="393" t="e">
        <f>INDEX('CST-Final'!$BY$4:$BY$490,MATCH(C60,'CST-Final'!$B$4:$B$490,0))</f>
        <v>#N/A</v>
      </c>
      <c r="M60" s="457" t="e">
        <f t="shared" si="1"/>
        <v>#N/A</v>
      </c>
      <c r="N60" s="458" t="e">
        <f>(((J60/(INDEX('CST-Final'!$BK$4:$BK$490,MATCH(C60,'CST-Final'!$B$4:$B$490,0))*E60))^(1/M60))-1)</f>
        <v>#N/A</v>
      </c>
      <c r="O60" s="394"/>
      <c r="R60" s="396"/>
    </row>
    <row r="61" spans="2:18" s="395" customFormat="1" ht="29.25" customHeight="1" x14ac:dyDescent="0.25">
      <c r="B61" s="293">
        <v>56</v>
      </c>
      <c r="C61" s="430">
        <v>448</v>
      </c>
      <c r="D61" s="293" t="e">
        <f>CONCATENATE(INDEX('CST-Final'!$C$4:$C$490,MATCH(C61,'CST-Final'!$B$4:$B$490,0)),"; ",INDEX('CST-Final'!$D$4:$D$490,MATCH(C61,'CST-Final'!$B$4:$B$490,0)))</f>
        <v>#N/A</v>
      </c>
      <c r="E61" s="293" t="e">
        <f>INDEX('CST-Final'!$F$4:$F$490,MATCH(C61,'CST-Final'!$B$4:$B$490,0))</f>
        <v>#N/A</v>
      </c>
      <c r="F61" s="293" t="e">
        <f>CONCATENATE(INDEX('CST-Final'!$BL$4:$BL$490,MATCH(C61,'CST-Final'!$B$4:$B$490,0)),IF(ISTEXT(INDEX('CST-Final'!$BM$4:$BM$490,MATCH(C61,'CST-Final'!$B$4:$B$490,0))),CONCATENATE(" level ",INDEX('CST-Final'!$BM$4:$BM$490,MATCH(C61,'CST-Final'!$B$4:$B$490,0))),CONCATENATE(" dated ",TEXT(INDEX('CST-Final'!$BM$4:$BM$490,MATCH(C61,'CST-Final'!$B$4:$B$490,0)),"dd.mm.yyyy"))))</f>
        <v>#N/A</v>
      </c>
      <c r="G61" s="462" t="e">
        <f>INDEX('CST-Final'!$BQ$4:$BQ$490,MATCH(C61,'CST-Final'!$B$4:$B$490,0))</f>
        <v>#N/A</v>
      </c>
      <c r="H61" s="293" t="e">
        <f>INDEX('Annexure-I'!$I$1:$I$1493,MATCH(C61,'Annexure-I'!$A$1:$A$1493,0))</f>
        <v>#N/A</v>
      </c>
      <c r="I61" s="462" t="e">
        <f>INDEX('CST-Final'!$BP$4:$BP$490,MATCH(C61,'CST-Final'!$B$4:$B$490,0))</f>
        <v>#N/A</v>
      </c>
      <c r="J61" s="462" t="e">
        <f>INDEX('CST-Final'!$BV$4:$BV$490,MATCH(C61,'CST-Final'!$B$4:$B$490,0))</f>
        <v>#N/A</v>
      </c>
      <c r="K61" s="293">
        <v>2022</v>
      </c>
      <c r="L61" s="393" t="e">
        <f>INDEX('CST-Final'!$BY$4:$BY$490,MATCH(C61,'CST-Final'!$B$4:$B$490,0))</f>
        <v>#N/A</v>
      </c>
      <c r="M61" s="457" t="e">
        <f t="shared" si="1"/>
        <v>#N/A</v>
      </c>
      <c r="N61" s="458" t="e">
        <f>(((J61/(INDEX('CST-Final'!$BK$4:$BK$490,MATCH(C61,'CST-Final'!$B$4:$B$490,0))*E61))^(1/M61))-1)</f>
        <v>#N/A</v>
      </c>
      <c r="O61" s="394"/>
      <c r="R61" s="396"/>
    </row>
    <row r="62" spans="2:18" s="395" customFormat="1" ht="29.25" customHeight="1" x14ac:dyDescent="0.25">
      <c r="B62" s="293">
        <v>57</v>
      </c>
      <c r="C62" s="430">
        <v>456</v>
      </c>
      <c r="D62" s="293" t="e">
        <f>CONCATENATE(INDEX('CST-Final'!$C$4:$C$490,MATCH(C62,'CST-Final'!$B$4:$B$490,0)),"; ",INDEX('CST-Final'!$D$4:$D$490,MATCH(C62,'CST-Final'!$B$4:$B$490,0)))</f>
        <v>#N/A</v>
      </c>
      <c r="E62" s="293" t="e">
        <f>INDEX('CST-Final'!$F$4:$F$490,MATCH(C62,'CST-Final'!$B$4:$B$490,0))</f>
        <v>#N/A</v>
      </c>
      <c r="F62" s="293" t="e">
        <f>CONCATENATE(INDEX('CST-Final'!$BL$4:$BL$490,MATCH(C62,'CST-Final'!$B$4:$B$490,0)),IF(ISTEXT(INDEX('CST-Final'!$BM$4:$BM$490,MATCH(C62,'CST-Final'!$B$4:$B$490,0))),CONCATENATE(" level ",INDEX('CST-Final'!$BM$4:$BM$490,MATCH(C62,'CST-Final'!$B$4:$B$490,0))),CONCATENATE(" dated ",TEXT(INDEX('CST-Final'!$BM$4:$BM$490,MATCH(C62,'CST-Final'!$B$4:$B$490,0)),"dd.mm.yyyy"))))</f>
        <v>#N/A</v>
      </c>
      <c r="G62" s="462" t="e">
        <f>INDEX('CST-Final'!$BQ$4:$BQ$490,MATCH(C62,'CST-Final'!$B$4:$B$490,0))</f>
        <v>#N/A</v>
      </c>
      <c r="H62" s="293" t="e">
        <f>INDEX('Annexure-I'!$I$1:$I$1493,MATCH(C62,'Annexure-I'!$A$1:$A$1493,0))</f>
        <v>#N/A</v>
      </c>
      <c r="I62" s="462" t="e">
        <f>INDEX('CST-Final'!$BP$4:$BP$490,MATCH(C62,'CST-Final'!$B$4:$B$490,0))</f>
        <v>#N/A</v>
      </c>
      <c r="J62" s="462" t="e">
        <f>INDEX('CST-Final'!$BV$4:$BV$490,MATCH(C62,'CST-Final'!$B$4:$B$490,0))</f>
        <v>#N/A</v>
      </c>
      <c r="K62" s="293">
        <v>2022</v>
      </c>
      <c r="L62" s="393" t="e">
        <f>INDEX('CST-Final'!$BY$4:$BY$490,MATCH(C62,'CST-Final'!$B$4:$B$490,0))</f>
        <v>#N/A</v>
      </c>
      <c r="M62" s="457" t="e">
        <f t="shared" si="1"/>
        <v>#N/A</v>
      </c>
      <c r="N62" s="458" t="e">
        <f>(((J62/(INDEX('CST-Final'!$BK$4:$BK$490,MATCH(C62,'CST-Final'!$B$4:$B$490,0))*E62))^(1/M62))-1)</f>
        <v>#N/A</v>
      </c>
      <c r="O62" s="394"/>
      <c r="R62" s="396"/>
    </row>
    <row r="63" spans="2:18" s="395" customFormat="1" ht="29.25" customHeight="1" x14ac:dyDescent="0.25">
      <c r="B63" s="293">
        <v>58</v>
      </c>
      <c r="C63" s="430">
        <v>460</v>
      </c>
      <c r="D63" s="293" t="e">
        <f>CONCATENATE(INDEX('CST-Final'!$C$4:$C$490,MATCH(C63,'CST-Final'!$B$4:$B$490,0)),"; ",INDEX('CST-Final'!$D$4:$D$490,MATCH(C63,'CST-Final'!$B$4:$B$490,0)))</f>
        <v>#N/A</v>
      </c>
      <c r="E63" s="293" t="e">
        <f>INDEX('CST-Final'!$F$4:$F$490,MATCH(C63,'CST-Final'!$B$4:$B$490,0))</f>
        <v>#N/A</v>
      </c>
      <c r="F63" s="293" t="e">
        <f>CONCATENATE(INDEX('CST-Final'!$BL$4:$BL$490,MATCH(C63,'CST-Final'!$B$4:$B$490,0)),IF(ISTEXT(INDEX('CST-Final'!$BM$4:$BM$490,MATCH(C63,'CST-Final'!$B$4:$B$490,0))),CONCATENATE(" level ",INDEX('CST-Final'!$BM$4:$BM$490,MATCH(C63,'CST-Final'!$B$4:$B$490,0))),CONCATENATE(" dated ",TEXT(INDEX('CST-Final'!$BM$4:$BM$490,MATCH(C63,'CST-Final'!$B$4:$B$490,0)),"dd.mm.yyyy"))))</f>
        <v>#N/A</v>
      </c>
      <c r="G63" s="462" t="e">
        <f>INDEX('CST-Final'!$BQ$4:$BQ$490,MATCH(C63,'CST-Final'!$B$4:$B$490,0))</f>
        <v>#N/A</v>
      </c>
      <c r="H63" s="293" t="e">
        <f>INDEX('Annexure-I'!$I$1:$I$1493,MATCH(C63,'Annexure-I'!$A$1:$A$1493,0))</f>
        <v>#N/A</v>
      </c>
      <c r="I63" s="462" t="e">
        <f>INDEX('CST-Final'!$BP$4:$BP$490,MATCH(C63,'CST-Final'!$B$4:$B$490,0))</f>
        <v>#N/A</v>
      </c>
      <c r="J63" s="462" t="e">
        <f>INDEX('CST-Final'!$BV$4:$BV$490,MATCH(C63,'CST-Final'!$B$4:$B$490,0))</f>
        <v>#N/A</v>
      </c>
      <c r="K63" s="293">
        <v>2022</v>
      </c>
      <c r="L63" s="393" t="e">
        <f>INDEX('CST-Final'!$BY$4:$BY$490,MATCH(C63,'CST-Final'!$B$4:$B$490,0))</f>
        <v>#N/A</v>
      </c>
      <c r="M63" s="457" t="e">
        <f t="shared" si="1"/>
        <v>#N/A</v>
      </c>
      <c r="N63" s="458" t="e">
        <f>(((J63/(INDEX('CST-Final'!$BK$4:$BK$490,MATCH(C63,'CST-Final'!$B$4:$B$490,0))*E63))^(1/M63))-1)</f>
        <v>#N/A</v>
      </c>
      <c r="O63" s="394"/>
      <c r="R63" s="396"/>
    </row>
    <row r="64" spans="2:18" s="395" customFormat="1" ht="29.25" customHeight="1" x14ac:dyDescent="0.25">
      <c r="B64" s="293">
        <v>59</v>
      </c>
      <c r="C64" s="430">
        <v>464</v>
      </c>
      <c r="D64" s="293" t="e">
        <f>CONCATENATE(INDEX('CST-Final'!$C$4:$C$490,MATCH(C64,'CST-Final'!$B$4:$B$490,0)),"; ",INDEX('CST-Final'!$D$4:$D$490,MATCH(C64,'CST-Final'!$B$4:$B$490,0)))</f>
        <v>#N/A</v>
      </c>
      <c r="E64" s="293" t="e">
        <f>INDEX('CST-Final'!$F$4:$F$490,MATCH(C64,'CST-Final'!$B$4:$B$490,0))</f>
        <v>#N/A</v>
      </c>
      <c r="F64" s="293" t="e">
        <f>CONCATENATE(INDEX('CST-Final'!$BL$4:$BL$490,MATCH(C64,'CST-Final'!$B$4:$B$490,0)),IF(ISTEXT(INDEX('CST-Final'!$BM$4:$BM$490,MATCH(C64,'CST-Final'!$B$4:$B$490,0))),CONCATENATE(" level ",INDEX('CST-Final'!$BM$4:$BM$490,MATCH(C64,'CST-Final'!$B$4:$B$490,0))),CONCATENATE(" dated ",TEXT(INDEX('CST-Final'!$BM$4:$BM$490,MATCH(C64,'CST-Final'!$B$4:$B$490,0)),"dd.mm.yyyy"))))</f>
        <v>#N/A</v>
      </c>
      <c r="G64" s="462" t="e">
        <f>INDEX('CST-Final'!$BQ$4:$BQ$490,MATCH(C64,'CST-Final'!$B$4:$B$490,0))</f>
        <v>#N/A</v>
      </c>
      <c r="H64" s="293" t="e">
        <f>INDEX('Annexure-I'!$I$1:$I$1493,MATCH(C64,'Annexure-I'!$A$1:$A$1493,0))</f>
        <v>#N/A</v>
      </c>
      <c r="I64" s="462" t="e">
        <f>INDEX('CST-Final'!$BP$4:$BP$490,MATCH(C64,'CST-Final'!$B$4:$B$490,0))</f>
        <v>#N/A</v>
      </c>
      <c r="J64" s="462" t="e">
        <f>INDEX('CST-Final'!$BV$4:$BV$490,MATCH(C64,'CST-Final'!$B$4:$B$490,0))</f>
        <v>#N/A</v>
      </c>
      <c r="K64" s="293">
        <v>2022</v>
      </c>
      <c r="L64" s="393" t="e">
        <f>INDEX('CST-Final'!$BY$4:$BY$490,MATCH(C64,'CST-Final'!$B$4:$B$490,0))</f>
        <v>#N/A</v>
      </c>
      <c r="M64" s="457" t="e">
        <f t="shared" si="1"/>
        <v>#N/A</v>
      </c>
      <c r="N64" s="458" t="e">
        <f>(((J64/(INDEX('CST-Final'!$BK$4:$BK$490,MATCH(C64,'CST-Final'!$B$4:$B$490,0))*E64))^(1/M64))-1)</f>
        <v>#N/A</v>
      </c>
      <c r="O64" s="394"/>
      <c r="R64" s="396"/>
    </row>
    <row r="65" spans="2:18" s="395" customFormat="1" ht="29.25" customHeight="1" x14ac:dyDescent="0.25">
      <c r="B65" s="293">
        <v>60</v>
      </c>
      <c r="C65" s="430">
        <v>465</v>
      </c>
      <c r="D65" s="293" t="e">
        <f>CONCATENATE(INDEX('CST-Final'!$C$4:$C$490,MATCH(C65,'CST-Final'!$B$4:$B$490,0)),"; ",INDEX('CST-Final'!$D$4:$D$490,MATCH(C65,'CST-Final'!$B$4:$B$490,0)))</f>
        <v>#N/A</v>
      </c>
      <c r="E65" s="293" t="e">
        <f>INDEX('CST-Final'!$F$4:$F$490,MATCH(C65,'CST-Final'!$B$4:$B$490,0))</f>
        <v>#N/A</v>
      </c>
      <c r="F65" s="293" t="e">
        <f>CONCATENATE(INDEX('CST-Final'!$BL$4:$BL$490,MATCH(C65,'CST-Final'!$B$4:$B$490,0)),IF(ISTEXT(INDEX('CST-Final'!$BM$4:$BM$490,MATCH(C65,'CST-Final'!$B$4:$B$490,0))),CONCATENATE(" level ",INDEX('CST-Final'!$BM$4:$BM$490,MATCH(C65,'CST-Final'!$B$4:$B$490,0))),CONCATENATE(" dated ",TEXT(INDEX('CST-Final'!$BM$4:$BM$490,MATCH(C65,'CST-Final'!$B$4:$B$490,0)),"dd.mm.yyyy"))))</f>
        <v>#N/A</v>
      </c>
      <c r="G65" s="462" t="e">
        <f>INDEX('CST-Final'!$BQ$4:$BQ$490,MATCH(C65,'CST-Final'!$B$4:$B$490,0))</f>
        <v>#N/A</v>
      </c>
      <c r="H65" s="293" t="e">
        <f>INDEX('Annexure-I'!$I$1:$I$1493,MATCH(C65,'Annexure-I'!$A$1:$A$1493,0))</f>
        <v>#N/A</v>
      </c>
      <c r="I65" s="462" t="e">
        <f>INDEX('CST-Final'!$BP$4:$BP$490,MATCH(C65,'CST-Final'!$B$4:$B$490,0))</f>
        <v>#N/A</v>
      </c>
      <c r="J65" s="462" t="e">
        <f>INDEX('CST-Final'!$BV$4:$BV$490,MATCH(C65,'CST-Final'!$B$4:$B$490,0))</f>
        <v>#N/A</v>
      </c>
      <c r="K65" s="293">
        <v>2022</v>
      </c>
      <c r="L65" s="393" t="e">
        <f>INDEX('CST-Final'!$BY$4:$BY$490,MATCH(C65,'CST-Final'!$B$4:$B$490,0))</f>
        <v>#N/A</v>
      </c>
      <c r="M65" s="457" t="e">
        <f t="shared" si="1"/>
        <v>#N/A</v>
      </c>
      <c r="N65" s="458" t="e">
        <f>(((J65/(INDEX('CST-Final'!$BK$4:$BK$490,MATCH(C65,'CST-Final'!$B$4:$B$490,0))*E65))^(1/M65))-1)</f>
        <v>#N/A</v>
      </c>
      <c r="O65" s="394"/>
      <c r="R65" s="396"/>
    </row>
    <row r="66" spans="2:18" s="395" customFormat="1" ht="29.25" customHeight="1" x14ac:dyDescent="0.25">
      <c r="B66" s="293">
        <v>61</v>
      </c>
      <c r="C66" s="430">
        <v>466</v>
      </c>
      <c r="D66" s="293" t="e">
        <f>CONCATENATE(INDEX('CST-Final'!$C$4:$C$490,MATCH(C66,'CST-Final'!$B$4:$B$490,0)),"; ",INDEX('CST-Final'!$D$4:$D$490,MATCH(C66,'CST-Final'!$B$4:$B$490,0)))</f>
        <v>#N/A</v>
      </c>
      <c r="E66" s="293" t="e">
        <f>INDEX('CST-Final'!$F$4:$F$490,MATCH(C66,'CST-Final'!$B$4:$B$490,0))</f>
        <v>#N/A</v>
      </c>
      <c r="F66" s="293" t="e">
        <f>CONCATENATE(INDEX('CST-Final'!$BL$4:$BL$490,MATCH(C66,'CST-Final'!$B$4:$B$490,0)),IF(ISTEXT(INDEX('CST-Final'!$BM$4:$BM$490,MATCH(C66,'CST-Final'!$B$4:$B$490,0))),CONCATENATE(" level ",INDEX('CST-Final'!$BM$4:$BM$490,MATCH(C66,'CST-Final'!$B$4:$B$490,0))),CONCATENATE(" dated ",TEXT(INDEX('CST-Final'!$BM$4:$BM$490,MATCH(C66,'CST-Final'!$B$4:$B$490,0)),"dd.mm.yyyy"))))</f>
        <v>#N/A</v>
      </c>
      <c r="G66" s="462" t="e">
        <f>INDEX('CST-Final'!$BQ$4:$BQ$490,MATCH(C66,'CST-Final'!$B$4:$B$490,0))</f>
        <v>#N/A</v>
      </c>
      <c r="H66" s="293" t="e">
        <f>INDEX('Annexure-I'!$I$1:$I$1493,MATCH(C66,'Annexure-I'!$A$1:$A$1493,0))</f>
        <v>#N/A</v>
      </c>
      <c r="I66" s="462" t="e">
        <f>INDEX('CST-Final'!$BP$4:$BP$490,MATCH(C66,'CST-Final'!$B$4:$B$490,0))</f>
        <v>#N/A</v>
      </c>
      <c r="J66" s="462" t="e">
        <f>INDEX('CST-Final'!$BV$4:$BV$490,MATCH(C66,'CST-Final'!$B$4:$B$490,0))</f>
        <v>#N/A</v>
      </c>
      <c r="K66" s="293">
        <v>2022</v>
      </c>
      <c r="L66" s="393" t="e">
        <f>INDEX('CST-Final'!$BY$4:$BY$490,MATCH(C66,'CST-Final'!$B$4:$B$490,0))</f>
        <v>#N/A</v>
      </c>
      <c r="M66" s="457" t="e">
        <f t="shared" si="1"/>
        <v>#N/A</v>
      </c>
      <c r="N66" s="458" t="e">
        <f>(((J66/(INDEX('CST-Final'!$BK$4:$BK$490,MATCH(C66,'CST-Final'!$B$4:$B$490,0))*E66))^(1/M66))-1)</f>
        <v>#N/A</v>
      </c>
      <c r="O66" s="394"/>
      <c r="R66" s="396"/>
    </row>
    <row r="67" spans="2:18" s="395" customFormat="1" ht="29.25" customHeight="1" x14ac:dyDescent="0.25">
      <c r="B67" s="293">
        <v>62</v>
      </c>
      <c r="C67" s="430">
        <v>529</v>
      </c>
      <c r="D67" s="293" t="e">
        <f>CONCATENATE(INDEX('CST-Final'!$C$4:$C$490,MATCH(C67,'CST-Final'!$B$4:$B$490,0)),"; ",INDEX('CST-Final'!$D$4:$D$490,MATCH(C67,'CST-Final'!$B$4:$B$490,0)))</f>
        <v>#N/A</v>
      </c>
      <c r="E67" s="293" t="e">
        <f>INDEX('CST-Final'!$F$4:$F$490,MATCH(C67,'CST-Final'!$B$4:$B$490,0))</f>
        <v>#N/A</v>
      </c>
      <c r="F67" s="293" t="e">
        <f>CONCATENATE(INDEX('CST-Final'!$BL$4:$BL$490,MATCH(C67,'CST-Final'!$B$4:$B$490,0)),IF(ISTEXT(INDEX('CST-Final'!$BM$4:$BM$490,MATCH(C67,'CST-Final'!$B$4:$B$490,0))),CONCATENATE(" level ",INDEX('CST-Final'!$BM$4:$BM$490,MATCH(C67,'CST-Final'!$B$4:$B$490,0))),CONCATENATE(" dated ",TEXT(INDEX('CST-Final'!$BM$4:$BM$490,MATCH(C67,'CST-Final'!$B$4:$B$490,0)),"dd.mm.yyyy"))))</f>
        <v>#N/A</v>
      </c>
      <c r="G67" s="462" t="e">
        <f>INDEX('CST-Final'!$BQ$4:$BQ$490,MATCH(C67,'CST-Final'!$B$4:$B$490,0))</f>
        <v>#N/A</v>
      </c>
      <c r="H67" s="293" t="e">
        <f>INDEX('Annexure-I'!$I$1:$I$1493,MATCH(C67,'Annexure-I'!$A$1:$A$1493,0))</f>
        <v>#N/A</v>
      </c>
      <c r="I67" s="462" t="e">
        <f>INDEX('CST-Final'!$BP$4:$BP$490,MATCH(C67,'CST-Final'!$B$4:$B$490,0))</f>
        <v>#N/A</v>
      </c>
      <c r="J67" s="462" t="e">
        <f>INDEX('CST-Final'!$BV$4:$BV$490,MATCH(C67,'CST-Final'!$B$4:$B$490,0))</f>
        <v>#N/A</v>
      </c>
      <c r="K67" s="293">
        <v>2022</v>
      </c>
      <c r="L67" s="393" t="e">
        <f>INDEX('CST-Final'!$BY$4:$BY$490,MATCH(C67,'CST-Final'!$B$4:$B$490,0))</f>
        <v>#N/A</v>
      </c>
      <c r="M67" s="457" t="e">
        <f t="shared" si="1"/>
        <v>#N/A</v>
      </c>
      <c r="N67" s="458" t="e">
        <f>(((J67/(INDEX('CST-Final'!$BK$4:$BK$490,MATCH(C67,'CST-Final'!$B$4:$B$490,0))*E67))^(1/M67))-1)</f>
        <v>#N/A</v>
      </c>
      <c r="O67" s="394"/>
      <c r="R67" s="396"/>
    </row>
    <row r="68" spans="2:18" s="395" customFormat="1" ht="29.25" customHeight="1" x14ac:dyDescent="0.25">
      <c r="B68" s="293">
        <v>63</v>
      </c>
      <c r="C68" s="430">
        <v>530</v>
      </c>
      <c r="D68" s="293" t="e">
        <f>CONCATENATE(INDEX('CST-Final'!$C$4:$C$490,MATCH(C68,'CST-Final'!$B$4:$B$490,0)),"; ",INDEX('CST-Final'!$D$4:$D$490,MATCH(C68,'CST-Final'!$B$4:$B$490,0)))</f>
        <v>#N/A</v>
      </c>
      <c r="E68" s="293" t="e">
        <f>INDEX('CST-Final'!$F$4:$F$490,MATCH(C68,'CST-Final'!$B$4:$B$490,0))</f>
        <v>#N/A</v>
      </c>
      <c r="F68" s="293" t="e">
        <f>CONCATENATE(INDEX('CST-Final'!$BL$4:$BL$490,MATCH(C68,'CST-Final'!$B$4:$B$490,0)),IF(ISTEXT(INDEX('CST-Final'!$BM$4:$BM$490,MATCH(C68,'CST-Final'!$B$4:$B$490,0))),CONCATENATE(" level ",INDEX('CST-Final'!$BM$4:$BM$490,MATCH(C68,'CST-Final'!$B$4:$B$490,0))),CONCATENATE(" dated ",TEXT(INDEX('CST-Final'!$BM$4:$BM$490,MATCH(C68,'CST-Final'!$B$4:$B$490,0)),"dd.mm.yyyy"))))</f>
        <v>#N/A</v>
      </c>
      <c r="G68" s="462" t="e">
        <f>INDEX('CST-Final'!$BQ$4:$BQ$490,MATCH(C68,'CST-Final'!$B$4:$B$490,0))</f>
        <v>#N/A</v>
      </c>
      <c r="H68" s="293" t="e">
        <f>INDEX('Annexure-I'!$I$1:$I$1493,MATCH(C68,'Annexure-I'!$A$1:$A$1493,0))</f>
        <v>#N/A</v>
      </c>
      <c r="I68" s="462" t="e">
        <f>INDEX('CST-Final'!$BP$4:$BP$490,MATCH(C68,'CST-Final'!$B$4:$B$490,0))</f>
        <v>#N/A</v>
      </c>
      <c r="J68" s="462" t="e">
        <f>INDEX('CST-Final'!$BV$4:$BV$490,MATCH(C68,'CST-Final'!$B$4:$B$490,0))</f>
        <v>#N/A</v>
      </c>
      <c r="K68" s="293">
        <v>2022</v>
      </c>
      <c r="L68" s="393" t="e">
        <f>INDEX('CST-Final'!$BY$4:$BY$490,MATCH(C68,'CST-Final'!$B$4:$B$490,0))</f>
        <v>#N/A</v>
      </c>
      <c r="M68" s="457" t="e">
        <f t="shared" si="1"/>
        <v>#N/A</v>
      </c>
      <c r="N68" s="458" t="e">
        <f>(((J68/(INDEX('CST-Final'!$BK$4:$BK$490,MATCH(C68,'CST-Final'!$B$4:$B$490,0))*E68))^(1/M68))-1)</f>
        <v>#N/A</v>
      </c>
      <c r="O68" s="394"/>
      <c r="R68" s="396"/>
    </row>
    <row r="69" spans="2:18" s="395" customFormat="1" ht="29.25" customHeight="1" x14ac:dyDescent="0.25">
      <c r="B69" s="293">
        <v>64</v>
      </c>
      <c r="C69" s="430">
        <v>540</v>
      </c>
      <c r="D69" s="293" t="e">
        <f>CONCATENATE(INDEX('CST-Final'!$C$4:$C$490,MATCH(C69,'CST-Final'!$B$4:$B$490,0)),"; ",INDEX('CST-Final'!$D$4:$D$490,MATCH(C69,'CST-Final'!$B$4:$B$490,0)))</f>
        <v>#N/A</v>
      </c>
      <c r="E69" s="293" t="e">
        <f>INDEX('CST-Final'!$F$4:$F$490,MATCH(C69,'CST-Final'!$B$4:$B$490,0))</f>
        <v>#N/A</v>
      </c>
      <c r="F69" s="293" t="e">
        <f>CONCATENATE(INDEX('CST-Final'!$BL$4:$BL$490,MATCH(C69,'CST-Final'!$B$4:$B$490,0)),IF(ISTEXT(INDEX('CST-Final'!$BM$4:$BM$490,MATCH(C69,'CST-Final'!$B$4:$B$490,0))),CONCATENATE(" level ",INDEX('CST-Final'!$BM$4:$BM$490,MATCH(C69,'CST-Final'!$B$4:$B$490,0))),CONCATENATE(" dated ",TEXT(INDEX('CST-Final'!$BM$4:$BM$490,MATCH(C69,'CST-Final'!$B$4:$B$490,0)),"dd.mm.yyyy"))))</f>
        <v>#N/A</v>
      </c>
      <c r="G69" s="462" t="e">
        <f>INDEX('CST-Final'!$BQ$4:$BQ$490,MATCH(C69,'CST-Final'!$B$4:$B$490,0))</f>
        <v>#N/A</v>
      </c>
      <c r="H69" s="293" t="e">
        <f>INDEX('Annexure-I'!$I$1:$I$1493,MATCH(C69,'Annexure-I'!$A$1:$A$1493,0))</f>
        <v>#N/A</v>
      </c>
      <c r="I69" s="462" t="e">
        <f>INDEX('CST-Final'!$BP$4:$BP$490,MATCH(C69,'CST-Final'!$B$4:$B$490,0))</f>
        <v>#N/A</v>
      </c>
      <c r="J69" s="462" t="e">
        <f>INDEX('CST-Final'!$BV$4:$BV$490,MATCH(C69,'CST-Final'!$B$4:$B$490,0))</f>
        <v>#N/A</v>
      </c>
      <c r="K69" s="293">
        <v>2022</v>
      </c>
      <c r="L69" s="393" t="e">
        <f>INDEX('CST-Final'!$BY$4:$BY$490,MATCH(C69,'CST-Final'!$B$4:$B$490,0))</f>
        <v>#N/A</v>
      </c>
      <c r="M69" s="457" t="e">
        <f t="shared" si="1"/>
        <v>#N/A</v>
      </c>
      <c r="N69" s="458" t="e">
        <f>(((J69/(INDEX('CST-Final'!$BK$4:$BK$490,MATCH(C69,'CST-Final'!$B$4:$B$490,0))*E69))^(1/M69))-1)</f>
        <v>#N/A</v>
      </c>
      <c r="O69" s="394"/>
      <c r="R69" s="396"/>
    </row>
    <row r="70" spans="2:18" s="395" customFormat="1" ht="29.25" customHeight="1" x14ac:dyDescent="0.25">
      <c r="B70" s="293">
        <v>65</v>
      </c>
      <c r="C70" s="430">
        <v>551</v>
      </c>
      <c r="D70" s="293" t="e">
        <f>CONCATENATE(INDEX('CST-Final'!$C$4:$C$490,MATCH(C70,'CST-Final'!$B$4:$B$490,0)),"; ",INDEX('CST-Final'!$D$4:$D$490,MATCH(C70,'CST-Final'!$B$4:$B$490,0)))</f>
        <v>#N/A</v>
      </c>
      <c r="E70" s="293" t="e">
        <f>INDEX('CST-Final'!$F$4:$F$490,MATCH(C70,'CST-Final'!$B$4:$B$490,0))</f>
        <v>#N/A</v>
      </c>
      <c r="F70" s="293" t="e">
        <f>CONCATENATE(INDEX('CST-Final'!$BL$4:$BL$490,MATCH(C70,'CST-Final'!$B$4:$B$490,0)),IF(ISTEXT(INDEX('CST-Final'!$BM$4:$BM$490,MATCH(C70,'CST-Final'!$B$4:$B$490,0))),CONCATENATE(" level ",INDEX('CST-Final'!$BM$4:$BM$490,MATCH(C70,'CST-Final'!$B$4:$B$490,0))),CONCATENATE(" dated ",TEXT(INDEX('CST-Final'!$BM$4:$BM$490,MATCH(C70,'CST-Final'!$B$4:$B$490,0)),"dd.mm.yyyy"))))</f>
        <v>#N/A</v>
      </c>
      <c r="G70" s="462" t="e">
        <f>INDEX('CST-Final'!$BQ$4:$BQ$490,MATCH(C70,'CST-Final'!$B$4:$B$490,0))</f>
        <v>#N/A</v>
      </c>
      <c r="H70" s="293" t="e">
        <f>INDEX('Annexure-I'!$I$1:$I$1493,MATCH(C70,'Annexure-I'!$A$1:$A$1493,0))</f>
        <v>#N/A</v>
      </c>
      <c r="I70" s="462" t="e">
        <f>INDEX('CST-Final'!$BP$4:$BP$490,MATCH(C70,'CST-Final'!$B$4:$B$490,0))</f>
        <v>#N/A</v>
      </c>
      <c r="J70" s="462" t="e">
        <f>INDEX('CST-Final'!$BV$4:$BV$490,MATCH(C70,'CST-Final'!$B$4:$B$490,0))</f>
        <v>#N/A</v>
      </c>
      <c r="K70" s="293">
        <v>2022</v>
      </c>
      <c r="L70" s="393" t="e">
        <f>INDEX('CST-Final'!$BY$4:$BY$490,MATCH(C70,'CST-Final'!$B$4:$B$490,0))</f>
        <v>#N/A</v>
      </c>
      <c r="M70" s="457" t="e">
        <f t="shared" si="1"/>
        <v>#N/A</v>
      </c>
      <c r="N70" s="458" t="e">
        <f>(((J70/(INDEX('CST-Final'!$BK$4:$BK$490,MATCH(C70,'CST-Final'!$B$4:$B$490,0))*E70))^(1/M70))-1)</f>
        <v>#N/A</v>
      </c>
      <c r="O70" s="394"/>
      <c r="R70" s="396"/>
    </row>
    <row r="71" spans="2:18" s="395" customFormat="1" ht="29.25" customHeight="1" x14ac:dyDescent="0.25">
      <c r="B71" s="293">
        <v>66</v>
      </c>
      <c r="C71" s="430">
        <v>631</v>
      </c>
      <c r="D71" s="293" t="e">
        <f>CONCATENATE(INDEX('CST-Final'!$C$4:$C$490,MATCH(C71,'CST-Final'!$B$4:$B$490,0)),"; ",INDEX('CST-Final'!$D$4:$D$490,MATCH(C71,'CST-Final'!$B$4:$B$490,0)))</f>
        <v>#N/A</v>
      </c>
      <c r="E71" s="293" t="e">
        <f>INDEX('CST-Final'!$F$4:$F$490,MATCH(C71,'CST-Final'!$B$4:$B$490,0))</f>
        <v>#N/A</v>
      </c>
      <c r="F71" s="293" t="e">
        <f>CONCATENATE(INDEX('CST-Final'!$BL$4:$BL$490,MATCH(C71,'CST-Final'!$B$4:$B$490,0)),IF(ISTEXT(INDEX('CST-Final'!$BM$4:$BM$490,MATCH(C71,'CST-Final'!$B$4:$B$490,0))),CONCATENATE(" level ",INDEX('CST-Final'!$BM$4:$BM$490,MATCH(C71,'CST-Final'!$B$4:$B$490,0))),CONCATENATE(" dated ",TEXT(INDEX('CST-Final'!$BM$4:$BM$490,MATCH(C71,'CST-Final'!$B$4:$B$490,0)),"dd.mm.yyyy"))))</f>
        <v>#N/A</v>
      </c>
      <c r="G71" s="462" t="e">
        <f>INDEX('CST-Final'!$BQ$4:$BQ$490,MATCH(C71,'CST-Final'!$B$4:$B$490,0))</f>
        <v>#N/A</v>
      </c>
      <c r="H71" s="293" t="e">
        <f>INDEX('Annexure-I'!$I$1:$I$1493,MATCH(C71,'Annexure-I'!$A$1:$A$1493,0))</f>
        <v>#N/A</v>
      </c>
      <c r="I71" s="462" t="e">
        <f>INDEX('CST-Final'!$BP$4:$BP$490,MATCH(C71,'CST-Final'!$B$4:$B$490,0))</f>
        <v>#N/A</v>
      </c>
      <c r="J71" s="462" t="e">
        <f>INDEX('CST-Final'!$BV$4:$BV$490,MATCH(C71,'CST-Final'!$B$4:$B$490,0))</f>
        <v>#N/A</v>
      </c>
      <c r="K71" s="293">
        <v>2022</v>
      </c>
      <c r="L71" s="393" t="e">
        <f>INDEX('CST-Final'!$BY$4:$BY$490,MATCH(C71,'CST-Final'!$B$4:$B$490,0))</f>
        <v>#N/A</v>
      </c>
      <c r="M71" s="457" t="e">
        <f t="shared" si="1"/>
        <v>#N/A</v>
      </c>
      <c r="N71" s="458" t="e">
        <f>(((J71/(INDEX('CST-Final'!$BK$4:$BK$490,MATCH(C71,'CST-Final'!$B$4:$B$490,0))*E71))^(1/M71))-1)</f>
        <v>#N/A</v>
      </c>
      <c r="O71" s="394"/>
      <c r="R71" s="396"/>
    </row>
    <row r="72" spans="2:18" ht="25.5" customHeight="1" x14ac:dyDescent="0.25">
      <c r="B72" s="293"/>
      <c r="C72" s="397"/>
      <c r="D72" s="292"/>
      <c r="E72" s="293"/>
      <c r="F72" s="293"/>
      <c r="G72" s="456" t="e">
        <f>SUM(G6:G71)</f>
        <v>#N/A</v>
      </c>
      <c r="H72" s="391"/>
      <c r="I72" s="297" t="e">
        <f>SUM(I6:I71)</f>
        <v>#N/A</v>
      </c>
      <c r="J72" s="297" t="e">
        <f>SUM(J6:J71)</f>
        <v>#N/A</v>
      </c>
      <c r="K72" s="630"/>
      <c r="L72" s="631" t="e">
        <f>(J72-G72)/G72</f>
        <v>#N/A</v>
      </c>
      <c r="M72" s="397"/>
      <c r="N72" s="397"/>
      <c r="O72" s="442"/>
    </row>
    <row r="73" spans="2:18" ht="129" customHeight="1" x14ac:dyDescent="0.25">
      <c r="B73" s="293"/>
      <c r="C73" s="1046" t="s">
        <v>388</v>
      </c>
      <c r="D73" s="1046"/>
      <c r="E73" s="1047" t="s">
        <v>389</v>
      </c>
      <c r="F73" s="1047"/>
      <c r="G73" s="1047"/>
      <c r="H73" s="1047"/>
      <c r="I73" s="1047" t="s">
        <v>390</v>
      </c>
      <c r="J73" s="1047"/>
      <c r="K73" s="1047"/>
      <c r="L73" s="1047"/>
      <c r="M73" s="1047"/>
      <c r="N73" s="1047"/>
    </row>
    <row r="74" spans="2:18" ht="19.5" customHeight="1" x14ac:dyDescent="0.25">
      <c r="B74" s="385" t="s">
        <v>391</v>
      </c>
    </row>
    <row r="75" spans="2:18" ht="19.5" customHeight="1" x14ac:dyDescent="0.25">
      <c r="B75" s="385" t="s">
        <v>392</v>
      </c>
    </row>
    <row r="76" spans="2:18" ht="19.5" customHeight="1" x14ac:dyDescent="0.25">
      <c r="B76" s="385" t="s">
        <v>393</v>
      </c>
    </row>
  </sheetData>
  <mergeCells count="15">
    <mergeCell ref="C73:D73"/>
    <mergeCell ref="E73:H73"/>
    <mergeCell ref="I73:N73"/>
    <mergeCell ref="B1:N1"/>
    <mergeCell ref="B2:N2"/>
    <mergeCell ref="B3:N3"/>
    <mergeCell ref="B4:B5"/>
    <mergeCell ref="C4:C5"/>
    <mergeCell ref="D4:D5"/>
    <mergeCell ref="E4:E5"/>
    <mergeCell ref="F4:H4"/>
    <mergeCell ref="I4:K4"/>
    <mergeCell ref="L4:L5"/>
    <mergeCell ref="M4:M5"/>
    <mergeCell ref="N4:N5"/>
  </mergeCells>
  <conditionalFormatting sqref="L6:L7">
    <cfRule type="cellIs" dxfId="10" priority="12" operator="greaterThan">
      <formula>0</formula>
    </cfRule>
  </conditionalFormatting>
  <conditionalFormatting sqref="L8">
    <cfRule type="cellIs" dxfId="9" priority="11" operator="greaterThan">
      <formula>0</formula>
    </cfRule>
  </conditionalFormatting>
  <conditionalFormatting sqref="L9">
    <cfRule type="cellIs" dxfId="8" priority="10" operator="greaterThan">
      <formula>0</formula>
    </cfRule>
  </conditionalFormatting>
  <conditionalFormatting sqref="L10">
    <cfRule type="cellIs" dxfId="7" priority="9" operator="greaterThan">
      <formula>0</formula>
    </cfRule>
  </conditionalFormatting>
  <conditionalFormatting sqref="L11">
    <cfRule type="cellIs" dxfId="6" priority="8" operator="greaterThan">
      <formula>0</formula>
    </cfRule>
  </conditionalFormatting>
  <conditionalFormatting sqref="L12">
    <cfRule type="cellIs" dxfId="5" priority="7" operator="greaterThan">
      <formula>0</formula>
    </cfRule>
  </conditionalFormatting>
  <conditionalFormatting sqref="L13">
    <cfRule type="cellIs" dxfId="4" priority="6" operator="greaterThan">
      <formula>0</formula>
    </cfRule>
  </conditionalFormatting>
  <conditionalFormatting sqref="L14">
    <cfRule type="cellIs" dxfId="3" priority="5" operator="greaterThan">
      <formula>0</formula>
    </cfRule>
  </conditionalFormatting>
  <conditionalFormatting sqref="L15:L24">
    <cfRule type="cellIs" dxfId="2" priority="4" operator="greaterThan">
      <formula>0</formula>
    </cfRule>
  </conditionalFormatting>
  <conditionalFormatting sqref="L25:L26">
    <cfRule type="cellIs" dxfId="1" priority="3" operator="greaterThan">
      <formula>0</formula>
    </cfRule>
  </conditionalFormatting>
  <conditionalFormatting sqref="L27:L71">
    <cfRule type="cellIs" dxfId="0" priority="1" operator="greaterThan">
      <formula>0</formula>
    </cfRule>
  </conditionalFormatting>
  <pageMargins left="0.35433070866141736" right="0" top="0.84" bottom="0.36" header="0.35433070866141736" footer="0.17"/>
  <pageSetup paperSize="9" scale="75" orientation="landscape" r:id="rId1"/>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37"/>
  <sheetViews>
    <sheetView view="pageBreakPreview" zoomScale="85" zoomScaleSheetLayoutView="85" workbookViewId="0">
      <selection activeCell="A2" sqref="A2"/>
    </sheetView>
  </sheetViews>
  <sheetFormatPr defaultColWidth="9.140625" defaultRowHeight="15" x14ac:dyDescent="0.25"/>
  <cols>
    <col min="1" max="1" width="9.140625" style="45"/>
    <col min="2" max="2" width="25.42578125" style="398" customWidth="1"/>
    <col min="3" max="3" width="12.28515625" style="398" customWidth="1"/>
    <col min="4" max="4" width="9.28515625" style="398" customWidth="1"/>
    <col min="5" max="5" width="19" style="398" customWidth="1"/>
    <col min="6" max="6" width="21.7109375" style="398" customWidth="1"/>
    <col min="7" max="7" width="44.28515625" style="398" customWidth="1"/>
    <col min="8" max="16384" width="9.140625" style="45"/>
  </cols>
  <sheetData>
    <row r="1" spans="1:9" ht="27.75" customHeight="1" x14ac:dyDescent="0.25">
      <c r="A1" s="459" t="s">
        <v>116</v>
      </c>
      <c r="G1" s="399" t="s">
        <v>403</v>
      </c>
    </row>
    <row r="2" spans="1:9" ht="21" customHeight="1" x14ac:dyDescent="0.25">
      <c r="B2" s="1059" t="s">
        <v>404</v>
      </c>
      <c r="C2" s="1059"/>
      <c r="D2" s="1059"/>
      <c r="E2" s="1059"/>
      <c r="F2" s="1059"/>
      <c r="G2" s="1059"/>
    </row>
    <row r="3" spans="1:9" ht="21" customHeight="1" x14ac:dyDescent="0.25">
      <c r="B3" s="1059" t="s">
        <v>405</v>
      </c>
      <c r="C3" s="1059"/>
      <c r="D3" s="1059"/>
      <c r="E3" s="1059"/>
      <c r="F3" s="1059"/>
      <c r="G3" s="1059"/>
    </row>
    <row r="4" spans="1:9" ht="21" customHeight="1" x14ac:dyDescent="0.25">
      <c r="B4" s="1059" t="s">
        <v>406</v>
      </c>
      <c r="C4" s="1059"/>
      <c r="D4" s="1059"/>
      <c r="E4" s="1059"/>
      <c r="F4" s="1059"/>
      <c r="G4" s="1059"/>
      <c r="I4" s="400"/>
    </row>
    <row r="5" spans="1:9" ht="21" customHeight="1" thickBot="1" x14ac:dyDescent="0.3">
      <c r="B5" s="401" t="s">
        <v>407</v>
      </c>
      <c r="C5" s="402"/>
      <c r="G5" s="401" t="str">
        <f>CONCATENATE("DPO No. :","   ",HLOOKUP(A1,Form!D25:I42,13,FALSE))</f>
        <v xml:space="preserve">DPO No. :   </v>
      </c>
      <c r="I5" s="403"/>
    </row>
    <row r="6" spans="1:9" ht="31.5" customHeight="1" x14ac:dyDescent="0.25">
      <c r="B6" s="1055" t="s">
        <v>408</v>
      </c>
      <c r="C6" s="1060"/>
      <c r="D6" s="1055" t="s">
        <v>109</v>
      </c>
      <c r="E6" s="1056"/>
      <c r="F6" s="1060"/>
      <c r="G6" s="404" t="s">
        <v>409</v>
      </c>
      <c r="I6" s="400"/>
    </row>
    <row r="7" spans="1:9" ht="31.5" customHeight="1" thickBot="1" x14ac:dyDescent="0.3">
      <c r="B7" s="1061" t="str">
        <f>Form!D5</f>
        <v>MiG/SUROH</v>
      </c>
      <c r="C7" s="1062"/>
      <c r="D7" s="1061" t="str">
        <f>Form!H5</f>
        <v>ROH</v>
      </c>
      <c r="E7" s="1063"/>
      <c r="F7" s="1062"/>
      <c r="G7" s="405" t="s">
        <v>410</v>
      </c>
      <c r="I7" s="406"/>
    </row>
    <row r="8" spans="1:9" ht="16.5" thickBot="1" x14ac:dyDescent="0.3">
      <c r="B8" s="1064" t="s">
        <v>411</v>
      </c>
      <c r="C8" s="1065"/>
      <c r="D8" s="1065"/>
      <c r="E8" s="1065"/>
      <c r="F8" s="1065"/>
      <c r="G8" s="1066"/>
      <c r="I8" s="400"/>
    </row>
    <row r="9" spans="1:9" ht="31.5" customHeight="1" thickBot="1" x14ac:dyDescent="0.3">
      <c r="B9" s="1067" t="s">
        <v>110</v>
      </c>
      <c r="C9" s="1068"/>
      <c r="D9" s="1064" t="s">
        <v>412</v>
      </c>
      <c r="E9" s="1065"/>
      <c r="F9" s="1065"/>
      <c r="G9" s="407" t="s">
        <v>413</v>
      </c>
    </row>
    <row r="10" spans="1:9" ht="44.25" customHeight="1" thickBot="1" x14ac:dyDescent="0.3">
      <c r="B10" s="1069">
        <f>Form!H6</f>
        <v>0</v>
      </c>
      <c r="C10" s="1070"/>
      <c r="D10" s="1069" t="str">
        <f>CONCATENATE(Form!H6,"  Rolling Task")</f>
        <v xml:space="preserve">  Rolling Task</v>
      </c>
      <c r="E10" s="1071"/>
      <c r="F10" s="1071"/>
      <c r="G10" s="405">
        <f>Form!H6</f>
        <v>0</v>
      </c>
      <c r="I10" s="408"/>
    </row>
    <row r="11" spans="1:9" ht="15" customHeight="1" x14ac:dyDescent="0.25">
      <c r="B11" s="1049" t="s">
        <v>414</v>
      </c>
      <c r="C11" s="1051" t="s">
        <v>415</v>
      </c>
      <c r="D11" s="1052"/>
      <c r="E11" s="1055" t="s">
        <v>416</v>
      </c>
      <c r="F11" s="1056"/>
      <c r="G11" s="1049" t="s">
        <v>417</v>
      </c>
    </row>
    <row r="12" spans="1:9" ht="15" customHeight="1" x14ac:dyDescent="0.25">
      <c r="B12" s="1050"/>
      <c r="C12" s="1053"/>
      <c r="D12" s="1054"/>
      <c r="E12" s="1057"/>
      <c r="F12" s="1058"/>
      <c r="G12" s="1050"/>
    </row>
    <row r="13" spans="1:9" ht="24.75" customHeight="1" thickBot="1" x14ac:dyDescent="0.3">
      <c r="B13" s="409" t="s">
        <v>418</v>
      </c>
      <c r="C13" s="1072">
        <f>Form!C26</f>
        <v>4</v>
      </c>
      <c r="D13" s="1073"/>
      <c r="E13" s="1061" t="str">
        <f>A1</f>
        <v>ADRYS</v>
      </c>
      <c r="F13" s="1063"/>
      <c r="G13" s="409" t="str">
        <f>HLOOKUP(A1,Form!D25:I50,19,FALSE)</f>
        <v>INDIA</v>
      </c>
    </row>
    <row r="14" spans="1:9" ht="29.25" customHeight="1" x14ac:dyDescent="0.25">
      <c r="B14" s="1055" t="s">
        <v>419</v>
      </c>
      <c r="C14" s="1056"/>
      <c r="D14" s="1060"/>
      <c r="E14" s="1055" t="s">
        <v>420</v>
      </c>
      <c r="F14" s="1060"/>
      <c r="G14" s="410" t="s">
        <v>421</v>
      </c>
    </row>
    <row r="15" spans="1:9" s="201" customFormat="1" ht="70.5" customHeight="1" thickBot="1" x14ac:dyDescent="0.3">
      <c r="B15" s="1061">
        <f>PP!G18</f>
        <v>2</v>
      </c>
      <c r="C15" s="1063"/>
      <c r="D15" s="1062"/>
      <c r="E15" s="1061" t="str">
        <f>CONCATENATE(PP!G18," Types of ",Form!D7)</f>
        <v>2 Types of Procurement of BoI Spares &amp; Repair of KOPYO Cards</v>
      </c>
      <c r="F15" s="1062"/>
      <c r="G15" s="409" t="str">
        <f>HLOOKUP(A1,Form!D25:I50,6,FALSE)</f>
        <v>52-60 weeks from the date of receipt of PO.</v>
      </c>
    </row>
    <row r="16" spans="1:9" ht="25.5" customHeight="1" x14ac:dyDescent="0.25">
      <c r="B16" s="1055" t="s">
        <v>422</v>
      </c>
      <c r="C16" s="1056"/>
      <c r="D16" s="1060"/>
      <c r="E16" s="1055" t="s">
        <v>423</v>
      </c>
      <c r="F16" s="1060"/>
      <c r="G16" s="410" t="s">
        <v>424</v>
      </c>
    </row>
    <row r="17" spans="2:7" ht="69" customHeight="1" thickBot="1" x14ac:dyDescent="0.3">
      <c r="B17" s="1061" t="str">
        <f>CONCATENATE("USD ",FIXED(PP!J18,2),"")</f>
        <v>USD 0.00</v>
      </c>
      <c r="C17" s="1063"/>
      <c r="D17" s="1062"/>
      <c r="E17" s="1061" t="str">
        <f>CONCATENATE(" INR ",FIXED(PP!B4,2)," Lakhs")</f>
        <v xml:space="preserve"> INR 0.00 Lakhs</v>
      </c>
      <c r="F17" s="1062"/>
      <c r="G17" s="411" t="str">
        <f>HLOOKUP(A1,Form!D25:I50,7,FALSE)</f>
        <v>100% payment within 30 days from the date of supply &amp; acceptance.</v>
      </c>
    </row>
    <row r="18" spans="2:7" ht="20.25" customHeight="1" x14ac:dyDescent="0.25">
      <c r="B18" s="1055" t="s">
        <v>425</v>
      </c>
      <c r="C18" s="1056"/>
      <c r="D18" s="1060"/>
      <c r="E18" s="1055" t="s">
        <v>426</v>
      </c>
      <c r="F18" s="1060"/>
      <c r="G18" s="410" t="s">
        <v>427</v>
      </c>
    </row>
    <row r="19" spans="2:7" ht="42.75" customHeight="1" thickBot="1" x14ac:dyDescent="0.3">
      <c r="B19" s="1061" t="s">
        <v>428</v>
      </c>
      <c r="C19" s="1063"/>
      <c r="D19" s="1062"/>
      <c r="E19" s="1061" t="s">
        <v>429</v>
      </c>
      <c r="F19" s="1062"/>
      <c r="G19" s="409" t="str">
        <f>TEXT(HLOOKUP(A1,Form!D25:I50,4,FALSE),"dd-mm-yyy")</f>
        <v>20-07-2023</v>
      </c>
    </row>
    <row r="20" spans="2:7" ht="32.25" customHeight="1" x14ac:dyDescent="0.25">
      <c r="B20" s="1055" t="s">
        <v>430</v>
      </c>
      <c r="C20" s="1056"/>
      <c r="D20" s="1060"/>
      <c r="E20" s="1055" t="s">
        <v>431</v>
      </c>
      <c r="F20" s="1060"/>
      <c r="G20" s="404" t="s">
        <v>432</v>
      </c>
    </row>
    <row r="21" spans="2:7" s="412" customFormat="1" ht="29.25" customHeight="1" thickBot="1" x14ac:dyDescent="0.3">
      <c r="B21" s="1061">
        <v>31052060</v>
      </c>
      <c r="C21" s="1063"/>
      <c r="D21" s="1062"/>
      <c r="E21" s="1061" t="s">
        <v>433</v>
      </c>
      <c r="F21" s="1062"/>
      <c r="G21" s="409" t="s">
        <v>434</v>
      </c>
    </row>
    <row r="22" spans="2:7" s="202" customFormat="1" ht="41.25" customHeight="1" x14ac:dyDescent="0.25">
      <c r="B22" s="1074" t="s">
        <v>435</v>
      </c>
      <c r="C22" s="1075"/>
      <c r="D22" s="1075"/>
      <c r="E22" s="1076"/>
      <c r="F22" s="1074" t="s">
        <v>436</v>
      </c>
      <c r="G22" s="1076"/>
    </row>
    <row r="23" spans="2:7" ht="16.5" customHeight="1" x14ac:dyDescent="0.25">
      <c r="B23" s="413" t="s">
        <v>437</v>
      </c>
      <c r="C23" s="414"/>
      <c r="D23" s="414"/>
      <c r="E23" s="415"/>
      <c r="F23" s="416"/>
      <c r="G23" s="415"/>
    </row>
    <row r="24" spans="2:7" ht="16.5" customHeight="1" x14ac:dyDescent="0.25">
      <c r="B24" s="413" t="s">
        <v>438</v>
      </c>
      <c r="C24" s="414"/>
      <c r="D24" s="414"/>
      <c r="E24" s="415"/>
      <c r="F24" s="416"/>
      <c r="G24" s="415"/>
    </row>
    <row r="25" spans="2:7" ht="15" customHeight="1" x14ac:dyDescent="0.2">
      <c r="B25" s="417" t="s">
        <v>439</v>
      </c>
      <c r="C25" s="414"/>
      <c r="D25" s="418"/>
      <c r="E25" s="419"/>
      <c r="F25" s="420"/>
      <c r="G25" s="419"/>
    </row>
    <row r="26" spans="2:7" ht="15.75" customHeight="1" thickBot="1" x14ac:dyDescent="0.3">
      <c r="B26" s="1077" t="s">
        <v>17</v>
      </c>
      <c r="C26" s="1078"/>
      <c r="D26" s="1078"/>
      <c r="E26" s="1079"/>
      <c r="F26" s="1080"/>
      <c r="G26" s="1081"/>
    </row>
    <row r="27" spans="2:7" s="202" customFormat="1" ht="15" customHeight="1" x14ac:dyDescent="0.25">
      <c r="B27" s="1074" t="s">
        <v>440</v>
      </c>
      <c r="C27" s="1075"/>
      <c r="D27" s="1075"/>
      <c r="E27" s="1076"/>
      <c r="F27" s="1074" t="s">
        <v>441</v>
      </c>
      <c r="G27" s="1076"/>
    </row>
    <row r="28" spans="2:7" ht="23.25" customHeight="1" thickBot="1" x14ac:dyDescent="0.3">
      <c r="B28" s="1061" t="s">
        <v>442</v>
      </c>
      <c r="C28" s="1063"/>
      <c r="D28" s="1063"/>
      <c r="E28" s="1062"/>
      <c r="F28" s="1061" t="str">
        <f>PP!K18</f>
        <v xml:space="preserve">(-) 100% </v>
      </c>
      <c r="G28" s="1062"/>
    </row>
    <row r="29" spans="2:7" s="202" customFormat="1" ht="15" customHeight="1" x14ac:dyDescent="0.25">
      <c r="B29" s="1074" t="s">
        <v>443</v>
      </c>
      <c r="C29" s="1075"/>
      <c r="D29" s="1075"/>
      <c r="E29" s="1076"/>
      <c r="F29" s="1074" t="s">
        <v>444</v>
      </c>
      <c r="G29" s="1076"/>
    </row>
    <row r="30" spans="2:7" ht="38.25" customHeight="1" thickBot="1" x14ac:dyDescent="0.3">
      <c r="B30" s="1061" t="s">
        <v>445</v>
      </c>
      <c r="C30" s="1063"/>
      <c r="D30" s="1063"/>
      <c r="E30" s="1062"/>
      <c r="F30" s="1061" t="s">
        <v>446</v>
      </c>
      <c r="G30" s="1062"/>
    </row>
    <row r="31" spans="2:7" ht="19.5" customHeight="1" thickBot="1" x14ac:dyDescent="0.3">
      <c r="B31" s="1082" t="s">
        <v>447</v>
      </c>
      <c r="C31" s="1083"/>
      <c r="D31" s="1083"/>
      <c r="E31" s="1083"/>
      <c r="F31" s="421" t="str">
        <f>Form!D5</f>
        <v>MiG/SUROH</v>
      </c>
      <c r="G31" s="422"/>
    </row>
    <row r="34" spans="2:7" x14ac:dyDescent="0.25">
      <c r="B34" s="423"/>
    </row>
    <row r="35" spans="2:7" ht="15.75" x14ac:dyDescent="0.25">
      <c r="B35" s="424" t="s">
        <v>448</v>
      </c>
      <c r="E35" s="401" t="s">
        <v>449</v>
      </c>
      <c r="G35" s="403" t="s">
        <v>450</v>
      </c>
    </row>
    <row r="36" spans="2:7" s="202" customFormat="1" ht="18" customHeight="1" x14ac:dyDescent="0.25">
      <c r="B36" s="1084" t="s">
        <v>451</v>
      </c>
      <c r="C36" s="1084"/>
      <c r="D36" s="1084"/>
      <c r="E36" s="1084"/>
      <c r="F36" s="1084"/>
      <c r="G36" s="1084"/>
    </row>
    <row r="37" spans="2:7" s="202" customFormat="1" ht="18" customHeight="1" x14ac:dyDescent="0.25">
      <c r="B37" s="1084" t="s">
        <v>452</v>
      </c>
      <c r="C37" s="1084"/>
      <c r="D37" s="1084"/>
      <c r="E37" s="1084"/>
      <c r="F37" s="1084"/>
      <c r="G37" s="1084"/>
    </row>
  </sheetData>
  <mergeCells count="49">
    <mergeCell ref="B31:E31"/>
    <mergeCell ref="B36:G36"/>
    <mergeCell ref="B37:G37"/>
    <mergeCell ref="B28:E28"/>
    <mergeCell ref="F28:G28"/>
    <mergeCell ref="B29:E29"/>
    <mergeCell ref="F29:G29"/>
    <mergeCell ref="B30:E30"/>
    <mergeCell ref="F30:G30"/>
    <mergeCell ref="B22:E22"/>
    <mergeCell ref="F22:G22"/>
    <mergeCell ref="B26:E26"/>
    <mergeCell ref="F26:G26"/>
    <mergeCell ref="B27:E27"/>
    <mergeCell ref="F27:G27"/>
    <mergeCell ref="B19:D19"/>
    <mergeCell ref="E19:F19"/>
    <mergeCell ref="B20:D20"/>
    <mergeCell ref="E20:F20"/>
    <mergeCell ref="B21:D21"/>
    <mergeCell ref="E21:F21"/>
    <mergeCell ref="B16:D16"/>
    <mergeCell ref="E16:F16"/>
    <mergeCell ref="B17:D17"/>
    <mergeCell ref="E17:F17"/>
    <mergeCell ref="B18:D18"/>
    <mergeCell ref="E18:F18"/>
    <mergeCell ref="C13:D13"/>
    <mergeCell ref="E13:F13"/>
    <mergeCell ref="B14:D14"/>
    <mergeCell ref="E14:F14"/>
    <mergeCell ref="B15:D15"/>
    <mergeCell ref="E15:F15"/>
    <mergeCell ref="B11:B12"/>
    <mergeCell ref="C11:D12"/>
    <mergeCell ref="E11:F12"/>
    <mergeCell ref="G11:G12"/>
    <mergeCell ref="B2:G2"/>
    <mergeCell ref="B3:G3"/>
    <mergeCell ref="B4:G4"/>
    <mergeCell ref="B6:C6"/>
    <mergeCell ref="D6:F6"/>
    <mergeCell ref="B7:C7"/>
    <mergeCell ref="D7:F7"/>
    <mergeCell ref="B8:G8"/>
    <mergeCell ref="B9:C9"/>
    <mergeCell ref="D9:F9"/>
    <mergeCell ref="B10:C10"/>
    <mergeCell ref="D10:F10"/>
  </mergeCells>
  <pageMargins left="0.7" right="0.7" top="0.75" bottom="0.75" header="0.3" footer="0.3"/>
  <pageSetup scale="6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8"/>
  <sheetViews>
    <sheetView workbookViewId="0">
      <selection activeCell="D8" sqref="D8"/>
    </sheetView>
  </sheetViews>
  <sheetFormatPr defaultRowHeight="15" x14ac:dyDescent="0.25"/>
  <cols>
    <col min="1" max="1" width="5.85546875" customWidth="1"/>
    <col min="2" max="2" width="16.5703125" customWidth="1"/>
    <col min="3" max="3" width="18.85546875" customWidth="1"/>
    <col min="4" max="4" width="15.28515625" customWidth="1"/>
    <col min="5" max="5" width="19.28515625" customWidth="1"/>
    <col min="6" max="6" width="16.7109375" customWidth="1"/>
    <col min="7" max="7" width="12.85546875" customWidth="1"/>
  </cols>
  <sheetData>
    <row r="1" spans="1:8" x14ac:dyDescent="0.25">
      <c r="C1" s="570" t="s">
        <v>533</v>
      </c>
    </row>
    <row r="2" spans="1:8" s="572" customFormat="1" ht="60" x14ac:dyDescent="0.25">
      <c r="C2" s="571" t="s">
        <v>532</v>
      </c>
      <c r="D2" s="493" t="s">
        <v>535</v>
      </c>
      <c r="E2" s="493" t="s">
        <v>534</v>
      </c>
      <c r="F2" s="1085" t="s">
        <v>536</v>
      </c>
      <c r="G2" s="1085"/>
    </row>
    <row r="3" spans="1:8" x14ac:dyDescent="0.25">
      <c r="B3" s="575" t="s">
        <v>288</v>
      </c>
      <c r="C3" s="577" t="s">
        <v>531</v>
      </c>
      <c r="D3" s="577" t="s">
        <v>531</v>
      </c>
      <c r="E3" s="577"/>
      <c r="F3" s="577" t="s">
        <v>537</v>
      </c>
      <c r="G3" s="578" t="s">
        <v>538</v>
      </c>
    </row>
    <row r="4" spans="1:8" ht="35.25" customHeight="1" x14ac:dyDescent="0.25">
      <c r="B4" s="576" t="s">
        <v>290</v>
      </c>
      <c r="C4" s="573">
        <v>31052060</v>
      </c>
      <c r="D4" s="573">
        <v>31052038</v>
      </c>
      <c r="E4" s="573">
        <v>52301311</v>
      </c>
      <c r="F4" s="573">
        <v>31052049</v>
      </c>
      <c r="G4" s="573">
        <v>31052049</v>
      </c>
    </row>
    <row r="5" spans="1:8" ht="35.25" customHeight="1" x14ac:dyDescent="0.25">
      <c r="B5" s="576" t="s">
        <v>292</v>
      </c>
      <c r="C5" s="574">
        <v>65000</v>
      </c>
      <c r="D5" s="574">
        <v>200</v>
      </c>
      <c r="E5" s="574">
        <v>192.87</v>
      </c>
      <c r="F5" s="574">
        <v>400</v>
      </c>
      <c r="G5" s="574">
        <v>4050.38</v>
      </c>
    </row>
    <row r="6" spans="1:8" ht="35.25" customHeight="1" x14ac:dyDescent="0.25">
      <c r="B6" s="576" t="s">
        <v>295</v>
      </c>
      <c r="C6" s="574">
        <v>21659.37</v>
      </c>
      <c r="D6" s="574">
        <v>0</v>
      </c>
      <c r="E6" s="574">
        <v>115.03</v>
      </c>
      <c r="F6" s="574">
        <v>382.82</v>
      </c>
      <c r="G6" s="574">
        <v>484.59</v>
      </c>
    </row>
    <row r="7" spans="1:8" ht="35.25" customHeight="1" x14ac:dyDescent="0.25">
      <c r="A7" s="45" t="s">
        <v>69</v>
      </c>
      <c r="B7" s="576" t="s">
        <v>296</v>
      </c>
      <c r="C7" s="574">
        <v>2842.91</v>
      </c>
      <c r="D7" s="574">
        <v>50.83</v>
      </c>
      <c r="E7" s="574">
        <v>3.05</v>
      </c>
      <c r="F7" s="574"/>
      <c r="G7" s="574"/>
      <c r="H7" s="638">
        <f>C7+D7+E7+F7+G7</f>
        <v>2896.79</v>
      </c>
    </row>
    <row r="8" spans="1:8" ht="35.25" customHeight="1" x14ac:dyDescent="0.25">
      <c r="B8" s="576" t="s">
        <v>297</v>
      </c>
      <c r="C8" s="574">
        <f t="shared" ref="C8" si="0">C5-C6-C7</f>
        <v>40497.72</v>
      </c>
      <c r="D8" s="574">
        <f>D5-D6-D7</f>
        <v>149.17000000000002</v>
      </c>
      <c r="E8" s="574">
        <f t="shared" ref="E8:G8" si="1">E5-E6-E7</f>
        <v>74.790000000000006</v>
      </c>
      <c r="F8" s="574">
        <f t="shared" si="1"/>
        <v>17.180000000000007</v>
      </c>
      <c r="G8" s="574">
        <f t="shared" si="1"/>
        <v>3565.79</v>
      </c>
    </row>
  </sheetData>
  <mergeCells count="1">
    <mergeCell ref="F2:G2"/>
  </mergeCells>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Annexure-I</vt:lpstr>
      <vt:lpstr>Form</vt:lpstr>
      <vt:lpstr>CST-Calculation</vt:lpstr>
      <vt:lpstr>CST-Final</vt:lpstr>
      <vt:lpstr>SUMMARY</vt:lpstr>
      <vt:lpstr>Negociation</vt:lpstr>
      <vt:lpstr>NOTE Sheet</vt:lpstr>
      <vt:lpstr>Comm Eval</vt:lpstr>
      <vt:lpstr>PNC</vt:lpstr>
      <vt:lpstr>PP</vt:lpstr>
      <vt:lpstr>Annexure for PP</vt:lpstr>
      <vt:lpstr>Encl-4</vt:lpstr>
      <vt:lpstr>A-1</vt:lpstr>
      <vt:lpstr>Budget</vt:lpstr>
      <vt:lpstr>'A-1'!Print_Area</vt:lpstr>
      <vt:lpstr>'Annexure for PP'!Print_Area</vt:lpstr>
      <vt:lpstr>'Comm Eval'!Print_Area</vt:lpstr>
      <vt:lpstr>'CST-Calculation'!Print_Area</vt:lpstr>
      <vt:lpstr>'CST-Final'!Print_Area</vt:lpstr>
      <vt:lpstr>'Encl-4'!Print_Area</vt:lpstr>
      <vt:lpstr>PNC!Print_Area</vt:lpstr>
      <vt:lpstr>PP!Print_Area</vt:lpstr>
      <vt:lpstr>SUMMARY!Print_Area</vt:lpstr>
      <vt:lpstr>'Annexure-I'!Print_Titles</vt:lpstr>
      <vt:lpstr>'Comm Eval'!Print_Titles</vt:lpstr>
      <vt:lpstr>'CST-Calculation'!Print_Titles</vt:lpstr>
      <vt:lpstr>'CST-Final'!Print_Titles</vt:lpstr>
      <vt:lpstr>'Encl-4'!Print_Titles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RAMESH HATHILE</dc:creator>
  <cp:lastModifiedBy>106388 Mr.. Gaurav Yadav</cp:lastModifiedBy>
  <cp:lastPrinted>2023-09-21T03:13:35Z</cp:lastPrinted>
  <dcterms:created xsi:type="dcterms:W3CDTF">2019-10-01T05:58:17Z</dcterms:created>
  <dcterms:modified xsi:type="dcterms:W3CDTF">2026-06-22T09:28:57Z</dcterms:modified>
</cp:coreProperties>
</file>